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Ayuda" state="visible" r:id="rId4"/>
    <sheet sheetId="2" name="extra info" state="veryHidden" r:id="rId5"/>
    <sheet sheetId="3" name="Amortiguadores" state="visible" r:id="rId6"/>
  </sheets>
  <calcPr calcId="171027"/>
</workbook>
</file>

<file path=xl/sharedStrings.xml><?xml version="1.0" encoding="utf-8"?>
<sst xmlns="http://schemas.openxmlformats.org/spreadsheetml/2006/main" count="19751" uniqueCount="3883">
  <si>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</si>
  <si>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</si>
  <si>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</si>
  <si>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</si>
  <si>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</si>
  <si>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</si>
  <si>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</si>
  <si>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</si>
  <si>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</si>
  <si>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</si>
  <si>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</si>
  <si>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</si>
  <si>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</si>
  <si>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</si>
  <si>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</si>
  <si>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</si>
  <si>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</si>
  <si>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</si>
  <si>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</si>
  <si>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</si>
  <si>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</si>
  <si>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</si>
  <si>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</si>
  <si>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</si>
  <si>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</si>
  <si>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family val="2"/>
        <sz val="10"/>
        <rFont val="Arial"/>
      </rPr>
      <t>Si al configurar tu planilla</t>
    </r>
    <r>
      <rPr>
        <color rgb="FF333333"/>
        <family val="2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</si>
  <si>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</si>
  <si>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7 de junio</t>
  </si>
  <si>
    <t>Subir planilla.</t>
  </si>
  <si>
    <r>
      <rPr>
        <color rgb="FF333333"/>
        <family val="2"/>
        <sz val="10"/>
        <rFont val="Arial"/>
      </rPr>
      <t>1. Busca los productos que quieres vender en el</t>
    </r>
    <r>
      <rPr>
        <color rgb="FF000000"/>
        <scheme val="minor"/>
        <sz val="10"/>
        <rFont val="Arial"/>
      </rPr>
      <t xml:space="preserve"> </t>
    </r>
    <r>
      <rPr>
        <u/>
        <color rgb="FF1155CC"/>
        <family val="2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</si>
  <si>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</si>
  <si>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</si>
  <si>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</si>
  <si>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</si>
  <si>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</si>
  <si>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family val="2"/>
        <sz val="10"/>
        <rFont val="Arial"/>
      </rPr>
      <t xml:space="preserve">La columna "Fotos" es </t>
    </r>
    <r>
      <rPr>
        <b/>
        <i/>
        <color rgb="FFB22222"/>
        <family val="2"/>
        <sz val="10"/>
        <rFont val="Arial"/>
      </rPr>
      <t>Obligatoria</t>
    </r>
    <r>
      <rPr>
        <color rgb="FF333333"/>
        <family val="2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</si>
  <si>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family val="2"/>
        <sz val="10"/>
        <rFont val="Arial"/>
      </rPr>
      <t xml:space="preserve">1. Accede al "Gestor de fotos" desde la </t>
    </r>
    <r>
      <rPr>
        <b/>
        <color rgb="FF333333"/>
        <family val="2"/>
        <sz val="10"/>
        <rFont val="Arial"/>
      </rPr>
      <t>columna "Fotos"</t>
    </r>
    <r>
      <rPr>
        <color rgb="FF333333"/>
        <family val="2"/>
        <sz val="10"/>
        <rFont val="Arial"/>
      </rPr>
      <t>.</t>
    </r>
  </si>
  <si>
    <r>
      <rPr>
        <color rgb="FF333333"/>
        <family val="2"/>
        <sz val="10"/>
        <rFont val="Arial"/>
      </rPr>
      <t xml:space="preserve">2. Presiona en </t>
    </r>
    <r>
      <rPr>
        <b/>
        <color rgb="FF333333"/>
        <family val="2"/>
        <sz val="10"/>
        <rFont val="Arial"/>
      </rPr>
      <t>"+ Crear grupo de fotos"</t>
    </r>
    <r>
      <rPr>
        <color rgb="FF333333"/>
        <family val="2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</si>
  <si>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</si>
  <si>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family val="2"/>
        <sz val="10"/>
        <rFont val="Arial"/>
      </rPr>
      <t xml:space="preserve">4. Para terminar, presiona en </t>
    </r>
    <r>
      <rPr>
        <b/>
        <color rgb="FF333333"/>
        <family val="2"/>
        <sz val="10"/>
        <rFont val="Arial"/>
      </rPr>
      <t>"Copiar URLs"</t>
    </r>
    <r>
      <rPr>
        <color rgb="FF333333"/>
        <family val="2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</si>
  <si>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</si>
  <si>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family val="2"/>
        <sz val="10"/>
        <rFont val="Arial"/>
      </rPr>
      <t xml:space="preserve">Tienes </t>
    </r>
    <r>
      <rPr>
        <b/>
        <color rgb="FF333333"/>
        <family val="2"/>
        <sz val="10"/>
        <rFont val="Arial"/>
      </rPr>
      <t>2 días para pegar la URL en tu planilla y cargarla</t>
    </r>
    <r>
      <rPr>
        <color rgb="FF333333"/>
        <family val="2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</si>
  <si>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</si>
  <si>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</si>
  <si>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</si>
  <si>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family val="2"/>
        <sz val="10"/>
        <rFont val="Arial"/>
      </rPr>
      <t xml:space="preserve">1. </t>
    </r>
    <r>
      <rPr>
        <b/>
        <color rgb="FF333333"/>
        <family val="2"/>
        <sz val="10"/>
        <rFont val="Arial"/>
      </rPr>
      <t>Completa en una fila los datos de la primera variante.</t>
    </r>
    <r>
      <rPr>
        <color rgb="FF333333"/>
        <family val="2"/>
        <sz val="10"/>
        <rFont val="Arial"/>
      </rPr>
      <t xml:space="preserve"> Asígnale un título genérico, porque será el mismo para todas.</t>
    </r>
  </si>
  <si>
    <r>
      <rPr>
        <color rgb="FF333333"/>
        <family val="2"/>
        <sz val="10"/>
        <rFont val="Arial"/>
      </rPr>
      <t xml:space="preserve">2. </t>
    </r>
    <r>
      <rPr>
        <b/>
        <color rgb="FF333333"/>
        <family val="2"/>
        <sz val="10"/>
        <rFont val="Arial"/>
      </rPr>
      <t>Duplica la fila.</t>
    </r>
    <r>
      <rPr>
        <color rgb="FF333333"/>
        <family val="2"/>
        <sz val="10"/>
        <rFont val="Arial"/>
      </rPr>
      <t xml:space="preserve"> Crea una nueva por cada variante.</t>
    </r>
  </si>
  <si>
    <r>
      <rPr>
        <color rgb="FF333333"/>
        <family val="2"/>
        <sz val="10"/>
        <rFont val="Arial"/>
      </rPr>
      <t xml:space="preserve">3. </t>
    </r>
    <r>
      <rPr>
        <b/>
        <color rgb="FF333333"/>
        <family val="2"/>
        <sz val="10"/>
        <rFont val="Arial"/>
      </rPr>
      <t>Modifica los datos por los que varía tu producto,</t>
    </r>
    <r>
      <rPr>
        <color rgb="FF333333"/>
        <family val="2"/>
        <sz val="10"/>
        <rFont val="Arial"/>
      </rPr>
      <t xml:space="preserve"> como el color, la talla, u otras características.</t>
    </r>
  </si>
  <si>
    <r>
      <rPr>
        <color rgb="FF333333"/>
        <family val="2"/>
        <sz val="10"/>
        <rFont val="Arial"/>
      </rPr>
      <t xml:space="preserve">4. </t>
    </r>
    <r>
      <rPr>
        <b/>
        <color rgb="FF333333"/>
        <family val="2"/>
        <sz val="10"/>
        <rFont val="Arial"/>
      </rPr>
      <t>Diferencia tus variantes</t>
    </r>
    <r>
      <rPr>
        <color rgb="FF333333"/>
        <family val="2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</si>
  <si>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</si>
  <si>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</si>
  <si>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</si>
  <si>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</si>
  <si>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fondo blanco puro digital para que tu producto se destaque.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</si>
  <si>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No agregues bordes, logos ni marcas de agua.</t>
    </r>
  </si>
  <si>
    <t>Para productos de "Moda"</t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</si>
  <si>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Usa un modelo o maniquí invisible según tu tipo de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</si>
  <si>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</si>
  <si>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family val="2"/>
        <sz val="10"/>
        <rFont val="Arial"/>
      </rPr>
      <t xml:space="preserve">· </t>
    </r>
    <r>
      <rPr>
        <color rgb="FF333333"/>
        <family val="2"/>
        <sz val="10"/>
        <rFont val="Arial"/>
      </rPr>
      <t>Evita tomar fotos tipo selfie, en exteriores o que tapen el producto.</t>
    </r>
  </si>
  <si>
    <t xml:space="preserve">        </t>
  </si>
  <si>
    <t>1539376793-bulk-sell-abeaf1fcffae</t>
  </si>
  <si>
    <t>2026-06-07</t>
  </si>
  <si>
    <t>86cf4157-1d69-4455-b30a-9ab6b09d1a98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</si>
  <si>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</si>
  <si>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</si>
  <si>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</si>
  <si>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</si>
  <si>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</si>
  <si>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</si>
  <si>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</si>
  <si>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</si>
  <si>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</si>
  <si>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</si>
  <si>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</si>
  <si>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</si>
  <si>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Seleccionar</t>
  </si>
  <si>
    <t>días</t>
  </si>
  <si>
    <t>meses</t>
  </si>
  <si>
    <t>años</t>
  </si>
  <si>
    <t>World Cars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</si>
  <si>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</si>
  <si>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</si>
  <si>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</si>
  <si>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</si>
  <si>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</si>
  <si>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</si>
  <si>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</si>
  <si>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</si>
  <si>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</si>
  <si>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</si>
  <si>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</si>
  <si>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</si>
  <si>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</si>
  <si>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</si>
  <si>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</si>
  <si>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</si>
  <si>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</si>
  <si>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</si>
  <si>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</si>
  <si>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</si>
  <si>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</si>
  <si>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</si>
  <si>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</si>
  <si>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</si>
  <si>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</si>
  <si>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</si>
  <si>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</si>
  <si>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</si>
  <si>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</si>
  <si>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</si>
  <si>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</si>
  <si>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</si>
  <si>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</si>
  <si>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</si>
  <si>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</si>
  <si>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</si>
  <si>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</si>
  <si>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</si>
  <si>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</si>
  <si>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</si>
  <si>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</si>
  <si>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</si>
  <si>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</si>
  <si>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</si>
  <si>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</si>
  <si>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</si>
  <si>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Tienda Oficial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</si>
  <si>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</si>
  <si>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</si>
  <si>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</si>
  <si>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</si>
  <si>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</si>
  <si>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</si>
  <si>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</si>
  <si>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</si>
  <si>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</si>
  <si>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</si>
  <si>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</si>
  <si>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</si>
  <si>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</si>
  <si>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</si>
  <si>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t>AMORTIGUADOR DELANTERO DERECHO CALIBER 06-12 COMPASS 07-10 P</t>
  </si>
  <si>
    <t>http://http2.mlstatic.com/D_NQ_NP_897945-MLV110253771912_052026-F.jpg,http://http2.mlstatic.com/D_NQ_NP_716867-MLV110252532742_052026-F.jpg,http://http2.mlstatic.com/D_NQ_NP_949551-MLV110253771896_052026-F.jpg,http://http2.mlstatic.com/D_NQ_NP_660973-MLV111178070027_052026-F.jpg</t>
  </si>
  <si>
    <t>05105170AH</t>
  </si>
  <si>
    <t xml:space="preserve">Producto Original. 
SKU: 05105170AH. 
OEM: G-551058T, 72367ST, GR55367, 334642, 331789R, G-52082. 
Marca: MOPAR.
Aplicación: AMORTIGUADOR, DELT.DER.CALIBER 06-12 COMPASS 07-10 PATRIOT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</si>
  <si>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Mercado Envíos</t>
  </si>
  <si>
    <t>Envío gratis</t>
  </si>
  <si>
    <t>MOPAR</t>
  </si>
  <si>
    <t>G-551058T, 72367ST, GR55367, 334642, 331789R, G-52082</t>
  </si>
  <si>
    <r>
      <rPr>
        <color rgb="FF000000"/>
        <family val="2"/>
        <sz val="10"/>
        <rFont val="Arial"/>
      </rPr>
      <t>Escribe solo números.</t>
    </r>
  </si>
  <si>
    <r>
      <rPr>
        <color rgb="FF000000"/>
        <family val="2"/>
        <sz val="10"/>
        <rFont val="Arial"/>
      </rPr>
      <t>Selecciona la unidad de medida.</t>
    </r>
  </si>
  <si>
    <r>
      <rPr>
        <color rgb="FF000000"/>
        <family val="2"/>
        <sz val="10"/>
        <rFont val="Arial"/>
      </rPr>
      <t>Revisa los campos obligatorios que están en rojo y complétalos para subir tu planilla</t>
    </r>
  </si>
  <si>
    <t>AMORTIGUADOR DELANTERO IZQUIERDO CALIBER 06-12 COMPASS 07-10</t>
  </si>
  <si>
    <t>http://http2.mlstatic.com/D_NQ_NP_718917-MLV111178160381_052026-F.jpg,http://http2.mlstatic.com/D_NQ_NP_687608-MLV111178130297_052026-F.jpg</t>
  </si>
  <si>
    <t>05105171AH</t>
  </si>
  <si>
    <t xml:space="preserve">Producto Original. 
SKU: 05105171AH. 
OEM: G-551057T, GR55368, 72368ST, MP-8495. 
Marca: MOPAR.
Aplicación: AMORTIGUADOR, DELT.IZQ.CALIBER 06-12 COMPASS 07-10 PATRIOT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</si>
  <si>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G-551057T, GR55368, 72368ST, MP-8495</t>
  </si>
  <si>
    <t>Cómo completar la planilla</t>
  </si>
  <si>
    <t xml:space="preserve">Producto Original. 
SKU: 05105174AG. 
OEM: G-551058T, 72367ST, GR55367, 334642, 331789R, G-52082. 
Marca: MOPAR.
Aplicación: AMORTIGUADOR, DELT.DER.CALIBER 06-12 COMPASS 07-10 PATRIOT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</si>
  <si>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CALIBER 06-12 COMPASS 07-10</t>
  </si>
  <si>
    <t>05272706AH</t>
  </si>
  <si>
    <t xml:space="preserve">Producto Original. 
SKU: 05272706AH. 
OEM: G-551022T, GR35401, 72401ST. 
Marca: MOPAR.
Aplicación: AMORTIGUADOR, TRAS.CALIBER 06-12 COMPASS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</si>
  <si>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G-551022T, GR35401, 72401ST</t>
  </si>
  <si>
    <t>AMORTIGUADOR DELANTERO TOYOTA FJ40 FJ42 FJ43 FJ45 56-85 JEEP</t>
  </si>
  <si>
    <t>1004N</t>
  </si>
  <si>
    <t xml:space="preserve">Producto Original. 
SKU: 1004N. 
OEM: 45204. 
Marca: MONROE NACIONAL.
Aplicación: AMORTIGUADOR, DELT.TOYOTA FJ40 FJ42 FJ43 FJ45 56-85 JEEP CJ-7 54-87 DELT.-TRAS. COMANDO 67-69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</si>
  <si>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MONROE NACIONAL</t>
  </si>
  <si>
    <t>45204</t>
  </si>
  <si>
    <t>AMORTIGUADOR DELANTERO IZQUIERDO MITSUBISHI LANCER 92-96</t>
  </si>
  <si>
    <t>11171</t>
  </si>
  <si>
    <t xml:space="preserve">Producto Original. 
SKU: 11171. 
OEM: 33125E, G-35847. 
Marca: MONROE.
Aplicación: AMORTIGUADOR, DELT.IZQ.MITSUBISHI LANCER 92-96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</si>
  <si>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MONROE</t>
  </si>
  <si>
    <t>33125E, G-35847</t>
  </si>
  <si>
    <t>AMORTIGUADOR DELANTERO FIESTA BALITA 97-02 KA 1 6 04-06</t>
  </si>
  <si>
    <t>https://http2.mlstatic.com/D_762168-MLV110253775846_052026-O.jpg</t>
  </si>
  <si>
    <t>11195N</t>
  </si>
  <si>
    <t xml:space="preserve">Producto Original. 
SKU: 11195N. 
OEM: G-35177, GR55701, 27086. 
Marca: MONROE NACIONAL.
Aplicación: AMORTIGUADOR, DELT.FIESTA BALITA 97-02 KA 1.6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</si>
  <si>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G-35177, GR55701, 27086</t>
  </si>
  <si>
    <t>AMORTIGUADOR DELANTERO DERECHO LASER 95-99 ALLEGRO 92-99</t>
  </si>
  <si>
    <t>11230</t>
  </si>
  <si>
    <t xml:space="preserve">Producto Original. 
SKU: 11230. 
OEM: G-55916, 333292. 
Marca: MONROE.
Aplicación: AMORTIGUADOR, DELT.DER.LASER 95-99 ALLEGRO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</si>
  <si>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G-55916, 333292</t>
  </si>
  <si>
    <t>AMORTIGUADOR DELANTERO IZQUIERDO LASER 95-99 ALLEGRO 92-99</t>
  </si>
  <si>
    <t>https://http2.mlstatic.com/D_716293-MLV111178074025_052026-O.jpg</t>
  </si>
  <si>
    <t>11231</t>
  </si>
  <si>
    <t xml:space="preserve">Producto Original. 
SKU: 11231. 
OEM: G-55917, 333293. 
Marca: MONROE.
Aplicación: AMORTIGUADOR, DELT.IZQ.LASER 95-99 ALLEGRO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</si>
  <si>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G-55917, 333293</t>
  </si>
  <si>
    <t>AMORTIGUADOR TRASERO IZQUIERDO LASER 95-99 ALLEGRO 92-99</t>
  </si>
  <si>
    <t>https://http2.mlstatic.com/D_887507-MLV111178074039_052026-O.jpg</t>
  </si>
  <si>
    <t>11233</t>
  </si>
  <si>
    <t xml:space="preserve">Producto Original. 
SKU: 11233. 
OEM: G-55919, 333295, GR55233. 
Marca: MONROE.
Aplicación: AMORTIGUADOR, TRAS.IZQ.LASER 95-99 ALLEGRO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</si>
  <si>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G-55919, 333295, GR55233</t>
  </si>
  <si>
    <t>AMORTIGUADOR DELANTERO IZQUIERDO WAGON R 00-04 TICO 96-03</t>
  </si>
  <si>
    <t>https://http2.mlstatic.com/D_803392-MLV110280264338_052026-O.jpg</t>
  </si>
  <si>
    <t>11234</t>
  </si>
  <si>
    <t xml:space="preserve">Producto Original. 
SKU: 11234. 
OEM: N/A. 
Marca: MONROE.
Aplicación: AMORTIGUADOR, DELT.IZQ.WAGON R 00-04 TICO 96-03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</si>
  <si>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WAGON R 00-04 TICO 96-03</t>
  </si>
  <si>
    <t>11235</t>
  </si>
  <si>
    <t xml:space="preserve">Producto Original. 
SKU: 11235. 
OEM: N/A. 
Marca: MONROE.
Aplicación: AMORTIGUADOR, DELT.DER.WAGON R 00-04 TICO 96-03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</si>
  <si>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DAEWOO NUBIRA 98-04 ACEITE</t>
  </si>
  <si>
    <t>11290</t>
  </si>
  <si>
    <t xml:space="preserve">Producto Original. 
SKU: 11290. 
OEM: N/A. 
Marca: MONROE.
Aplicación: AMORTIGUADOR, TRAS.DER.DAEWOO NUBIRA 98-04 (ACEITE)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</si>
  <si>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DAEWOO NUBIRA 98-04 ACEITE</t>
  </si>
  <si>
    <t>11291</t>
  </si>
  <si>
    <t xml:space="preserve">Producto Original. 
SKU: 11291. 
OEM: 96289901. 
Marca: S / M.
Aplicación: AMORTIGUADOR, TRAS.IZQ.DAEWOO NUBIRA 98-04 (ACEITE)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</si>
  <si>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S / M</t>
  </si>
  <si>
    <t>96289901</t>
  </si>
  <si>
    <t>AMORTIGUADOR DELANTERO ASPEN 77-79 LEBARON 77-79</t>
  </si>
  <si>
    <t>1176N</t>
  </si>
  <si>
    <t xml:space="preserve">Producto Original. 
SKU: 1176N. 
OEM: 22102. 
Marca: MONROE NACIONAL.
Aplicación: AMORTIGUADOR, DELT.ASPEN 77-79 LEBARON 77-79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</si>
  <si>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22102</t>
  </si>
  <si>
    <t>AMORTIGUADOR DELANTERO IZQUIERDO TOYOTA STARLET 96-99 TERCEL</t>
  </si>
  <si>
    <t>16162</t>
  </si>
  <si>
    <t xml:space="preserve">Producto Original. 
SKU: 16162. 
OEM: G-35891. 
Marca: MONROE.
Aplicación: AMORTIGUADOR, DELT.IZQ.TOYOTA STARLET 96-99 TERCEL 95-99 PASEO 95-99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</si>
  <si>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G-35891</t>
  </si>
  <si>
    <t>AMORTIGUADOR TRASERO DERECHO HYUNDAI ELANTRA 96-12 TIBURON 9</t>
  </si>
  <si>
    <t>16248</t>
  </si>
  <si>
    <t xml:space="preserve">Producto Original. 
SKU: 16248. 
OEM: G-35886T, GR55406, 71406, G-56527. 
Marca: MONROE.
Aplicación: AMORTIGUADOR, TRAS.DER.HYUNDAI ELANTRA 96-12 TIBURON 97-02 (PLATO PEQUEÑO 15 CMS)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</si>
  <si>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G-35886T, GR55406, 71406, G-56527</t>
  </si>
  <si>
    <t>AMORTIGUADOR TRASERO IZQUIERDO HYUNDAI ELANTRA 96-12 TIBURON</t>
  </si>
  <si>
    <t>https://http2.mlstatic.com/D_774859-MLV110280275074_052026-O.jpg</t>
  </si>
  <si>
    <t>16249</t>
  </si>
  <si>
    <t xml:space="preserve">Producto Original. 
SKU: 16249. 
OEM: G-35887T, GR55407, 71407, G-56528. 
Marca: MONROE.
Aplicación: AMORTIGUADOR, TRAS.IZQ.HYUNDAI ELANTRA 96-12 TIBURON 97-02 (PLATO PEQUEÑO 15CMS 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</si>
  <si>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G-35887T, GR55407, 71407, G-56528</t>
  </si>
  <si>
    <t>https://http2.mlstatic.com/D_920266-MLV110280095166_052026-O.jpg</t>
  </si>
  <si>
    <t>16252</t>
  </si>
  <si>
    <t xml:space="preserve">Producto Original. 
SKU: 16252. 
OEM: 333210. 
Marca: MONROE.
Aplicación: AMORTIGUADOR, DELT.IZQ.TOYOTA STARLET 96-99 TERCEL 95-99 PASEO 95-99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</si>
  <si>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333210</t>
  </si>
  <si>
    <t>AMORTIGUADOR TRASERO DERECHO LASER 00-04 ALLEGRO 00-08</t>
  </si>
  <si>
    <t>16347</t>
  </si>
  <si>
    <t xml:space="preserve">Producto Original. 
SKU: 16347. 
OEM: G-55971, 333276. 
Marca: MONROE.
Aplicación: AMORTIGUADOR, TRAS.DER.LASER 00-04 ALLEGRO 00-08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</si>
  <si>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G-55971, 333276</t>
  </si>
  <si>
    <t>AMORTIGUADOR TRASERO IZQUIERDO LASER 00-04 ALLEGRO 00-08</t>
  </si>
  <si>
    <t>16348</t>
  </si>
  <si>
    <t xml:space="preserve">Producto Original. 
SKU: 16348. 
OEM: G-55972, 333277. 
Marca: MONROE.
Aplicación: AMORTIGUADOR, TRAS.IZQ.LASER 00-04 ALLEGRO 00-08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</si>
  <si>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G-55972, 333277</t>
  </si>
  <si>
    <t>AMORTIGUADOR VW VOLKSWAGEN 1300 1500 1600</t>
  </si>
  <si>
    <t>https://http2.mlstatic.com/D_788344-MLV111209846715_052026-O.jpg</t>
  </si>
  <si>
    <t>19071</t>
  </si>
  <si>
    <t xml:space="preserve">Producto Original. 
SKU: 19071. 
OEM: 1538N. 
Marca: GABRIEL.
Aplicación: AMORTIGUADOR, VW VOLKSWAGEN 1300 1500 1600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</si>
  <si>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GABRIEL</t>
  </si>
  <si>
    <t>1538N</t>
  </si>
  <si>
    <t>AMORTIGUADOR DELANTERO CORSA 96-06 CHEVROLET C2 07-09 CONFOR</t>
  </si>
  <si>
    <t>19103161</t>
  </si>
  <si>
    <t xml:space="preserve">Producto Original. 
SKU: 19103161. 
OEM: G-55924, GR55069, 713069-CN, MP-8148. 
Marca: ACDELCO.
Aplicación: AMORTIGUADOR, DELT.CORSA 96-06 CHEVY C2 07-09 CONFORT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</si>
  <si>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ACDELCO</t>
  </si>
  <si>
    <t>G-55924, GR55069, 713069-CN, MP-8148</t>
  </si>
  <si>
    <t>AMORTIGUADOR TRASERO VW SUPER ESCARABAJO BRASILIA 67-98</t>
  </si>
  <si>
    <t>19114</t>
  </si>
  <si>
    <t xml:space="preserve">Producto Original. 
SKU: 19114. 
OEM: B47334. 
Marca: GABRIEL.
Aplicación: AMORTIGUADOR, TRAS.VW SUPER ESCARABAJO BRASILIA 67-98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</si>
  <si>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B47334</t>
  </si>
  <si>
    <t>AMORTIGUADOR DELANTERO CORONET 71-79 DART 65-77</t>
  </si>
  <si>
    <t>2022N</t>
  </si>
  <si>
    <t xml:space="preserve">Producto Original. 
SKU: 2022N. 
OEM: 45171. 
Marca: MONROE NACIONAL.
Aplicación: AMORTIGUADOR, DELT.CORONET 71-79 DART 65-77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</si>
  <si>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45171</t>
  </si>
  <si>
    <t>AMORTIGUADOR TRASERO HYUNDAI ATOS 06-08</t>
  </si>
  <si>
    <t>21033</t>
  </si>
  <si>
    <t xml:space="preserve">Producto Original. 
SKU: 21033. 
OEM: N/A. 
Marca: GABRIEL.
Aplicación: AMORTIGUADOR, TRAS.HYUNDAI ATOS 06-08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</si>
  <si>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MALIBU 71-84 MONTE CARLO 71-84 CAMARO</t>
  </si>
  <si>
    <t>2105N</t>
  </si>
  <si>
    <t xml:space="preserve">Producto Original. 
SKU: 2105N. 
OEM: 45365, 32224, 45472. 
Marca: MONROE NACIONAL.
Aplicación: AMORTIGUADOR DELT.MALIBU 71-84 MONTE CARLO 71-84 CAMARO 70-79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</si>
  <si>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45365, 32224, 45472</t>
  </si>
  <si>
    <t>AMORTIGUADOR DELANTERO MALIBU 71-84 CAPRICE 77-86</t>
  </si>
  <si>
    <t xml:space="preserve">Producto Original. 
SKU: 2105N. 
OEM: 45365, 32224, 45472. 
Marca: MONROE NACIONAL.
Aplicación: AMORTIGUADOR DELT.MALIBU 71-84 CAPRICE 77-86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</si>
  <si>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MALIBU 71-84 IMPALA 77-80 FAIRLANE 57</t>
  </si>
  <si>
    <t xml:space="preserve">Producto Original. 
SKU: 2105N. 
OEM: 45365, 32224, 45472. 
Marca: MONROE NACIONAL.
Aplicación: AMORTIGUADOR DELT.MALIBU 71-84 IMPALA 77-80 FAIRLANE 57-74 LTD 67-86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</si>
  <si>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TRASMISION EXPLORER 95-99</t>
  </si>
  <si>
    <t>21141E</t>
  </si>
  <si>
    <t xml:space="preserve">Producto Original. 
SKU: 21141E. 
OEM: N/A. 
Marca: GABRIEL.
Aplicación: AMORTIGUADOR, TRASMISION EXPLORER 95-99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</si>
  <si>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CORSA 96-06 CHEVROLET C2 07-09 CONFORT</t>
  </si>
  <si>
    <t>https://http2.mlstatic.com/D_960382-MLV111209788325_052026-O.jpg</t>
  </si>
  <si>
    <t>21142E</t>
  </si>
  <si>
    <t xml:space="preserve">Producto Original. 
SKU: 21142E. 
OEM: GR25707, 69584, 32707. 
Marca: GABRIEL.
Aplicación: AMORTIGUADOR, TRAS.CORSA 96-06 CHEVY C2 07-09 CONFORT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</si>
  <si>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GR25707, 69584, 32707</t>
  </si>
  <si>
    <t>AMORTIGUADOR TRASERO AVEO 04-15</t>
  </si>
  <si>
    <t>https://http2.mlstatic.com/D_664345-MLV111209788327_052026-O.jpg</t>
  </si>
  <si>
    <t>21153E</t>
  </si>
  <si>
    <t xml:space="preserve">Producto Original. 
SKU: 21153E. 
OEM: 96408735, 802502, 5794ST, 2716N, 343423, G-21153E, GR25716. 
Marca: GABRIEL.
Aplicación: AMORTIGUADOR, TRAS.AVEO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</si>
  <si>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96408735, 802502, 5794ST, 2716N, 343423, G-21153E, GR25716</t>
  </si>
  <si>
    <t>AMORTIGUADOR TRASERO SPARK 06-14</t>
  </si>
  <si>
    <t>21159E</t>
  </si>
  <si>
    <t xml:space="preserve">Producto Original. 
SKU: 21159E. 
OEM: GR25722, 32722N, 96424027. 
Marca: GABRIEL.
Aplicación: AMORTIGUADOR, TRAS.SPARK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</si>
  <si>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GR25722, 32722N, 96424027</t>
  </si>
  <si>
    <t>AMORTIGUADOR TRASERO CAVALIER 82-94 CHEVETTE 81-96 CIELO 95-</t>
  </si>
  <si>
    <t>2122N</t>
  </si>
  <si>
    <t xml:space="preserve">Producto Original. 
SKU: 2122N. 
OEM: G-22110, G-22125. 
Marca: MONROE NACIONAL.
Aplicación: AMORTIGUADOR TRAS.CAVALIER 82-94 CHEVETTE 81-96 CIELO 95-02 CORSICA 87-94 ESPERO 92-97 LANOS 96-02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</si>
  <si>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G-22110, G-22125</t>
  </si>
  <si>
    <t>AMORTIGUADOR TRASERO CAVALIER 82-94 MONZA 84-94 RACER 92</t>
  </si>
  <si>
    <t xml:space="preserve">Producto Original. 
SKU: 2122N. 
OEM: G-22110, G-22125. 
Marca: MONROE NACIONAL.
Aplicación: AMORTIGUADOR TRAS.CAVALIER 82-94 MONZA 84-94 RACER 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</si>
  <si>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D-100 72-89 D-200 72-93 D-300 72-80</t>
  </si>
  <si>
    <t>2127N</t>
  </si>
  <si>
    <t xml:space="preserve">Producto Original. 
SKU: 2127N. 
OEM: 45511, 83360. 
Marca: MONROE NACIONAL.
Aplicación: AMORTIGUADOR, DELT.D-100 72-89 D-200 72-93 D-300 72-80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</si>
  <si>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45511, 83360</t>
  </si>
  <si>
    <t>AMORTIGUADOR TRASERO D-100 72-78 D-200 72-78 D-300 72-78</t>
  </si>
  <si>
    <t>2128N</t>
  </si>
  <si>
    <t xml:space="preserve">Producto Original. 
SKU: 2128N. 
OEM: 45512. 
Marca: MONROE NACIONAL.
Aplicación: AMORTIGUADOR, TRAS.D-100 72-78 D-200 72-78 D-300 72-78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</si>
  <si>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45512</t>
  </si>
  <si>
    <t>AMORTIGUADOR DELANTERO CORONET 73-79 CHARGER 73-79 MONACO 77</t>
  </si>
  <si>
    <t>2134N</t>
  </si>
  <si>
    <t xml:space="preserve">Producto Original. 
SKU: 2134N. 
OEM: 45660. 
Marca: MONROE NACIONAL.
Aplicación: AMORTIGUADOR, DELT.CORONET 73-79 CHARGER 73-79 MONACO 77-79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</si>
  <si>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45660</t>
  </si>
  <si>
    <t>AMORTIGUADOR DELANTERO CHEVETTE 81-96</t>
  </si>
  <si>
    <t>2153N</t>
  </si>
  <si>
    <t xml:space="preserve">Producto Original. 
SKU: 2153N. 
OEM: G-22111. 
Marca: MONROE NACIONAL.
Aplicación: AMORTIGUADOR, DELT.CHEVETTE 81-96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</si>
  <si>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G-22111</t>
  </si>
  <si>
    <t>AMORTIGUADOR TRASERO FAIRMONT 77-84 ZEPHYR 79-82</t>
  </si>
  <si>
    <t>2157N</t>
  </si>
  <si>
    <t xml:space="preserve">Producto Original. 
SKU: 2157N. 
OEM: 22105. 
Marca: MONROE NACIONAL.
Aplicación: AMORTIGUADOR, TRAS.FAIRMONT 77-84 ZEPHYR 79-82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</si>
  <si>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22105</t>
  </si>
  <si>
    <t>AMORTIGUADOR TRASERO DAEWOO MATIZ 99-03 TICO 96-03</t>
  </si>
  <si>
    <t>21638</t>
  </si>
  <si>
    <t xml:space="preserve">Producto Original. 
SKU: 21638. 
OEM: 21031, 21638, GR25638. 
Marca: MONROE.
Aplicación: AMORTIGUADOR, TRAS.DAEWOO MATIZ 99-03 TICO 96-03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</si>
  <si>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21031, 21638, GR25638</t>
  </si>
  <si>
    <t>AMORTIGUADOR DELANTERO CJ-5 82-83 CJ-7 82-86 WAGONEER 74-83</t>
  </si>
  <si>
    <t>2164N</t>
  </si>
  <si>
    <t xml:space="preserve">Producto Original. 
SKU: 2164N. 
OEM: N/A. 
Marca: MONROE NACIONAL.
Aplicación: AMORTIGUADOR DELT.CJ-5 82-83 CJ-7 82-86 WAGONEER 74-83 DELT.TRAS.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</si>
  <si>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CJ-5 82-83 CJ-7 82-86 GRAND WAGONEER</t>
  </si>
  <si>
    <t xml:space="preserve">Producto Original. 
SKU: 2164N. 
OEM: N/A. 
Marca: MONROE NACIONAL.
Aplicación: AMORTIGUADOR DELT.CJ-5 82-83 CJ-7 82-86 GRAND WAGONEER 84-91 DELT.TRAS. F-350 67-79 TRAS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</si>
  <si>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22100</t>
  </si>
  <si>
    <t xml:space="preserve">Producto Original. 
SKU: 22100. 
OEM: 45374. 
Marca: GABRIEL.
Aplicación: AMORTIGUADOR DELT.CJ-5 82-83 CJ-7 82-86 WAGONEER 74-83 DELT.TRAS.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</si>
  <si>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45374</t>
  </si>
  <si>
    <t xml:space="preserve">Producto Original. 
SKU: 22100. 
OEM: 45374. 
Marca: GABRIEL.
Aplicación: AMORTIGUADOR DELT.CJ-5 82-83 CJ-7 82-86 GRAND WAGONEER 84-91 DELT.TRAS. F-350 67-79 TRAS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</si>
  <si>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FIAT MIRAFIORI 131 BRAVA 132 74-78</t>
  </si>
  <si>
    <t>22104</t>
  </si>
  <si>
    <t xml:space="preserve">Producto Original. 
SKU: 22104. 
OEM: N/A. 
Marca: GABRIEL.
Aplicación: AMORTIGUADOR, TRAS.FIAT MIRAFIORI 131 BRAVA 132 74-78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</si>
  <si>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WAGONEER 76-80</t>
  </si>
  <si>
    <t>22106</t>
  </si>
  <si>
    <t xml:space="preserve">Producto Original. 
SKU: 22106. 
OEM: N/A. 
Marca: GABRIEL.
Aplicación: AMORTIGUADOR, TRAS.WAGONEER 76-80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</si>
  <si>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FJ60 FJ 62 81-92 SAMURAI</t>
  </si>
  <si>
    <t>https://http2.mlstatic.com/D_871784-MLV111207772783_052026-O.jpg</t>
  </si>
  <si>
    <t>22108</t>
  </si>
  <si>
    <t xml:space="preserve">Producto Original. 
SKU: 22108. 
OEM: N/A. 
Marca: GABRIEL.
Aplicación: AMORTIGUADOR, DELT.TOYOTA FJ60 FJ 62 81-92 (SAMURAI)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</si>
  <si>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https://http2.mlstatic.com/D_993915-MLV111209848661_052026-O.jpg,https://http2.mlstatic.com/D_782348-MLV110280187388_052026-O.jpg</t>
  </si>
  <si>
    <t>22111</t>
  </si>
  <si>
    <t xml:space="preserve">Producto Original. 
SKU: 22111. 
OEM: 2153N. 
Marca: GABRIEL.
Aplicación: AMORTIGUADOR, DELT.CHEVETTE 81-96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</si>
  <si>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CORCEL DELANTERO REY 81-87 DACIA TAXI 9</t>
  </si>
  <si>
    <t>https://http2.mlstatic.com/D_704441-MLV110280307606_052026-O.jpg,https://http2.mlstatic.com/D_871997-MLV111207743049_052026-O.jpg</t>
  </si>
  <si>
    <t>22113E</t>
  </si>
  <si>
    <t xml:space="preserve">Producto Original. 
SKU: 22113E. 
OEM: 3253. 
Marca: GABRIEL.
Aplicación: AMORTIGUADOR, TRAS.CORCEL DEL REY 81-87 DACIA TAXI 98-04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</si>
  <si>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3253</t>
  </si>
  <si>
    <t>AMORTIGUADOR TRASERO RENAULT R-12 69-79 R-18 1 6 2 0 80-87 F</t>
  </si>
  <si>
    <t>https://http2.mlstatic.com/D_908598-MLV110279770560_052026-O.jpg</t>
  </si>
  <si>
    <t>22115E</t>
  </si>
  <si>
    <t xml:space="preserve">Producto Original. 
SKU: 22115E. 
OEM: N/A. 
Marca: GABRIEL.
Aplicación: AMORTIGUADOR, TRAS.RENAULT R-12 69-79 R-18 1.6 2.0 80-87 FUEGO 82-87 CORCEL DEL REY 81-87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</si>
  <si>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CENTURY 82-96 CELEBRITY 82-90</t>
  </si>
  <si>
    <t>https://http2.mlstatic.com/D_679317-MLV110280572656_052026-O.jpg,https://http2.mlstatic.com/D_962863-MLV111207772831_052026-O.jpg</t>
  </si>
  <si>
    <t>22116E</t>
  </si>
  <si>
    <t xml:space="preserve">Producto Original. 
SKU: 22116E. 
OEM: 33108, GR25108, 35746N, G-22116E. 
Marca: GABRIEL.
Aplicación: AMORTIGUADOR, TRAS.CENTURY 82-96 CELEBRITY 82-90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</si>
  <si>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33108, GR25108, 35746N, G-22116E</t>
  </si>
  <si>
    <t>AMORTIGUADOR TRASERO RENAULT R-5 81-86</t>
  </si>
  <si>
    <t>22122E</t>
  </si>
  <si>
    <t xml:space="preserve">Producto Original. 
SKU: 22122E. 
OEM: N/A. 
Marca: GABRIEL.
Aplicación: AMORTIGUADOR, TRAS.RENAULT R-5 81-86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</si>
  <si>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SIERRA 85-91</t>
  </si>
  <si>
    <t>https://http2.mlstatic.com/D_827682-MLV110279770584_052026-O.jpg,https://http2.mlstatic.com/D_899186-MLV110280572686_052026-O.jpg</t>
  </si>
  <si>
    <t>22126E</t>
  </si>
  <si>
    <t xml:space="preserve">Producto Original. 
SKU: 22126E. 
OEM: 2644N. 
Marca: GABRIEL.
Aplicación: AMORTIGUADOR, TRAS.SIERRA 85-91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</si>
  <si>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2644N</t>
  </si>
  <si>
    <t>AMORTIGUADOR DELANTERO F-150 80-94 F-350 80-94</t>
  </si>
  <si>
    <t>https://http2.mlstatic.com/D_941408-MLV111209848745_052026-O.jpg</t>
  </si>
  <si>
    <t>22130</t>
  </si>
  <si>
    <t xml:space="preserve">Producto Original. 
SKU: 22130. 
OEM: N/A. 
Marca: GABRIEL.
Aplicación: AMORTIGUADOR, DELT.F-150 80-94 F-350 80-94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</si>
  <si>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CHEVETTE 81-96 RANCHERA</t>
  </si>
  <si>
    <t>22137</t>
  </si>
  <si>
    <t xml:space="preserve">Producto Original. 
SKU: 22137. 
OEM: N/A. 
Marca: GABRIEL.
Aplicación: AMORTIGUADOR, TRAS.CHEVETTE 81-96 RANCHERA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</si>
  <si>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FJ60 FJ62 87-92 SAMURAI</t>
  </si>
  <si>
    <t>22140</t>
  </si>
  <si>
    <t xml:space="preserve">Producto Original. 
SKU: 22140. 
OEM: N/A. 
Marca: GABRIEL.
Aplicación: AMORTIGUADOR, TRAS.TOYOTA FJ60 FJ62 87-92 (SAMURAI)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</si>
  <si>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MACHITO FJ70 FJ75 86-93 PICK-UP</t>
  </si>
  <si>
    <t>22141</t>
  </si>
  <si>
    <t xml:space="preserve">Producto Original. 
SKU: 22141. 
OEM: N/A. 
Marca: GABRIEL.
Aplicación: AMORTIGUADOR, TRAS.TOYOTA MACHITO FJ70 FJ75 86-93 PICK-UP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</si>
  <si>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FJ70 86-93 MACHITO FJ75 86-93 PI</t>
  </si>
  <si>
    <t>https://http2.mlstatic.com/D_921046-MLV111209818779_052026-O.jpg</t>
  </si>
  <si>
    <t>22142</t>
  </si>
  <si>
    <t xml:space="preserve">Producto Original. 
SKU: 22142. 
OEM: N/A. 
Marca: GABRIEL.
Aplicación: AMORTIGUADOR, TRAS.TOYOTA FJ70 86-93 (MACHITO) FJ75 86-93 (PICK UP)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</si>
  <si>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FJ70 86-93 MACHITO FJ75 86-93</t>
  </si>
  <si>
    <t>22143</t>
  </si>
  <si>
    <t xml:space="preserve">Producto Original. 
SKU: 22143. 
OEM: N/A. 
Marca: GABRIEL.
Aplicación: AMORTIGUADOR, DELT.TOYOTA FJ70 86-93 (MACHITO) FJ75 86-93 (PICK UP)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</si>
  <si>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WRANGLER 87-95</t>
  </si>
  <si>
    <t>https://http2.mlstatic.com/D_654583-MLV110280572832_052026-O.jpg,https://http2.mlstatic.com/D_742758-MLV110280337782_052026-O.jpg</t>
  </si>
  <si>
    <t>22145</t>
  </si>
  <si>
    <t xml:space="preserve">Producto Original. 
SKU: 22145. 
OEM: 22145, 32219, 34975. 
Marca: GABRIEL.
Aplicación: AMORTIGUADOR, DELT.WRANGLER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</si>
  <si>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22145, 32219, 34975</t>
  </si>
  <si>
    <t>AMORTIGUADOR TRASERO WRANGLER 87-95</t>
  </si>
  <si>
    <t>https://http2.mlstatic.com/D_879870-MLV111209788789_052026-O.jpg</t>
  </si>
  <si>
    <t>22146</t>
  </si>
  <si>
    <t xml:space="preserve">Producto Original. 
SKU: 22146. 
OEM: N/A. 
Marca: GABRIEL.
Aplicación: AMORTIGUADOR, TRAS.WRANGLER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</si>
  <si>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CHEROKEE 84-90 XJ COMANCHE 86-90 WAGO</t>
  </si>
  <si>
    <t>22149</t>
  </si>
  <si>
    <t xml:space="preserve">Producto Original. 
SKU: 22149. 
OEM: 22149, 23092, 32196, 344088, 37026ST. 
Marca: GABRIEL.
Aplicación: AMORTIGUADOR DELT.CHEROKEE 84-90 XJ COMANCHE 86-90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</si>
  <si>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22149, 23092, 32196, 344088, 37026ST</t>
  </si>
  <si>
    <t>AMORTIGUADOR DELANTERO CHEROKEE 84-90 XJ COMANCHE 86-90 WRAN</t>
  </si>
  <si>
    <t xml:space="preserve">Producto Original. 
SKU: 22149. 
OEM: 22149, 23092, 32196, 344088, 37026ST. 
Marca: GABRIEL.
Aplicación: AMORTIGUADOR DELT.CHEROKEE 84-90 XJ COMANCHE 86-90 WRANGLER 97-06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</si>
  <si>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CHEROKEE 84-01 XJ WAGONEER 84-90</t>
  </si>
  <si>
    <t>https://http2.mlstatic.com/D_728481-MLV111207802779_052026-O.jpg,https://http2.mlstatic.com/D_865023-MLV110280307752_052026-O.jpg</t>
  </si>
  <si>
    <t>22151</t>
  </si>
  <si>
    <t xml:space="preserve">Producto Original. 
SKU: 22151. 
OEM: 32197, 37027ST. 
Marca: GABRIEL.
Aplicación: AMORTIGUADOR, TRAS.CHEROKEE 84-01 XJ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</si>
  <si>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32197, 37027ST</t>
  </si>
  <si>
    <t>AMORTIGUADOR DELANTERO CARIBE 88-93</t>
  </si>
  <si>
    <t>https://http2.mlstatic.com/D_637218-MLV110280187644_052026-O.jpg,https://http2.mlstatic.com/D_904281-MLV110280572890_052026-O.jpg</t>
  </si>
  <si>
    <t>22158</t>
  </si>
  <si>
    <t xml:space="preserve">Producto Original. 
SKU: 22158. 
OEM: N/A. 
Marca: GABRIEL.
Aplicación: AMORTIGUADOR, DELT.CARIBE 88-93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</si>
  <si>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CARIBE 88-93 RODEO 91-95 AMIGO 89-94</t>
  </si>
  <si>
    <t>https://http2.mlstatic.com/D_780526-MLV111207772991_052026-O.jpg</t>
  </si>
  <si>
    <t>22159</t>
  </si>
  <si>
    <t xml:space="preserve">Producto Original. 
SKU: 22159. 
OEM: N/A. 
Marca: GABRIEL.
Aplicación: AMORTIGUADOR, TRAS.CARIBE 88-93 RODEO 91-95 AMIGO 89-94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</si>
  <si>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LADA SEDAN 92-95</t>
  </si>
  <si>
    <t>22160</t>
  </si>
  <si>
    <t xml:space="preserve">Producto Original. 
SKU: 22160. 
OEM: 22160, 2781, 2791, FC-112. 
Marca: GABRIEL.
Aplicación: AMORTIGUADOR, DELT.LADA SEDAN 92-95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</si>
  <si>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22160, 2781, 2791, FC-112</t>
  </si>
  <si>
    <t>AMORTIGUADOR TRASERO LADA SEDAN 92-95</t>
  </si>
  <si>
    <t>https://http2.mlstatic.com/D_736982-MLV111209908807_052026-O.jpg</t>
  </si>
  <si>
    <t>22161</t>
  </si>
  <si>
    <t xml:space="preserve">Producto Original. 
SKU: 22161. 
OEM: N/A. 
Marca: GABRIEL.
Aplicación: AMORTIGUADOR, TRAS.LADA SEDAN 92-95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</si>
  <si>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NIVA 92-93</t>
  </si>
  <si>
    <t>22163</t>
  </si>
  <si>
    <t xml:space="preserve">Producto Original. 
SKU: 22163. 
OEM: N/A. 
Marca: GABRIEL.
Aplicación: AMORTIGUADOR, TRAS.NIVA 92-93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</si>
  <si>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CHEVROLET NPR 92-14</t>
  </si>
  <si>
    <t>https://http2.mlstatic.com/D_798149-MLV110279770772_052026-O.jpg</t>
  </si>
  <si>
    <t>22164</t>
  </si>
  <si>
    <t xml:space="preserve">Producto Original. 
SKU: 22164. 
OEM: 23171E, 93817603. 
Marca: GABRIEL.
Aplicación: AMORTIGUADOR, TRAS.CHEVROLET NPR 92-14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</si>
  <si>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23171E, 93817603</t>
  </si>
  <si>
    <t>AMORTIGUADOR DELANTERO TOYOTA FJ70 94-04 MACHITO FJ75 94-04</t>
  </si>
  <si>
    <t>https://http2.mlstatic.com/D_617170-MLV111209788871_052026-O.jpg</t>
  </si>
  <si>
    <t>22167</t>
  </si>
  <si>
    <t xml:space="preserve">Producto Original. 
SKU: 22167. 
OEM: N/A. 
Marca: GABRIEL.
Aplicación: AMORTIGUADOR, DELT.TOYOTA FJ70 94-04 (MACHITO) FJ75 94-04 (PICK UP)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</si>
  <si>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HYUNDAI EXCEL 97-99 SCOUPE 91-99</t>
  </si>
  <si>
    <t>22174E</t>
  </si>
  <si>
    <t xml:space="preserve">Producto Original. 
SKU: 22174E. 
OEM: G-22174E, GR25090, 33090. 
Marca: GABRIEL.
Aplicación: AMORTIGUADOR, TRAS.HYUNDAI EXCEL 97-99 SCOUPE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</si>
  <si>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G-22174E, GR25090, 33090</t>
  </si>
  <si>
    <t>AMORTIGUADOR DELANTERO MITSUBISHI CANTER 95-12 444 649TD 659</t>
  </si>
  <si>
    <t>https://http2.mlstatic.com/D_739789-MLV110281582242_052026-O.jpg</t>
  </si>
  <si>
    <t>22176</t>
  </si>
  <si>
    <t xml:space="preserve">Producto Original. 
SKU: 22176. 
OEM: N/A. 
Marca: GABRIEL.
Aplicación: AMORTIGUADOR DELT.MITSUBISHI CANTER 95-12 444 649TD 659D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</si>
  <si>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CANTER 14-16 F85TD</t>
  </si>
  <si>
    <t xml:space="preserve">Producto Original. 
SKU: 22176. 
OEM: N/A. 
Marca: GABRIEL.
Aplicación: AMORTIGUADOR DELT.MITSUBISHI CANTER 14-16 F85TD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</si>
  <si>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CANTER 95-12 444 649TD 659D</t>
  </si>
  <si>
    <t>https://http2.mlstatic.com/D_831869-MLV110281611756_052026-O.jpg,https://http2.mlstatic.com/D_720335-MLV110280098458_052026-O.jpg</t>
  </si>
  <si>
    <t>22177</t>
  </si>
  <si>
    <t xml:space="preserve">Producto Original. 
SKU: 22177. 
OEM: N/A. 
Marca: GABRIEL.
Aplicación: AMORTIGUADOR TRAS.MITSUBISHI CANTER 95-12 444 649TD 659D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</si>
  <si>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CANTER 14-16 F85TD</t>
  </si>
  <si>
    <t xml:space="preserve">Producto Original. 
SKU: 22177. 
OEM: N/A. 
Marca: GABRIEL.
Aplicación: AMORTIGUADOR TRAS.MITSUBISHI CANTER 14-16 F85TD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</si>
  <si>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PANEL L-300 91-12</t>
  </si>
  <si>
    <t>https://http2.mlstatic.com/D_690808-MLV110280572940_052026-O.jpg</t>
  </si>
  <si>
    <t>22178</t>
  </si>
  <si>
    <t xml:space="preserve">Producto Original. 
SKU: 22178. 
OEM: 22123, 46063, 46068, 22178. 
Marca: GABRIEL.
Aplicación: AMORTIGUADOR, DELT.MITSUBISHI PANEL L-300 91-12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</si>
  <si>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22123, 46063, 46068, 22178</t>
  </si>
  <si>
    <t>AMORTIGUADOR TRASERO MITSUBISHI PANEL L-300 92-12</t>
  </si>
  <si>
    <t>https://http2.mlstatic.com/D_710280-MLV111209878921_052026-O.jpg</t>
  </si>
  <si>
    <t>22179</t>
  </si>
  <si>
    <t xml:space="preserve">Producto Original. 
SKU: 22179. 
OEM: N/A. 
Marca: GABRIEL.
Aplicación: AMORTIGUADOR, TRAS.MITSUBISHI PANEL L-300 92-12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</si>
  <si>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CHERY TIGGO 06-09</t>
  </si>
  <si>
    <t>22209E</t>
  </si>
  <si>
    <t xml:space="preserve">Producto Original. 
SKU: 22209E. 
OEM: T112915010. 
Marca: GABRIEL.
Aplicación: AMORTIGUADOR, TRAS.CHERY TIGGO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</si>
  <si>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T112915010</t>
  </si>
  <si>
    <t>AMORTIGUADOR DELANTERO D-400 D-500 D-600 D-700 D-800 74-78</t>
  </si>
  <si>
    <t>23059</t>
  </si>
  <si>
    <t xml:space="preserve">Producto Original. 
SKU: 23059. 
OEM: N/A. 
Marca: GABRIEL.
Aplicación: AMORTIGUADOR, DELT.D-400 D-500 D-600 D-700 D-800 74-78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</si>
  <si>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C-40 C-50 C-60 76-79 P-31</t>
  </si>
  <si>
    <t>23060</t>
  </si>
  <si>
    <t xml:space="preserve">Producto Original. 
SKU: 23060. 
OEM: 23078, 23060, 53078, GR75960. 
Marca: GABRIEL.
Aplicación: AMORTIGUADOR, DELT.C-40 C-50 C-60 76-79 P-31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</si>
  <si>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23078, 23060, 53078, GR75960</t>
  </si>
  <si>
    <t>23063</t>
  </si>
  <si>
    <t xml:space="preserve">Producto Original. 
SKU: 23063. 
OEM: V95TK-18045-CA. 
Marca: GABRIEL.
Aplicación: AMORTIGUADOR, DELT.F-150 80-94 F-350 80-94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</si>
  <si>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V95TK-18045-CA</t>
  </si>
  <si>
    <t>AMORTIGUADOR TRASERO F-150 80-84 4X2 BRONCO 80-96 F-100 80-8</t>
  </si>
  <si>
    <t>23064</t>
  </si>
  <si>
    <t xml:space="preserve">Producto Original. 
SKU: 23064. 
OEM: G-23110, 32228, 34927, 5049N, GR75927. 
Marca: GABRIEL.
Aplicación: AMORTIGUADOR, TRAS.F-150 80-84 4X2 BRONCO 80-96 F-100 80-83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</si>
  <si>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G-23110, 32228, 34927, 5049N, GR75927</t>
  </si>
  <si>
    <t>AMORTIGUADOR DELANTERO CORCEL DELANTERO REY 81-87</t>
  </si>
  <si>
    <t>https://http2.mlstatic.com/D_659294-MLV110281612162_052026-O.jpg</t>
  </si>
  <si>
    <t>23065E</t>
  </si>
  <si>
    <t xml:space="preserve">Producto Original. 
SKU: 23065E. 
OEM: 6512N. 
Marca: GABRIEL.
Aplicación: AMORTIGUADOR, DELT.CORCEL DEL REY 81-87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</si>
  <si>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6512N</t>
  </si>
  <si>
    <t>AMORTIGUADOR DELANTERO TRASERO WAGONEER 80-81</t>
  </si>
  <si>
    <t>23066</t>
  </si>
  <si>
    <t xml:space="preserve">Producto Original. 
SKU: 23066. 
OEM: 53066. 
Marca: GABRIEL.
Aplicación: AMORTIGUADOR, DELT.TRAS.WAGONEER 80-81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</si>
  <si>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53066</t>
  </si>
  <si>
    <t>AMORTIGUADOR DELANTERO TOYOTA FJ40 FJ42 FJ43 FJ45 56-85 PICK</t>
  </si>
  <si>
    <t>23076</t>
  </si>
  <si>
    <t xml:space="preserve">Producto Original. 
SKU: 23076. 
OEM: 53076. 
Marca: GABRIEL.
Aplicación: AMORTIGUADOR, DELT.TOYOTA FJ40 FJ42 FJ43 FJ45 56-85 PICK-UP JEEP CJ-5 CJ-7 54-87 DELT.TRAS.COMANDO 67-69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</si>
  <si>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53076</t>
  </si>
  <si>
    <t>AMORTIGUADOR DELANTERO C-60 80-87 C-70 80-87 DELANTERO TRASE</t>
  </si>
  <si>
    <t>23078</t>
  </si>
  <si>
    <t xml:space="preserve">Producto Original. 
SKU: 23078. 
OEM: 53078, GR75960, 23060,. 
Marca: GABRIEL.
Aplicación: AMORTIGUADOR, DELT.C-60 80-87 C-70 80-87 DELT.TRAS.P-31 80-88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</si>
  <si>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53078, GR75960, 23060,</t>
  </si>
  <si>
    <t>AMORTIGUADOR DELANTERO F-600 80-87 F-750 80-87</t>
  </si>
  <si>
    <t>23080</t>
  </si>
  <si>
    <t xml:space="preserve">Producto Original. 
SKU: 23080. 
OEM: 53080. 
Marca: GABRIEL.
Aplicación: AMORTIGUADOR, DELT.F-600 80-87 F-750 80-87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</si>
  <si>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53080</t>
  </si>
  <si>
    <t>AMORTIGUADOR DELANTERO WAGONEER 82-89</t>
  </si>
  <si>
    <t>23081</t>
  </si>
  <si>
    <t xml:space="preserve">Producto Original. 
SKU: 23081. 
OEM: 53081. 
Marca: GABRIEL.
Aplicación: AMORTIGUADOR, DELT.WAGONEER 82-89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</si>
  <si>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53081</t>
  </si>
  <si>
    <t>https://http2.mlstatic.com/D_874154-MLV110280308364_052026-O.jpg</t>
  </si>
  <si>
    <t>23093</t>
  </si>
  <si>
    <t xml:space="preserve">Producto Original. 
SKU: 23093. 
OEM: 32197, 37027ST, 23127. 
Marca: GABRIEL.
Aplicación: AMORTIGUADOR, TRAS.CHEROKEE 84-01 XJ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</si>
  <si>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32197, 37027ST, 23127</t>
  </si>
  <si>
    <t>AMORTIGUADOR TRASERO COMANCHE 87-91</t>
  </si>
  <si>
    <t>https://http2.mlstatic.com/D_617968-MLV110280098858_052026-O.jpg</t>
  </si>
  <si>
    <t>23094</t>
  </si>
  <si>
    <t xml:space="preserve">Producto Original. 
SKU: 23094. 
OEM: 31094, 37029ST. 
Marca: GABRIEL.
Aplicación: AMORTIGUADOR, TRAS.COMANCHE 87-91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</si>
  <si>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31094, 37029ST</t>
  </si>
  <si>
    <t>AMORTIGUADOR DELANTERO ENCAVA 88-89 ISUZU CHASIS</t>
  </si>
  <si>
    <t>https://http2.mlstatic.com/D_763742-MLV111209819319_052026-O.jpg</t>
  </si>
  <si>
    <t>23095E</t>
  </si>
  <si>
    <t xml:space="preserve">Producto Original. 
SKU: 23095E. 
OEM: N/A. 
Marca: GABRIEL.
Aplicación: AMORTIGUADOR, DELT.ENCAVA 88-89 ISUZU CHASIS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</si>
  <si>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ENCAVA 88-04 E-600 E-610</t>
  </si>
  <si>
    <t>23096E</t>
  </si>
  <si>
    <t xml:space="preserve">Producto Original. 
SKU: 23096E. 
OEM: N/A. 
Marca: GABRIEL.
Aplicación: AMORTIGUADOR, TRAS.ENCAVA 88-04 E-600 E-610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</si>
  <si>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C-1500 88-99 C-3500 88-00</t>
  </si>
  <si>
    <t>23100E</t>
  </si>
  <si>
    <t xml:space="preserve">Producto Original. 
SKU: 23100E. 
OEM: 32225, 34985, 23100E, 835092, 37044ST, G-23100E, G-23104E. 
Marca: GABRIEL.
Aplicación: AMORTIGUADOR, TRAS.C-1500 88-99 C-3500 88-00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</si>
  <si>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32225, 34985, 23100E, 835092, 37044ST, G-23100E, G-23104E</t>
  </si>
  <si>
    <t>AMORTIGUADOR DELANTERO GRAND BLAZER 93-99 4X4 K-1500 92-99</t>
  </si>
  <si>
    <t>https://http2.mlstatic.com/D_979840-MLV111209819327_052026-O.jpg</t>
  </si>
  <si>
    <t>23101E</t>
  </si>
  <si>
    <t xml:space="preserve">Producto Original. 
SKU: 23101E. 
OEM: N/A. 
Marca: GABRIEL.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</si>
  <si>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GRAND BLAZER 4X4 92-99</t>
  </si>
  <si>
    <t>23102E</t>
  </si>
  <si>
    <t xml:space="preserve">Producto Original. 
SKU: 23102E. 
OEM: 53102, 23102E, 23104E. 
Marca: GABRIEL.
Aplicación: AMORTIGUADOR TRAS.GRAND BLAZER 4X4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</si>
  <si>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53102, 23102E, 23104E</t>
  </si>
  <si>
    <t>AMORTIGUADOR TRASERO GRAND EXPRESS 3500 06-09</t>
  </si>
  <si>
    <t xml:space="preserve">Producto Original. 
SKU: 23102E. 
OEM: 53102, 23102E, 23104E. 
Marca: GABRIEL.
Aplicación: AMORTIGUADOR TRAS.GRAND EXPRESS 3500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</si>
  <si>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CHEYENNE 4X4 93-98</t>
  </si>
  <si>
    <t>23103E</t>
  </si>
  <si>
    <t xml:space="preserve">Producto Original. 
SKU: 23103E. 
OEM: N/A. 
Marca: GABRIEL.
Aplicación: AMORTIGUADOR, DELT.CHEYENNE 4X4 93-98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</si>
  <si>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GRAND BLAZER 93-99 4X2 4 PUERTAS C-15</t>
  </si>
  <si>
    <t>23105E</t>
  </si>
  <si>
    <t xml:space="preserve">Producto Original. 
SKU: 23105E. 
OEM: 23113E. 
Marca: GABRIEL.
Aplicación: AMORTIGUADOR, DELT.GRAND BLAZER 93-99 4X2 (4 PUERTAS) 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</si>
  <si>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23113E</t>
  </si>
  <si>
    <t>AMORTIGUADOR TRASERO GRAND BLAZER 93-99 4X2 4 PUERTAS</t>
  </si>
  <si>
    <t>23106E</t>
  </si>
  <si>
    <t xml:space="preserve">Producto Original. 
SKU: 23106E. 
OEM: 23106-E. 
Marca: GABRIEL.
Aplicación: AMORTIGUADOR TRAS.GRAND BLAZER 93-99 4X2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</si>
  <si>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23106-E</t>
  </si>
  <si>
    <t>AMORTIGUADOR TRASERO GRAND EXPRESS 1500 96-14</t>
  </si>
  <si>
    <t xml:space="preserve">Producto Original. 
SKU: 23106E. 
OEM: 23106-E. 
Marca: GABRIEL.
Aplicación: AMORTIGUADOR TRAS.GRAND EXPRESS 1500 96-14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</si>
  <si>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23117E</t>
  </si>
  <si>
    <t xml:space="preserve">Producto Original. 
SKU: 23117E. 
OEM: 23101E. 
Marca: GABRIEL.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</si>
  <si>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23121E</t>
  </si>
  <si>
    <t xml:space="preserve">Producto Original. 
SKU: 23121E. 
OEM: N/A. 
Marca: GABRIEL.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</si>
  <si>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TRASERO MACK CAMION R600 78-98</t>
  </si>
  <si>
    <t>23125</t>
  </si>
  <si>
    <t xml:space="preserve">Producto Original. 
SKU: 23125. 
OEM: N/A. 
Marca: GABRIEL.
Aplicación: AMORTIGUADOR, DELT.TRAS.MACK CAMION R600 78-98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</si>
  <si>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C-3500 88-00</t>
  </si>
  <si>
    <t>23128E</t>
  </si>
  <si>
    <t xml:space="preserve">Producto Original. 
SKU: 23128E. 
OEM: N/A. 
Marca: GABRIEL.
Aplicación: AMORTIGUADOR, TRAS.C-3500 88-00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</si>
  <si>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MACK CH613 98-02</t>
  </si>
  <si>
    <t>23138</t>
  </si>
  <si>
    <t xml:space="preserve">Producto Original. 
SKU: 23138. 
OEM: N/A. 
Marca: GABRIEL.
Aplicación: AMORTIGUADOR, TRAS.MACK CH613 98-02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</si>
  <si>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FORD CARGO 815 DIESEL 02-09</t>
  </si>
  <si>
    <t>23163E</t>
  </si>
  <si>
    <t xml:space="preserve">Producto Original. 
SKU: 23163E. 
OEM: N/A. 
Marca: GABRIEL.
Aplicación: AMORTIGUADOR, DELT.FORD CARGO 815 DIESEL 02-09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</si>
  <si>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FORD CARGO 815 02-08</t>
  </si>
  <si>
    <t>23164E</t>
  </si>
  <si>
    <t xml:space="preserve">Producto Original. 
SKU: 23164E. 
OEM: N/A. 
Marca: GABRIEL.
Aplicación: AMORTIGUADOR, TRAS.FORD CARGO 815 02-08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</si>
  <si>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CHEVROLET NPR 92-14</t>
  </si>
  <si>
    <t>https://http2.mlstatic.com/D_678680-MLV110280098896_052026-O.jpg</t>
  </si>
  <si>
    <t>23170E</t>
  </si>
  <si>
    <t xml:space="preserve">Producto Original. 
SKU: 23170E. 
OEM: 93817602, 86001. 
Marca: GABRIEL.
Aplicación: AMORTIGUADOR, DELT.CHEVROLET NPR 92-14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</si>
  <si>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93817602, 86001</t>
  </si>
  <si>
    <t>AMORTIGUADOR TRASERO CHEVROLET NPR 92-16</t>
  </si>
  <si>
    <t>https://http2.mlstatic.com/D_874372-MLV111207833733_052026-O.jpg</t>
  </si>
  <si>
    <t>23171E</t>
  </si>
  <si>
    <t xml:space="preserve">Producto Original. 
SKU: 23171E. 
OEM: 93817603, 23164. 
Marca: GABRIEL.
Aplicación: AMORTIGUADOR TRAS.CHEVROLET NPR 92-16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</si>
  <si>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93817603, 23164</t>
  </si>
  <si>
    <t>AMORTIGUADOR TRASERO CHEVROLET NKR NLR 12-19 JAC 1040 1061K</t>
  </si>
  <si>
    <t xml:space="preserve">Producto Original. 
SKU: 23171E. 
OEM: 93817603, 23164. 
Marca: GABRIEL.
Aplicación: AMORTIGUADOR TRAS.CHEVROLET NKR NLR 12-19 JAC 1040 1061K 5T 6T 08-15 DONGFENT DUOLIKA 12-19 TOYOTA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</si>
  <si>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CHEVROLET SAMURAI FJ</t>
  </si>
  <si>
    <t xml:space="preserve">Producto Original. 
SKU: 23171E. 
OEM: 93817603, 23164. 
Marca: GABRIEL.
Aplicación: AMORTIGUADOR TRAS.CHEVROLET SAMURAI FJ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</si>
  <si>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DESCONTINUADO USE GR55960</t>
  </si>
  <si>
    <t>235615</t>
  </si>
  <si>
    <t xml:space="preserve">Producto Original. 
SKU: 235615. 
OEM: N/A. 
Marca: DANAPAC.
Aplicación: DESCONTINUADO USE GR55960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</si>
  <si>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DANAPAC</t>
  </si>
  <si>
    <t>AMORTIGUADOR DELANTERO DERECHO HONDA ACCORD 90-98</t>
  </si>
  <si>
    <t>https://http2.mlstatic.com/D_793381-MLV111207773643_052026-O.jpg</t>
  </si>
  <si>
    <t>23863</t>
  </si>
  <si>
    <t xml:space="preserve">Producto Original. 
SKU: 23863. 
OEM: 341171. 
Marca: MONROE.
Aplicación: AMORTIGUADOR, DELT.DER.HONDA ACCORD 90-98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</si>
  <si>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341171</t>
  </si>
  <si>
    <t>AMORTIGUADOR DELANTERO GRAND CHEROKEE 11-15 WK2 4G BILSTEIN</t>
  </si>
  <si>
    <t>24-225410</t>
  </si>
  <si>
    <t xml:space="preserve">Producto Original. 
SKU: 24-225410. 
OEM: GR55270, 68029502AD, 72546ST. 
Marca: BILSTEIN.
Aplicación: AMORTIGUADOR, DELT.GRAND CHEROKEE 11-15 WK2 4G BILSTEIN B6 (ALTURA ORIGINAL)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</si>
  <si>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BILSTEIN</t>
  </si>
  <si>
    <t>GR55270, 68029502AD, 72546ST</t>
  </si>
  <si>
    <t>https://http2.mlstatic.com/D_784470-MLV111207833843_052026-O.jpg,https://http2.mlstatic.com/D_681461-MLV110281582840_052026-O.jpg</t>
  </si>
  <si>
    <t>24-225434</t>
  </si>
  <si>
    <t xml:space="preserve">Producto Original. 
SKU: 24-225434. 
OEM: GR55270, 68029502AD, 72546ST, G-551068. 
Marca: BILSTEIN.
Aplicación: AMORTIGUADOR, DELT.GRAND CHEROKEE 11-15 WK2 4G BILSTEIN B8 5100 (GRADUABLES)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</si>
  <si>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GR55270, 68029502AD, 72546ST, G-551068</t>
  </si>
  <si>
    <t>AMORTIGUADOR DELANTERO GRAND CHEROKEE 05-10 WK</t>
  </si>
  <si>
    <t>https://http2.mlstatic.com/D_806772-MLV110281582846_052026-O.jpg</t>
  </si>
  <si>
    <t>24-225793</t>
  </si>
  <si>
    <t xml:space="preserve">Producto Original. 
SKU: 24-225793. 
OEM: 71377ST, G-551006, 930084, 5191275AE, 341603. 
Marca: FEBI BILSTEIN.
Aplicación: AMORTIGUADOR DELT.GRAND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</si>
  <si>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FEBI BILSTEIN</t>
  </si>
  <si>
    <t>71377ST, G-551006, 930084, 5191275AE, 341603</t>
  </si>
  <si>
    <t>AMORTIGUADOR DELANTERO GRAND COMMANDER 06-10 XK B8</t>
  </si>
  <si>
    <t xml:space="preserve">Producto Original. 
SKU: 24-225793. 
OEM: 71377ST, G-551006, 930084, 5191275AE, 341603. 
Marca: FEBI BILSTEIN.
Aplicación: AMORTIGUADOR DELT.GRAND COMMANDER 06-10 XK B8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</si>
  <si>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2644N. 
OEM: 22126E. 
Marca: MONROE NACIONAL.
Aplicación: AMORTIGUADOR, TRAS.SIERRA 85-91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</si>
  <si>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KUROBI 4X4</t>
  </si>
  <si>
    <t>2659</t>
  </si>
  <si>
    <t xml:space="preserve">Producto Original. 
SKU: 2659. 
OEM: MB111214. 
Marca: TOKICO.
Aplicación: AMORTIGUADOR, TRAS.MITSUBISHI KUROBI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</si>
  <si>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TOKICO</t>
  </si>
  <si>
    <t>MB111214</t>
  </si>
  <si>
    <t>AMORTIGUADOR TRASERO FIESTA 03-13</t>
  </si>
  <si>
    <t>27224</t>
  </si>
  <si>
    <t xml:space="preserve">Producto Original. 
SKU: 27224. 
OEM: G-22207E, GR25901, 23901N. 
Marca: MONROE.
Aplicación: AMORTIGUADOR, TRAS.FIESTA 03-13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</si>
  <si>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G-22207E, GR25901, 23901N</t>
  </si>
  <si>
    <t>AMORTIGUADOR TRASERO FIESTA 97-02 KA 04-07 POCA PRESION</t>
  </si>
  <si>
    <t>27228</t>
  </si>
  <si>
    <t xml:space="preserve">Producto Original. 
SKU: 27228. 
OEM: G-51089, 3084G, GR35806. 
Marca: MONROE.
Aplicación: AMORTIGUADOR, TRAS.FIESTA 97-02 KA 04-07 (POCA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</si>
  <si>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G-51089, 3084G, GR35806</t>
  </si>
  <si>
    <t>AMORTIGUADOR DELANTERO ECOSPORT 2 0 04-09 4X2 AUTOMATICO ECO</t>
  </si>
  <si>
    <t>https://http2.mlstatic.com/D_990194-MLV111209881071_052026-O.jpg</t>
  </si>
  <si>
    <t>27236</t>
  </si>
  <si>
    <t xml:space="preserve">Producto Original. 
SKU: 27236. 
OEM: G-35904, GR55045, 7N15-18045-AC. 
Marca: MONROE.
Aplicación: AMORTIGUADOR, DELT.ECOSPORT 2.0 04-09 4X2 (AUTOMATICO) ECOSPORT 2.0 04-09 4X4 (51MM) (PRECIO POR POCA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</si>
  <si>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G-35904, GR55045, 7N15-18045-AC</t>
  </si>
  <si>
    <t>AMORTIGUADOR TRASERO VW FOX BORA 04-07</t>
  </si>
  <si>
    <t>27270N</t>
  </si>
  <si>
    <t xml:space="preserve">Producto Original. 
SKU: 27270N. 
OEM: N/A. 
Marca: MONROE NACIONAL.
Aplicación: AMORTIGUADOR, TRAS.VW FOX BORA 04-07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</si>
  <si>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HILUX 4X4</t>
  </si>
  <si>
    <t>2788</t>
  </si>
  <si>
    <t xml:space="preserve">Producto Original. 
SKU: 2788. 
OEM: N/A. 
Marca: TOKICO.
Aplicación: AMORTIGUADOR, TRAS.TOYOTA HILUX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</si>
  <si>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C-10 63-86 C-20 63-86 C-30 63-89</t>
  </si>
  <si>
    <t>3033N</t>
  </si>
  <si>
    <t xml:space="preserve">Producto Original. 
SKU: 3033N. 
OEM: 45236, 33033, 34817. GR75817. 
Marca: MONROE NACIONAL.
Aplicación: AMORTIGUADOR, DELT.C-10 63-86 C-20 63-86 C-30 63-89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</si>
  <si>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45236, 33033, 34817. GR75817</t>
  </si>
  <si>
    <t>AMORTIGUADOR TRASERO CAPRICE 77-86 IMPALA 77-80</t>
  </si>
  <si>
    <t>3041N</t>
  </si>
  <si>
    <t xml:space="preserve">Producto Original. 
SKU: 3041N. 
OEM: 45263. 
Marca: MONROE NACIONAL.
Aplicación: AMORTIGUADOR TRAS.CAPRICE 77-86 IMPALA 77-80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</si>
  <si>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45263</t>
  </si>
  <si>
    <t>AMORTIGUADOR TRASERO CAPRICE 77-86 MALIBU 73-84</t>
  </si>
  <si>
    <t xml:space="preserve">Producto Original. 
SKU: 3041N. 
OEM: 45263. 
Marca: MONROE NACIONAL.
Aplicación: AMORTIGUADOR TRAS.CAPRICE 77-86 MALIBU 73-84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</si>
  <si>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CAPRICE 77-86 MONTE CARLO 78-82 NOVA 65</t>
  </si>
  <si>
    <t xml:space="preserve">Producto Original. 
SKU: 3041N. 
OEM: 45263. 
Marca: MONROE NACIONAL.
Aplicación: AMORTIGUADOR TRAS.CAPRICE 77-86 MONTE CARLO 78-82 NOVA 65-79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</si>
  <si>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FAIRLANE 65-74 LTD 67-82 RODEO 91-97 GR</t>
  </si>
  <si>
    <t>3049N</t>
  </si>
  <si>
    <t xml:space="preserve">Producto Original. 
SKU: 3049N. 
OEM: 45370. 
Marca: MONROE NACIONAL.
Aplicación: AMORTIGUADOR, TRAS.FAIRLANE 65-74 LTD 67-82 RODEO 91-97 GRAND MARQUIS 75-82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</si>
  <si>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45370</t>
  </si>
  <si>
    <t>AMORTIGUADOR TRASERO NOVA 75-79</t>
  </si>
  <si>
    <t>3065N</t>
  </si>
  <si>
    <t xml:space="preserve">Producto Original. 
SKU: 3065N. 
OEM: 45681. 
Marca: MONROE NACIONAL.
Aplicación: AMORTIGUADOR, TRAS.NOVA 75-79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</si>
  <si>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45681</t>
  </si>
  <si>
    <t>3082N</t>
  </si>
  <si>
    <t xml:space="preserve">Producto Original. 
SKU: 3082N. 
OEM: 45263. 
Marca: MONROE NACIONAL.
Aplicación: AMORTIGUADOR TRAS.CAPRICE 77-86 IMPALA 77-80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</si>
  <si>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3082N. 
OEM: 45263. 
Marca: MONROE NACIONAL.
Aplicación: AMORTIGUADOR TRAS.CAPRICE 77-86 MALIBU 73-84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</si>
  <si>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3082N. 
OEM: 45263. 
Marca: MONROE NACIONAL.
Aplicación: AMORTIGUADOR TRAS.CAPRICE 77-86 MONTE CARLO 78-82 NOVA 65-79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</si>
  <si>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C-10 73-86 C-20 73-86</t>
  </si>
  <si>
    <t>3084N</t>
  </si>
  <si>
    <t xml:space="preserve">Producto Original. 
SKU: 3084N. 
OEM: 45663, 33084, 34824, GR75824. 
Marca: MONROE NACIONAL.
Aplicación: AMORTIGUADOR, TRAS.C-10 73-86 C-20 73-86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</si>
  <si>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45663, 33084, 34824, GR75824</t>
  </si>
  <si>
    <t>3097N</t>
  </si>
  <si>
    <t xml:space="preserve">Producto Original. 
SKU: 3097N. 
OEM: 22105. 
Marca: MONROE NACIONAL.
Aplicación: AMORTIGUADOR, TRAS.FAIRMONT 77-84 ZEPHYR 79-82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</si>
  <si>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CJ-5 59-83 CJ-7 82-86 L-300 90-07</t>
  </si>
  <si>
    <t>https://http2.mlstatic.com/D_718004-MLV110282807808_052026-O.jpg</t>
  </si>
  <si>
    <t>31000</t>
  </si>
  <si>
    <t xml:space="preserve">Producto Original. 
SKU: 31000. 
OEM: 1000, 45006, 22150, 34905. 
Marca: MONROE.
Aplicación: AMORTIGUADOR, TRAS.CJ-5 59-83 CJ-7 82-86 L-300 90-07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</si>
  <si>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1000, 45006, 22150, 34905</t>
  </si>
  <si>
    <t>AMORTIGUADOR TRASERO CARIBE 84-86 COMANCHE 86-92 WAGONEER 63</t>
  </si>
  <si>
    <t>31094</t>
  </si>
  <si>
    <t xml:space="preserve">Producto Original. 
SKU: 31094. 
OEM: 37029ST. 
Marca: MONROE.
Aplicación: AMORTIGUADOR TRAS.CARIBE 84-86 COMANCHE 86-92 WAGONEER 63-73 LAND CRUISER 71-87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</si>
  <si>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37029ST</t>
  </si>
  <si>
    <t>AMORTIGUADOR TRASERO CARIBE 84-86 COMANCHE 86-92 SAMURAI 80-</t>
  </si>
  <si>
    <t xml:space="preserve">Producto Original. 
SKU: 31094. 
OEM: 37029ST. 
Marca: MONROE.
Aplicación: AMORTIGUADOR TRAS.CARIBE 84-86 COMANCHE 86-92 SAMURAI 80-87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</si>
  <si>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DART 62-77</t>
  </si>
  <si>
    <t>https://http2.mlstatic.com/D_881565-MLV111209823403_052026-O.jpg</t>
  </si>
  <si>
    <t>31131</t>
  </si>
  <si>
    <t xml:space="preserve">Producto Original. 
SKU: 31131. 
OEM: 45074. 
Marca: MONROE.
Aplicación: AMORTIGUADOR, TRAS.DART 62-77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</si>
  <si>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45074</t>
  </si>
  <si>
    <t>AMORTIGUADOR DELANTERO DERECHO IZQUIERDO AVEO 04-15 APLICA A</t>
  </si>
  <si>
    <t>313080</t>
  </si>
  <si>
    <t xml:space="preserve">Producto Original. 
SKU: 313080. 
OEM: GR55080, G-35896TH, G-35897TH, 333417, 333418. 
Marca: MONROE.
Aplicación: AMORTIGUADOR, DELT.DER.IZQ.AVEO 04-15 (APLICA AMBOS LADOS)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</si>
  <si>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GR55080, G-35896TH, G-35897TH, 333417, 333418</t>
  </si>
  <si>
    <t>32022</t>
  </si>
  <si>
    <t xml:space="preserve">Producto Original. 
SKU: 32022. 
OEM: 45171, 2022N. 
Marca: MONROE.
Aplicación: AMORTIGUADOR, DELT.CORONET 71-79 DART 65-77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</si>
  <si>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45171, 2022N</t>
  </si>
  <si>
    <t>AMORTIGUADOR DELANTERO C-1500 91-99</t>
  </si>
  <si>
    <t>32066</t>
  </si>
  <si>
    <t xml:space="preserve">Producto Original. 
SKU: 32066. 
OEM: 32300, 32132, 32066, 32362, G-23113E, 32224, 23129E, 37019ST. 
Marca: MONROE.
Aplicación: AMORTIGUADOR, DELT.C-1500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</si>
  <si>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32300, 32132, 32066, 32362, G-23113E, 32224, 23129E, 37019ST</t>
  </si>
  <si>
    <t>32105N</t>
  </si>
  <si>
    <t xml:space="preserve">Producto Original. 
SKU: 32105N. 
OEM: G-45365, 2105N, 32224, 45472. 
Marca: MONROE NACIONAL.
Aplicación: AMORTIGUADOR DELT.MALIBU 71-84 MONTE CARLO 71-84 CAMARO 70-79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</si>
  <si>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G-45365, 2105N, 32224, 45472</t>
  </si>
  <si>
    <t xml:space="preserve">Producto Original. 
SKU: 32105N. 
OEM: G-45365, 2105N, 32224, 45472. 
Marca: MONROE NACIONAL.
Aplicación: AMORTIGUADOR DELT.MALIBU 71-84 CAPRICE 77-86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</si>
  <si>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32105N. 
OEM: G-45365, 2105N, 32224, 45472. 
Marca: MONROE NACIONAL.
Aplicación: AMORTIGUADOR DELT.MALIBU 71-84 IMPALA 77-80 FAIRLANE 57-74 LTD 67-86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</si>
  <si>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32127</t>
  </si>
  <si>
    <t xml:space="preserve">Producto Original. 
SKU: 32127. 
OEM: 34750, 37093. 
Marca: MONROE.
Aplicación: AMORTIGUADOR, DELT.D-100 72-89 D-200 72-93 D-300 72-80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</si>
  <si>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34750, 37093</t>
  </si>
  <si>
    <t>3214-0117</t>
  </si>
  <si>
    <t xml:space="preserve">Producto Original. 
SKU: 3214-0117. 
OEM: 71377ST, 801377, G-56807, 341603, 335582. 
Marca: SENSEN.
Aplicación: AMORTIGUADOR DELT.GRAND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</si>
  <si>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SENSEN</t>
  </si>
  <si>
    <t>71377ST, 801377, G-56807, 341603, 335582</t>
  </si>
  <si>
    <t>AMORTIGUADOR DELANTERO GRAND COMMANDER 06-10 XK</t>
  </si>
  <si>
    <t xml:space="preserve">Producto Original. 
SKU: 3214-0117. 
OEM: 71377ST, 801377, G-56807, 341603, 335582. 
Marca: SENSEN.
Aplicación: AMORTIGUADOR DELT.GRAND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</si>
  <si>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SILVERADO 1500 07-14 TAHOE 07-15 AVAL</t>
  </si>
  <si>
    <t>3214-0125</t>
  </si>
  <si>
    <t xml:space="preserve">Producto Original. 
SKU: 3214-0125. 
OEM: 39104ST, G-51891, 341493, 345555. 
Marca: SENSEN.
Aplicación: AMORTIGUADOR, DELT.SILVERADO 1500 07-14 TAHOE 07-15 AVALANCHE 07-13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</si>
  <si>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39104ST, G-51891, 341493, 345555</t>
  </si>
  <si>
    <t>AMORTIGUADOR TRASERO EXPLORER 11-16</t>
  </si>
  <si>
    <t>3214-0218</t>
  </si>
  <si>
    <t xml:space="preserve">Producto Original. 
SKU: 3214-0218. 
OEM: 349167, 346099, 346100, 346101. 
Marca: SENSEN.
Aplicación: AMORTIGUADOR, TRAS.EXPLORER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</si>
  <si>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349167, 346099, 346100, 346101</t>
  </si>
  <si>
    <t>AMORTIGUADOR TRASERO GRAND CHEROKEE 11-19 4G DURANGO 11-19 W</t>
  </si>
  <si>
    <t>3214-0221</t>
  </si>
  <si>
    <t xml:space="preserve">Producto Original. 
SKU: 3214-0221. 
OEM: 911304, GR55271, G-511000. 
Marca: SENSEN.
Aplicación: AMORTIGUADOR, TRAS.GRAND CHEROKEE 11-19 4G DURANGO 11-19 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</si>
  <si>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911304, GR55271, G-511000</t>
  </si>
  <si>
    <t>AMORTIGUADOR DELANTERO SILVERADO 1500 14-15 VERS AMEI</t>
  </si>
  <si>
    <t>3214-0231</t>
  </si>
  <si>
    <t xml:space="preserve">Producto Original. 
SKU: 3214-0231. 
OEM: 39112ST, 345815. 
Marca: SENSEN.
Aplicación: AMORTIGUADOR, DELT.SILVERADO 1500 14-15 (Vers  amei)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</si>
  <si>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39112ST, 345815</t>
  </si>
  <si>
    <t>https://http2.mlstatic.com/D_771432-MLV111209853969_052026-O.jpg</t>
  </si>
  <si>
    <t>32164</t>
  </si>
  <si>
    <t xml:space="preserve">Producto Original. 
SKU: 32164. 
OEM: 34958. 
Marca: MONROE.
Aplicación: AMORTIGUADOR DELT.CJ-5 82-83 CJ-7 82-86 WAGONEER 74-83 DELT.TRAS.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</si>
  <si>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34958</t>
  </si>
  <si>
    <t xml:space="preserve">Producto Original. 
SKU: 32164. 
OEM: 34958. 
Marca: MONROE.
Aplicación: AMORTIGUADOR DELT.CJ-5 82-83 CJ-7 82-86 GRAND WAGONEER 84-91 DELT.TRAS. F-350 67-79 TRAS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</si>
  <si>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BLAZER 92-94 4X2 4X4 BLAZER 95-05 4X2 4</t>
  </si>
  <si>
    <t>https://http2.mlstatic.com/D_733339-MLV111211255329_052026-O.jpg</t>
  </si>
  <si>
    <t>32186</t>
  </si>
  <si>
    <t xml:space="preserve">Producto Original. 
SKU: 32186. 
OEM: 37021ST, G-22155, G-22157, G-22173E, 34934N. 
Marca: MONROE.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</si>
  <si>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37021ST, G-22155, G-22157, G-22173E, 34934N</t>
  </si>
  <si>
    <t>AMORTIGUADOR DELANTERO BLAZER 91-94 4X4 BLAZER 95-05 4X4</t>
  </si>
  <si>
    <t>32194</t>
  </si>
  <si>
    <t xml:space="preserve">Producto Original. 
SKU: 32194. 
OEM: G-22156, G-23114E, GR25194. 
Marca: MONROE.
Aplicación: AMORTIGUADOR, DELT.BLAZER 91-94 4X4 BLAZER 95-05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</si>
  <si>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G-22156, G-23114E, GR25194</t>
  </si>
  <si>
    <t>32196</t>
  </si>
  <si>
    <t xml:space="preserve">Producto Original. 
SKU: 32196. 
OEM: 37026ST. 
Marca: MONROE.
Aplicación: AMORTIGUADOR DELT.CHEROKEE 84-90 XJ COMANCHE 86-90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</si>
  <si>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37026ST</t>
  </si>
  <si>
    <t xml:space="preserve">Producto Original. 
SKU: 32196. 
OEM: 37026ST. 
Marca: MONROE.
Aplicación: AMORTIGUADOR DELT.CHEROKEE 84-90 XJ COMANCHE 86-90 WRANGLER 97-06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</si>
  <si>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https://http2.mlstatic.com/D_613011-MLV110280192792_052026-O.jpg</t>
  </si>
  <si>
    <t>32197</t>
  </si>
  <si>
    <t xml:space="preserve">Producto Original. 
SKU: 32197. 
OEM: 37027ST, G-22151. 
Marca: MONROE.
Aplicación: AMORTIGUADOR, TRAS.CHEROKEE 84-01 XJ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</si>
  <si>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37027ST, G-22151</t>
  </si>
  <si>
    <t>https://http2.mlstatic.com/D_981499-MLV111209793883_052026-O.jpg</t>
  </si>
  <si>
    <t>32198</t>
  </si>
  <si>
    <t xml:space="preserve">Producto Original. 
SKU: 32198. 
OEM: G-22110. 
Marca: MONROE.
Aplicación: AMORTIGUADOR TRAS.CAVALIER 82-94 CHEVETTE 81-96 CIELO 95-02 CORSICA 87-94 ESPERO 92-97 LANOS 96-02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</si>
  <si>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G-22110</t>
  </si>
  <si>
    <t xml:space="preserve">Producto Original. 
SKU: 32198. 
OEM: G-22110. 
Marca: MONROE.
Aplicación: AMORTIGUADOR TRAS.CAVALIER 82-94 MONZA 84-94 RACER 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</si>
  <si>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LUV 80-97 FRONTIER 98-04</t>
  </si>
  <si>
    <t>32206</t>
  </si>
  <si>
    <t xml:space="preserve">Producto Original. 
SKU: 32206. 
OEM: N/A. 
Marca: MONROE.
Aplicación: AMORTIGUADOR, DELT.LUV 80-97 FRONTIER 98-04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</si>
  <si>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CJ-5 59-81 CJ-7 76-81 LAND CRUISER 60</t>
  </si>
  <si>
    <t>32207</t>
  </si>
  <si>
    <t xml:space="preserve">Producto Original. 
SKU: 32207. 
OEM: N/A. 
Marca: MONROE.
Aplicación: AMORTIGUADOR, DELT.CJ-5 59-81 CJ-7 76-81 LAND CRUISER 60-84 SAMURAI 60-84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</si>
  <si>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CARIBE 88-93 RODEO 91-95 TROOPER 87-9</t>
  </si>
  <si>
    <t>32217</t>
  </si>
  <si>
    <t xml:space="preserve">Producto Original. 
SKU: 32217. 
OEM: N/A. 
Marca: MONROE.
Aplicación: AMORTIGUADOR, DELT.CARIBE 88-93 RODEO 91-95 TROOPER 87-91 AMIGO 89-94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</si>
  <si>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https://http2.mlstatic.com/D_981463-MLV111209913855_052026-O.jpg</t>
  </si>
  <si>
    <t>32219</t>
  </si>
  <si>
    <t xml:space="preserve">Producto Original. 
SKU: 32219. 
OEM: 22145, 32219, 34975. 
Marca: MONROE.
Aplicación: AMORTIGUADOR, DELT.WRANGLER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</si>
  <si>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https://http2.mlstatic.com/D_738265-MLV111209854033_052026-O.jpg</t>
  </si>
  <si>
    <t>32220</t>
  </si>
  <si>
    <t xml:space="preserve">Producto Original. 
SKU: 32220. 
OEM: 32220, 34976, G-22146. 
Marca: MONROE.
Aplicación: AMORTIGUADOR, TRAS.WRANGLER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</si>
  <si>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32220, 34976, G-22146</t>
  </si>
  <si>
    <t>32224</t>
  </si>
  <si>
    <t xml:space="preserve">Producto Original. 
SKU: 32224. 
OEM: 32300, 32132, 32066, 32362, G-23113E, 32224, 23129E, 37019ST. 
Marca: MONROE.
Aplicación: AMORTIGUADOR, DELT.C-1500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</si>
  <si>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C-1500 88-99 C-3500 88-00 K-1500 91-99</t>
  </si>
  <si>
    <t>32225</t>
  </si>
  <si>
    <t xml:space="preserve">Producto Original. 
SKU: 32225. 
OEM: 34985, 37044ST, 530-189,. 
Marca: MONROE.
Aplicación: AMORTIGUADOR, TRAS.C-1500 88-99 C-3500 88-00 K-1500 91-99 K-3500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</si>
  <si>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34985, 37044ST, 530-189,</t>
  </si>
  <si>
    <t>AMORTIGUADOR DELANTERO F-350 87-91 4X2</t>
  </si>
  <si>
    <t>https://http2.mlstatic.com/D_944556-MLV110280192862_052026-O.jpg</t>
  </si>
  <si>
    <t>32226</t>
  </si>
  <si>
    <t xml:space="preserve">Producto Original. 
SKU: 32226. 
OEM: N/A. 
Marca: MONROE.
Aplicación: AMORTIGUADOR, DELT.F-350 87-91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</si>
  <si>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F-150 80-96 BRONCO 80-96 INTERNO LUV</t>
  </si>
  <si>
    <t>32227</t>
  </si>
  <si>
    <t xml:space="preserve">Producto Original. 
SKU: 32227. 
OEM: N/A. 
Marca: MONROE.
Aplicación: AMORTIGUADOR, DELT.F-150 80-96 BRONCO 80-96 (INTERNO) 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</si>
  <si>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https://http2.mlstatic.com/D_870673-MLV110280103522_052026-O.jpg</t>
  </si>
  <si>
    <t>32228</t>
  </si>
  <si>
    <t xml:space="preserve">Producto Original. 
SKU: 32228. 
OEM: G-23110, 34927, 5049N, GR75927. 
Marca: MONROE.
Aplicación: AMORTIGUADOR, TRAS.F-150 80-84 4X2 BRONCO 80-96 F-100 80-83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</si>
  <si>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G-23110, 34927, 5049N, GR75927</t>
  </si>
  <si>
    <t>AMORTIGUADOR TRASERO CARAVAN 84-95 GRAND CARAVAN 87-95 TOWN</t>
  </si>
  <si>
    <t>32233N</t>
  </si>
  <si>
    <t xml:space="preserve">Producto Original. 
SKU: 32233N. 
OEM: N/A. 
Marca: VARIOS.
Aplicación: AMORTIGUADOR, TRAS.CARAVAN 84-95 GRAND CARAVAN 87-95 TOWN &amp; COUNTRY 90-95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</si>
  <si>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VARIOS</t>
  </si>
  <si>
    <t>AMORTIGUADOR DELANTERO EXPLORER 91-94 RANGER 90-97</t>
  </si>
  <si>
    <t>https://http2.mlstatic.com/D_997699-MLV110280103526_052026-O.jpg</t>
  </si>
  <si>
    <t>32235</t>
  </si>
  <si>
    <t xml:space="preserve">Producto Original. 
SKU: 32235. 
OEM: 37015ST. 
Marca: MONROE.
Aplicación: AMORTIGUADOR, DELT.EXPLORER 91-94 RANGER 90-97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</si>
  <si>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37015ST</t>
  </si>
  <si>
    <t>AMORTIGUADOR TRASERO F-350 80-97 4X4 F-150 80-89 4X4</t>
  </si>
  <si>
    <t>https://http2.mlstatic.com/D_898151-MLV111211255423_052026-O.jpg</t>
  </si>
  <si>
    <t>32239</t>
  </si>
  <si>
    <t xml:space="preserve">Producto Original. 
SKU: 32239. 
OEM: 34930. 
Marca: MONROE.
Aplicación: AMORTIGUADOR, TRAS.F-350 80-97 4X4 F-150 80-89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</si>
  <si>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34930</t>
  </si>
  <si>
    <t>AMORTIGUADOR DELANTERO TOYOTA 4RUNNER 86-95 PICKUP 86-95 T10</t>
  </si>
  <si>
    <t>32245</t>
  </si>
  <si>
    <t xml:space="preserve">Producto Original. 
SKU: 32245. 
OEM: 37030ST. 
Marca: VARIOS.
Aplicación: AMORTIGUADOR, DELT.TOYOTA 4RUNNER 86-95 PICKUP 86-95 T100 93-98 HYLUX 90-96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</si>
  <si>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37030ST</t>
  </si>
  <si>
    <t>AMORTIGUADOR DELANTERO GRAND CHEROKEE 93-98 ZJ</t>
  </si>
  <si>
    <t>https://http2.mlstatic.com/D_839274-MLV110280103538_052026-O.jpg</t>
  </si>
  <si>
    <t>32252</t>
  </si>
  <si>
    <t xml:space="preserve">Producto Original. 
SKU: 32252. 
OEM: 37081ST. 
Marca: MONROE.
Aplicación: AMORTIGUADOR DELT.GRAND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</si>
  <si>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37081ST</t>
  </si>
  <si>
    <t>AMORTIGUADOR DELANTERO GRAND CHEROKEE 91-01 XJ COMANCHE 91-9</t>
  </si>
  <si>
    <t xml:space="preserve">Producto Original. 
SKU: 32252. 
OEM: 37081ST. 
Marca: MONROE.
Aplicación: AMORTIGUADOR DELT.GRAND CHEROKEE 91-01 XJ COMANCHE 91-92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</si>
  <si>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EXPLORER 91-03 EXPLORER SPORT 01-03 SPO</t>
  </si>
  <si>
    <t>https://http2.mlstatic.com/D_868907-MLV111209793953_052026-O.jpg</t>
  </si>
  <si>
    <t>32253</t>
  </si>
  <si>
    <t xml:space="preserve">Producto Original. 
SKU: 32253. 
OEM: 37035ST, G-23112, GR75035. 
Marca: MONROE.
Aplicación: AMORTIGUADOR, TRAS.EXPLORER 91-03 EXPLORER SPORT 01-03 SPORT TRAC 01-05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</si>
  <si>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37035ST, G-23112, GR75035</t>
  </si>
  <si>
    <t>32263</t>
  </si>
  <si>
    <t xml:space="preserve">Producto Original. 
SKU: 32263. 
OEM: 34798, 37130ST, HGS-111. 
Marca: MONROE.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</si>
  <si>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34798, 37130ST, HGS-111</t>
  </si>
  <si>
    <t>https://http2.mlstatic.com/D_815037-MLV111209793961_052026-O.jpg</t>
  </si>
  <si>
    <t>32264</t>
  </si>
  <si>
    <t xml:space="preserve">Producto Original. 
SKU: 32264. 
OEM: 34762, 37085ST. 
Marca: MONROE.
Aplicación: AMORTIGUADOR TRAS.GRAND BLAZER 93-99 4X2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</si>
  <si>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34762, 37085ST</t>
  </si>
  <si>
    <t xml:space="preserve">Producto Original. 
SKU: 32264. 
OEM: 34762, 37085ST. 
Marca: MONROE.
Aplicación: AMORTIGUADOR TRAS.GRAND EXPRESS 1500 96-14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</si>
  <si>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GRAND BLAZER 93-99 4X4 4 PUERTAS</t>
  </si>
  <si>
    <t>32265</t>
  </si>
  <si>
    <t xml:space="preserve">Producto Original. 
SKU: 32265. 
OEM: 34763. 
Marca: MONROE.
Aplicación: AMORTIGUADOR TRAS.GRAND BLAZER 93-99 4X4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</si>
  <si>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34763</t>
  </si>
  <si>
    <t>AMORTIGUADOR TRASERO GRAND EXPRESS 3500 96-18</t>
  </si>
  <si>
    <t xml:space="preserve">Producto Original. 
SKU: 32265. 
OEM: 34763. 
Marca: MONROE.
Aplicación: AMORTIGUADOR TRAS.GRAND EXPRESS 3500 96-18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</si>
  <si>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GRAND BLAZER 93-99</t>
  </si>
  <si>
    <t>https://http2.mlstatic.com/D_687320-MLV111209884167_052026-O.jpg</t>
  </si>
  <si>
    <t>32266</t>
  </si>
  <si>
    <t xml:space="preserve">Producto Original. 
SKU: 32266. 
OEM: 34767, 37087ST. 
Marca: MONROE.
Aplicación: AMORTIGUADOR, TRAS.GRAND BLAZER 93-99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</si>
  <si>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34767, 37087ST</t>
  </si>
  <si>
    <t>AMORTIGUADOR TRASERO GRAND CHEROKEE 93-98 ZJ</t>
  </si>
  <si>
    <t>32269</t>
  </si>
  <si>
    <t xml:space="preserve">Producto Original. 
SKU: 32269. 
OEM: 37082ST. 
Marca: MONROE.
Aplicación: AMORTIGUADOR, TRAS.GRAND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</si>
  <si>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37082ST</t>
  </si>
  <si>
    <t>AMORTIGUADOR DELANTERO CARIBE 87-93 RODEO 96-97 TROOPER 92-0</t>
  </si>
  <si>
    <t>32271</t>
  </si>
  <si>
    <t xml:space="preserve">Producto Original. 
SKU: 32271. 
OEM: N/A. 
Marca: MONROE.
Aplicación: AMORTIGUADOR, DELT.CARIBE 87-93 RODEO 96-97 TROOPER 92-02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</si>
  <si>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MONTERO 92-00</t>
  </si>
  <si>
    <t>https://http2.mlstatic.com/D_726887-MLV111209854101_052026-O.jpg</t>
  </si>
  <si>
    <t>32274</t>
  </si>
  <si>
    <t xml:space="preserve">Producto Original. 
SKU: 32274. 
OEM: N/A. 
Marca: MONROE.
Aplicación: AMORTIGUADOR, TRAS.MITSUBISHI MONTERO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</si>
  <si>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94-01 4X2 RAM 2500 94-02 4X2</t>
  </si>
  <si>
    <t>https://http2.mlstatic.com/D_718181-MLV110282808506_052026-O.jpg</t>
  </si>
  <si>
    <t>32277</t>
  </si>
  <si>
    <t xml:space="preserve">Producto Original. 
SKU: 32277. 
OEM: 34776, 37102ST. 
Marca: MONROE.
Aplicación: AMORTIGUADOR DELT.RAM 1500 94-01 4X2 RAM 2500 94-02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</si>
  <si>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34776, 37102ST</t>
  </si>
  <si>
    <t>AMORTIGUADOR DELANTERO RAM 1500 94-01 4X2 RAM 3500 94-02 4X2</t>
  </si>
  <si>
    <t xml:space="preserve">Producto Original. 
SKU: 32277. 
OEM: 34776, 37102ST. 
Marca: MONROE.
Aplicación: AMORTIGUADOR DELT.RAM 1500 94-01 4X2 RAM 3500 94-02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</si>
  <si>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94-01 4X2 RAM 4000 97-02 4X2</t>
  </si>
  <si>
    <t xml:space="preserve">Producto Original. 
SKU: 32277. 
OEM: 34776, 37102ST. 
Marca: MONROE.
Aplicación: AMORTIGUADOR DELT.RAM 1500 94-01 4X2 RAM 4000 97-02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</si>
  <si>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RAM 1500 94-01 4X2 RAM 2500 94-02 4X2 4</t>
  </si>
  <si>
    <t>32278</t>
  </si>
  <si>
    <t xml:space="preserve">Producto Original. 
SKU: 32278. 
OEM: 34676, 37105ST. 
Marca: MONROE.
Aplicación: AMORTIGUADOR TRAS.RAM 1500 94-01 4X2 RAM 2500 94-02 4X2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</si>
  <si>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34676, 37105ST</t>
  </si>
  <si>
    <t>AMORTIGUADOR TRASERO RAM 1500 94-01 4X2 RAM 3500 94-02 4X2</t>
  </si>
  <si>
    <t xml:space="preserve">Producto Original. 
SKU: 32278. 
OEM: 34676, 37105ST. 
Marca: MONROE.
Aplicación: AMORTIGUADOR TRAS.RAM 1500 94-01 4X2 RAM 3500 94-02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</si>
  <si>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94-01 4X4 RAM 2500 94-02 4X4</t>
  </si>
  <si>
    <t>https://http2.mlstatic.com/D_831240-MLV110280103584_052026-O.jpg</t>
  </si>
  <si>
    <t>32279</t>
  </si>
  <si>
    <t xml:space="preserve">Producto Original. 
SKU: 32279. 
OEM: 34778, 37104ST. 
Marca: MONROE.
Aplicación: AMORTIGUADOR, DELT.RAM 1500 94-01 4X4 RAM 2500 94-02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</si>
  <si>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34778, 37104ST</t>
  </si>
  <si>
    <t>AMORTIGUADOR TRASERO SAMURAI 88-90FJ62</t>
  </si>
  <si>
    <t>32283</t>
  </si>
  <si>
    <t xml:space="preserve">Producto Original. 
SKU: 32283. 
OEM: N/A. 
Marca: MONROE.
Aplicación: AMORTIGUADOR, TRAS.SAMURAI 88-90FJ62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</si>
  <si>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CARAVAN 95-07 GRAND CARAVAN 95-07 TOWN</t>
  </si>
  <si>
    <t>https://http2.mlstatic.com/D_866306-MLV111209794009_052026-O.jpg</t>
  </si>
  <si>
    <t>32290</t>
  </si>
  <si>
    <t xml:space="preserve">Producto Original. 
SKU: 32290. 
OEM: G-63690, GR25290. 
Marca: MONROE.
Aplicación: AMORTIGUADOR, TRAS.CARAVAN 95-07 GRAND CARAVAN 95-07 TOWN &amp; COUNTRY 95-07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</si>
  <si>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G-63690, GR25290</t>
  </si>
  <si>
    <t>AMORTIGUADOR DELANTERO EXPLORER 95-01 4X4 EXPLORER SPORT 01-</t>
  </si>
  <si>
    <t>32296</t>
  </si>
  <si>
    <t xml:space="preserve">Producto Original. 
SKU: 32296. 
OEM: 32296, 37122, G-23111, G-86308E, 88947980. 
Marca: MONROE.
Aplicación: AMORTIGUADOR DELT.EXPLORER 95-01 4X4 EXPLORER SPORT 01-03 4X4 SPORT TRAC 01-05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</si>
  <si>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32296, 37122, G-23111, G-86308E, 88947980</t>
  </si>
  <si>
    <t>AMORTIGUADOR DELANTERO EXPLORER 95-01 4X4 RANGER 98-11 BARRA</t>
  </si>
  <si>
    <t xml:space="preserve">Producto Original. 
SKU: 32296. 
OEM: 32296, 37122, G-23111, G-86308E, 88947980. 
Marca: MONROE.
Aplicación: AMORTIGUADOR DELT.EXPLORER 95-01 4X4 RANGER 98-11 BARRA TORSION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</si>
  <si>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BLAZER 91-94 4X2 BLAZER 95-05 4X2 S-1</t>
  </si>
  <si>
    <t>32300</t>
  </si>
  <si>
    <t xml:space="preserve">Producto Original. 
SKU: 32300. 
OEM: 37019ST, G-22154, G-23115E, GR25300, 32224. 
Marca: MONROE.
Aplicación: AMORTIGUADOR, DELT.BLAZER 91-94 4X2 BLAZER 95-05 4X2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</si>
  <si>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37019ST, G-22154, G-23115E, GR25300, 32224</t>
  </si>
  <si>
    <t>AMORTIGUADOR TRASERO F-150 97-04 4X2 13 8750 23 750 LS26 9 8</t>
  </si>
  <si>
    <t>32303</t>
  </si>
  <si>
    <t xml:space="preserve">Producto Original. 
SKU: 32303. 
OEM: 34656, G-23140E, 32303. GR75656. 
Marca: MONROE.
Aplicación: AMORTIGUADOR, TRAS.F-150 97-04 4X2 (13,8750 23.750 LS26 9.8750 S4)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</si>
  <si>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34656, G-23140E, 32303. GR75656</t>
  </si>
  <si>
    <t>AMORTIGUADOR TRASERO GRAND VITARA 99-08</t>
  </si>
  <si>
    <t>32316</t>
  </si>
  <si>
    <t xml:space="preserve">Producto Original. 
SKU: 32316. 
OEM: G-21147E, G-21143E, GR75070, 37269ST. 
Marca: MONROE.
Aplicación: AMORTIGUADOR TRAS.GRAND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</si>
  <si>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G-21147E, G-21143E, GR75070, 37269ST</t>
  </si>
  <si>
    <t>AMORTIGUADOR TRASERO GRAND VITARA 99-04 SIDEKICK 89-98</t>
  </si>
  <si>
    <t xml:space="preserve">Producto Original. 
SKU: 32316. 
OEM: G-21147E, G-21143E, GR75070, 37269ST. 
Marca: MONROE.
Aplicación: AMORTIGUADOR TRAS.GRAND VITARA 99-04 SIDEKICK 89-98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</si>
  <si>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SILVERADO 1500 99-06 4X2</t>
  </si>
  <si>
    <t>https://http2.mlstatic.com/D_909951-MLV111209913955_052026-O.jpg</t>
  </si>
  <si>
    <t>32326</t>
  </si>
  <si>
    <t xml:space="preserve">Producto Original. 
SKU: 32326. 
OEM: 23154, 32326, 34675, 37149ST, GR75675, G-23154, 835206. 
Marca: MONROE.
Aplicación: AMORTIGUADOR, DELT.SILVERADO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</si>
  <si>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23154, 32326, 34675, 37149ST, GR75675, G-23154, 835206</t>
  </si>
  <si>
    <t>AMORTIGUADOR TRASERO SILVERADO 1500 99-06 4X2</t>
  </si>
  <si>
    <t>https://http2.mlstatic.com/D_756525-MLV111209794037_052026-O.jpg</t>
  </si>
  <si>
    <t>32327</t>
  </si>
  <si>
    <t xml:space="preserve">Producto Original. 
SKU: 32327. 
OEM: 34676. 
Marca: MONROE.
Aplicación: AMORTIGUADOR, TRAS.SILVERADO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</si>
  <si>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34676</t>
  </si>
  <si>
    <t>AMORTIGUADOR DELANTERO SILVERADO 1500 99-06 4X4</t>
  </si>
  <si>
    <t>https://http2.mlstatic.com/D_796496-MLV111209913991_052026-O.jpg</t>
  </si>
  <si>
    <t>32328</t>
  </si>
  <si>
    <t xml:space="preserve">Producto Original. 
SKU: 32328. 
OEM: 23156, 32328, 34501, 34677, 37178ST, 53156, G-23156E. 
Marca: MONROE.
Aplicación: AMORTIGUADOR, DELT.SILVERADO 1500 99-06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</si>
  <si>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23156, 32328, 34501, 34677, 37178ST, 53156, G-23156E</t>
  </si>
  <si>
    <t>AMORTIGUADOR TRASERO SILVERADO 1500 99-06 4X4</t>
  </si>
  <si>
    <t>32329</t>
  </si>
  <si>
    <t xml:space="preserve">Producto Original. 
SKU: 32329. 
OEM: 34678, 37152ST. 
Marca: MONROE.
Aplicación: AMORTIGUADOR, TRAS.SILVERADO 1500 99-06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</si>
  <si>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34678, 37152ST</t>
  </si>
  <si>
    <t>AMORTIGUADOR TRASERO TOYOTA 4RUNNER 96-02 PRADO 00-06</t>
  </si>
  <si>
    <t>32334</t>
  </si>
  <si>
    <t xml:space="preserve">Producto Original. 
SKU: 32334. 
OEM: 32334, 37157ST, G-22185T, GR75157, 344288, G-63726. 
Marca: VARIOS.
Aplicación: AMORTIGUADOR TRAS.TOYOTA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</si>
  <si>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32334, 37157ST, G-22185T, GR75157, 344288, G-63726</t>
  </si>
  <si>
    <t>AMORTIGUADOR TRASERO TOYOTA 4RUNNER 96-02 MERU 04-09 TACOMA</t>
  </si>
  <si>
    <t xml:space="preserve">Producto Original. 
SKU: 32334. 
OEM: 32334, 37157ST, G-22185T, GR75157, 344288, G-63726. 
Marca: VARIOS.
Aplicación: AMORTIGUADOR TRAS.TOYOTA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</si>
  <si>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GRAND CHEROKEE 99-05 WJ</t>
  </si>
  <si>
    <t>32338</t>
  </si>
  <si>
    <t xml:space="preserve">Producto Original. 
SKU: 32338. 
OEM: 34766, 37161ST. 
Marca: MONROE.
Aplicación: AMORTIGUADOR, DELT.GRAND CHEROKEE 99-05 WJ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</si>
  <si>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34766, 37161ST</t>
  </si>
  <si>
    <t>AMORTIGUADOR TRASERO GRAND CHEROKEE 99-05 WJ</t>
  </si>
  <si>
    <t>32339</t>
  </si>
  <si>
    <t xml:space="preserve">Producto Original. 
SKU: 32339. 
OEM: 32339, 34769, 37162ST, GR75162. 
Marca: MONROE.
Aplicación: AMORTIGUADOR, TRAS.GRAND CHEROKEE 99-05 WJ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</si>
  <si>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32339, 34769, 37162ST, GR75162</t>
  </si>
  <si>
    <t>AMORTIGUADOR DELANTERO SILVERADO 2500 99-04 4X2</t>
  </si>
  <si>
    <t>32340</t>
  </si>
  <si>
    <t xml:space="preserve">Producto Original. 
SKU: 32340. 
OEM: N/A. 
Marca: MONROE.
Aplicación: AMORTIGUADOR, DELT.SILVERADO 2500 99-04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</si>
  <si>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SILVERADO 1500 01-07 HD SILVERADO 2500</t>
  </si>
  <si>
    <t>https://http2.mlstatic.com/D_646725-MLV111209824185_052026-O.jpg</t>
  </si>
  <si>
    <t>32341</t>
  </si>
  <si>
    <t xml:space="preserve">Producto Original. 
SKU: 32341. 
OEM: N/A. 
Marca: MONROE.
Aplicación: AMORTIGUADOR, TRAS.SILVERADO 1500 01-07 HD SILVERADO 2500 99-10 HD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</si>
  <si>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EXPLORER 95-03 4X2 EXPLORER SPORT 01-</t>
  </si>
  <si>
    <t>32346</t>
  </si>
  <si>
    <t xml:space="preserve">Producto Original. 
SKU: 32346. 
OEM: N/A. 
Marca: MONROE.
Aplicación: AMORTIGUADOR, DELT.EXPLORER 95-03 4X2 EXPLORER SPORT 01-03 4X2 SPORT TRAC 01-05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</si>
  <si>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SILVERADO 1500 HD 01-07 SILVERADO 350</t>
  </si>
  <si>
    <t>https://http2.mlstatic.com/D_917223-MLV111211255527_052026-O.jpg</t>
  </si>
  <si>
    <t>32350</t>
  </si>
  <si>
    <t xml:space="preserve">Producto Original. 
SKU: 32350. 
OEM: 34504, 37165ST. 
Marca: MONROE.
Aplicación: AMORTIGUADOR DELT.SILVERADO 1500 HD 01-07 SILVERADO 3500 01-07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</si>
  <si>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34504, 37165ST</t>
  </si>
  <si>
    <t xml:space="preserve">Producto Original. 
SKU: 32350. 
OEM: 34504, 37165ST. 
Marca: MONROE.
Aplicación: AMORTIGUADOR DELT.SILVERADO 1500 HD 01-07 SILVERADO 3500 HD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</si>
  <si>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MONTERO SPORT 00-04</t>
  </si>
  <si>
    <t>https://http2.mlstatic.com/D_618138-MLV111209854207_052026-O.jpg</t>
  </si>
  <si>
    <t>32388</t>
  </si>
  <si>
    <t xml:space="preserve">Producto Original. 
SKU: 32388. 
OEM: N/A. 
Marca: MONROE.
Aplicación: AMORTIGUADOR, DELT.MITSUBISHI MONTERO SPORT 00-04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</si>
  <si>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MITSUBIIHI MONTERO SPORT 00-04</t>
  </si>
  <si>
    <t>32389</t>
  </si>
  <si>
    <t xml:space="preserve">Producto Original. 
SKU: 32389. 
OEM: N/A. 
Marca: MONROE.
Aplicación: AMORTIGUADOR, TRAS.MITSUBIIHI MONTERO SPORT 00-04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</si>
  <si>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02-08 4X2</t>
  </si>
  <si>
    <t>32390</t>
  </si>
  <si>
    <t xml:space="preserve">Producto Original. 
SKU: 32390. 
OEM: N/A. 
Marca: MONROE.
Aplicación: AMORTIGUADOR, DELT.RAM 1500 02-08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</si>
  <si>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3253N</t>
  </si>
  <si>
    <t xml:space="preserve">Producto Original. 
SKU: 3253N. 
OEM: 22113E. 
Marca: MONROE NACIONAL.
Aplicación: AMORTIGUADOR, TRAS.CORCEL DEL REY 81-87 DACIA TAXI 98-04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</si>
  <si>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https://http2.mlstatic.com/D_912901-MLV110280103736_052026-O.jpg</t>
  </si>
  <si>
    <t>32707N</t>
  </si>
  <si>
    <t xml:space="preserve">Producto Original. 
SKU: 32707N. 
OEM: 21142E, GR25707, 69584, 32707. 
Marca: MONROE NACIONAL.
Aplicación: AMORTIGUADOR, TRAS.CORSA 96-06 CHEVY C2 07-09 CONFORT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</si>
  <si>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21142E, GR25707, 69584, 32707</t>
  </si>
  <si>
    <t>32722N</t>
  </si>
  <si>
    <t xml:space="preserve">Producto Original. 
SKU: 32722N. 
OEM: G-21159E, GR25722, 96424027. 
Marca: MONROE NACIONAL.
Aplicación: AMORTIGUADOR, TRAS.SPARK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</si>
  <si>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G-21159E, GR25722, 96424027</t>
  </si>
  <si>
    <t>AMORTIGUADOR TRASERO GRAND CHEROKEE 05-10 WK</t>
  </si>
  <si>
    <t>33-225807</t>
  </si>
  <si>
    <t xml:space="preserve">Producto Original. 
SKU: 33-225807. 
OEM: 32407, G-23173T, GR75278, 344496, 911278. 
Marca: BILSTEIN.
Aplicación: AMORTIGUADOR TRAS.GRAND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</si>
  <si>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32407, G-23173T, GR75278, 344496, 911278</t>
  </si>
  <si>
    <t>AMORTIGUADOR TRASERO GRAND COMMANDER 06-10 XK</t>
  </si>
  <si>
    <t xml:space="preserve">Producto Original. 
SKU: 33-225807. 
OEM: 32407, G-23173T, GR75278, 344496, 911278. 
Marca: BILSTEIN.
Aplicación: AMORTIGUADOR TRAS.GRAND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</si>
  <si>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https://http2.mlstatic.com/D_968908-MLV111211255711_052026-O.jpg</t>
  </si>
  <si>
    <t>33033</t>
  </si>
  <si>
    <t xml:space="preserve">Producto Original. 
SKU: 33033. 
OEM: 45236, 3033N, 34817, GR75817. 
Marca: MONROE.
Aplicación: AMORTIGUADOR, DELT.C-10 63-86 C-20 63-86 C-30 63-89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</si>
  <si>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45236, 3033N, 34817, GR75817</t>
  </si>
  <si>
    <t>AMORTIGUADOR TRASERO FAIRLANE 65-74 LTD 67-82 GRAND MARQUIS</t>
  </si>
  <si>
    <t>https://http2.mlstatic.com/D_844794-MLV111211255713_052026-O.jpg</t>
  </si>
  <si>
    <t>33049</t>
  </si>
  <si>
    <t xml:space="preserve">Producto Original. 
SKU: 33049. 
OEM: 45370. 
Marca: MONROE.
Aplicación: AMORTIGUADOR, TRAS.FAIRLANE 65-74 LTD 67-82 GRAND MARQUIS 75-82 RODEO 91-97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</si>
  <si>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IMPALA 94-96 /CAPRICE 66-96 /MALIBU 64-</t>
  </si>
  <si>
    <t>33082</t>
  </si>
  <si>
    <t xml:space="preserve">Producto Original. 
SKU: 33082. 
OEM: N/A. 
Marca: VARIOS.
Aplicación: AMORTIGUADOR, TRAS.IMPALA 94-96 /CAPRICE 66-96 /MALIBU 64-84 /NOVA   68-72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</si>
  <si>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https://http2.mlstatic.com/D_775864-MLV110280103842_052026-O.jpg</t>
  </si>
  <si>
    <t>33084</t>
  </si>
  <si>
    <t xml:space="preserve">Producto Original. 
SKU: 33084. 
OEM: 45663, 3084N, 34824, GR75824. 
Marca: MONROE.
Aplicación: AMORTIGUADOR, TRAS.C-10 73-86 C-20 73-86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</si>
  <si>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45663, 3084N, 34824, GR75824</t>
  </si>
  <si>
    <t>AMORTIGUADOR TRASERO LEBARON 89-95 SPIRIT 90-95</t>
  </si>
  <si>
    <t>https://http2.mlstatic.com/D_746461-MLV111209824449_052026-O.jpg</t>
  </si>
  <si>
    <t>33095</t>
  </si>
  <si>
    <t xml:space="preserve">Producto Original. 
SKU: 33095. 
OEM: 5959ST, 69632. 
Marca: MONROE.
Aplicación: AMORTIGUADOR, TRAS.LEBARON 89-95 SPIRIT 90-95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</si>
  <si>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5959ST, 69632</t>
  </si>
  <si>
    <t>AMORTIGUADOR TRASERO FAIRMONT 78-83 GRANADA 81-82 LTD 83-86</t>
  </si>
  <si>
    <t>33097</t>
  </si>
  <si>
    <t xml:space="preserve">Producto Original. 
SKU: 33097. 
OEM: N/A. 
Marca: MONROE.
Aplicación: AMORTIGUADOR, TRAS.FAIRMONT 78-83 GRANADA 81-82 LTD 83-86 MUSTANG 79-93 COUGAR 81-82 ZEPHYR 78-83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</si>
  <si>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TRAILBLAZER 02-09</t>
  </si>
  <si>
    <t>331016</t>
  </si>
  <si>
    <t xml:space="preserve">Producto Original. 
SKU: 331016. 
OEM: 71341ST, G-35883, GR55341. 
Marca: DANAPAC.
Aplicación: AMORTIGUADOR, DELT.TRAILBLAZER 02-09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</si>
  <si>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71341ST, G-35883, GR55341</t>
  </si>
  <si>
    <t>AMORTIGUADOR DELANTERO LIBERTY 02-14 KJ KK</t>
  </si>
  <si>
    <t>https://http2.mlstatic.com/D_781269-MLV110280103942_052026-O.jpg,https://http2.mlstatic.com/D_937150-MLV111209854547_052026-O.jpg,https://http2.mlstatic.com/D_876921-MLV111209824569_052026-O.jpg</t>
  </si>
  <si>
    <t>331017</t>
  </si>
  <si>
    <t xml:space="preserve">Producto Original. 
SKU: 331017. 
OEM: G-86306T, GR55577, 331017. 
Marca: KYB.
Aplicación: AMORTIGUADOR, DELT.LIBERTY 02-14 KJ KK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</si>
  <si>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KYB</t>
  </si>
  <si>
    <t>G-86306T, GR55577, 331017</t>
  </si>
  <si>
    <t>https://http2.mlstatic.com/D_634389-MLV110282808940_052026-O.jpg</t>
  </si>
  <si>
    <t>33108</t>
  </si>
  <si>
    <t xml:space="preserve">Producto Original. 
SKU: 33108. 
OEM: G-22116E, GR25108, 35746N. 
Marca: MONROE.
Aplicación: AMORTIGUADOR, TRAS.CENTURY 82-96 CELEBRITY 82-90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</si>
  <si>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G-22116E, GR25108, 35746N</t>
  </si>
  <si>
    <t>AMORTIGUADOR DELANTERO DERECHO MITSUBISHI LANCER 92-96</t>
  </si>
  <si>
    <t>33124E</t>
  </si>
  <si>
    <t xml:space="preserve">Producto Original. 
SKU: 33124E. 
OEM: 11170, G-35846, MW-772. 
Marca: DANAPAC.
Aplicación: AMORTIGUADOR, DELT.DER.MITSUBISHI LANCER 92-96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</si>
  <si>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11170, G-35846, MW-772</t>
  </si>
  <si>
    <t>33125E</t>
  </si>
  <si>
    <t xml:space="preserve">Producto Original. 
SKU: 33125E. 
OEM: 11171, G-35847, 333125. 
Marca: DANAPAC.
Aplicación: AMORTIGUADOR, DELT.IZQ.MITSUBISHI LANCER 92-96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</si>
  <si>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11171, G-35847, 333125</t>
  </si>
  <si>
    <t>AMORTIGUADOR DELANTERO CROWN VICTORIA 92-02 GRAND MARQUIS 92</t>
  </si>
  <si>
    <t>33127</t>
  </si>
  <si>
    <t xml:space="preserve">Producto Original. 
SKU: 33127. 
OEM: N/A. 
Marca: MONROE.
Aplicación: AMORTIGUADOR, DELT.CROWN VICTORIA 92-02 GRAND MARQUIS 92-02 TOWN CAR 81-02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</si>
  <si>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CROWN VICTORIA 92-02 GRAND MARQUIS 83-0</t>
  </si>
  <si>
    <t>https://http2.mlstatic.com/D_783290-MLV110280193354_052026-O.jpg</t>
  </si>
  <si>
    <t>33128</t>
  </si>
  <si>
    <t xml:space="preserve">Producto Original. 
SKU: 33128. 
OEM: N/A. 
Marca: MONROE.
Aplicación: AMORTIGUADOR, TRAS.CROWN VICTORIA 92-02 GRAND MARQUIS 83-02 TOWN CAR 81-02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</si>
  <si>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IMPALA 94-96</t>
  </si>
  <si>
    <t>https://http2.mlstatic.com/D_872213-MLV111209854561_052026-O.jpg</t>
  </si>
  <si>
    <t>33135</t>
  </si>
  <si>
    <t xml:space="preserve">Producto Original. 
SKU: 33135. 
OEM: N/A. 
Marca: MONROE.
Aplicación: AMORTIGUADOR, TRAS.IMPALA 94-96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</si>
  <si>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CIVIC 06-11 EMOTION SEDAN BUJE</t>
  </si>
  <si>
    <t>33185</t>
  </si>
  <si>
    <t xml:space="preserve">Producto Original. 
SKU: 33185. 
OEM: 5609ST,343479, GR35479. 
Marca: VARIOS.
Aplicación: AMORTIGUADOR, TRAS.HONDA CIVIC 06-11 EMOTION (SEDAN BUJE)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</si>
  <si>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5609ST,343479, GR35479</t>
  </si>
  <si>
    <t>AMORTIGUADOR TRASERO SWIFT 91-97</t>
  </si>
  <si>
    <t>332051</t>
  </si>
  <si>
    <t xml:space="preserve">Producto Original. 
SKU: 332051. 
OEM: G-35832, 801852, 332051. 
Marca: DANAPAC.
Aplicación: AMORTIGUADOR, TRAS.SWIFT 91-97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</si>
  <si>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G-35832, 801852, 332051</t>
  </si>
  <si>
    <t>AMORTIGUADOR TRASERO CHERY ORINOCO 2008</t>
  </si>
  <si>
    <t>332056</t>
  </si>
  <si>
    <t xml:space="preserve">Producto Original. 
SKU: 332056. 
OEM: N/A. 
Marca: VARIOS.
Aplicación: AMORTIGUADOR, TRAS.CHERY ORINOCO 2008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</si>
  <si>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WAGON R 00-04 MATIZ 99-03 TIC</t>
  </si>
  <si>
    <t>332092</t>
  </si>
  <si>
    <t xml:space="preserve">Producto Original. 
SKU: 332092. 
OEM: N/A. 
Marca: DANAPAC.
Aplicación: AMORTIGUADOR, DELT.DER.WAGON R 00-04 MATIZ 99-03 TICO 96-03 CHERY QQ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</si>
  <si>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WAGON R 00-04 MATIZ 99-03 T</t>
  </si>
  <si>
    <t>332093</t>
  </si>
  <si>
    <t xml:space="preserve">Producto Original. 
SKU: 332093. 
OEM: N/A. 
Marca: DANAPAC.
Aplicación: AMORTIGUADOR, DELT.IZQ.WAGON R 00-04 MATIZ 99-03 TICO 96-03 CHERY QQ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</si>
  <si>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DAEWOO MATIZ</t>
  </si>
  <si>
    <t>332130</t>
  </si>
  <si>
    <t xml:space="preserve">Producto Original. 
SKU: 332130. 
OEM: N/A. 
Marca: DANAPAC.
Aplicación: AMORTIGUADOR, DELT.DER.DAEWOO MATIZ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</si>
  <si>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DAEWOO MATIZ</t>
  </si>
  <si>
    <t>332131</t>
  </si>
  <si>
    <t xml:space="preserve">Producto Original. 
SKU: 332131. 
OEM: N/A. 
Marca: DANAPAC.
Aplicación: AMORTIGUADOR, DELT.IZQ.DAEWOO MATIZ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</si>
  <si>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SUPER CARRY 96-05</t>
  </si>
  <si>
    <t>333065</t>
  </si>
  <si>
    <t xml:space="preserve">Producto Original. 
SKU: 333065. 
OEM: G-35833. 
Marca: TVA.
Aplicación: AMORTIGUADOR, DELT.DER.SUPER CARRY 96-05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</si>
  <si>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TVA</t>
  </si>
  <si>
    <t>G-35833</t>
  </si>
  <si>
    <t>AMORTIGUADOR DELANTERO IZQUIERDO SUPER CARRY 96-05</t>
  </si>
  <si>
    <t>333066</t>
  </si>
  <si>
    <t xml:space="preserve">Producto Original. 
SKU: 333066. 
OEM: G-35834. 
Marca: TVA.
Aplicación: AMORTIGUADOR, DELT.IZQ.SUPER CARRY 96-05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</si>
  <si>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G-35834</t>
  </si>
  <si>
    <t>AMORTIGUADOR DELANTERO DERECHO NISSAN SENTRA 91-95 B13</t>
  </si>
  <si>
    <t>https://http2.mlstatic.com/D_707821-MLV110282809074_052026-O.jpg</t>
  </si>
  <si>
    <t>333089</t>
  </si>
  <si>
    <t xml:space="preserve">Producto Original. 
SKU: 333089. 
OEM: 801871, GR55871, MP8104, G-55658. 
Marca: KYB.
Aplicación: AMORTIGUADOR, DELT.DER.NISSAN SENTRA 91-95 B13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</si>
  <si>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801871, GR55871, MP8104, G-55658</t>
  </si>
  <si>
    <t>AMORTIGUADOR DELANTERO IZQUIERDO NISSAN SENTRA 91-95 B13</t>
  </si>
  <si>
    <t>https://http2.mlstatic.com/D_759323-MLV111209884761_052026-O.jpg</t>
  </si>
  <si>
    <t>333090</t>
  </si>
  <si>
    <t xml:space="preserve">Producto Original. 
SKU: 333090. 
OEM: 801872, GR55872, MP8105, G-55657. 
Marca: KYB.
Aplicación: AMORTIGUADOR, DELT.IZQ.NISSAN SENTRA 91-95 B13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</si>
  <si>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801872, GR55872, MP8105, G-55657</t>
  </si>
  <si>
    <t>AMORTIGUADOR DELANTERO DERECHO TOYOTA COROLLA 94-02 BABY</t>
  </si>
  <si>
    <t>333114</t>
  </si>
  <si>
    <t xml:space="preserve">Producto Original. 
SKU: 333114. 
OEM: 71951ST, 801951, G-55999, 234057, 331639R. 
Marca: KYB.
Aplicación: AMORTIGUADOR DELT.DER.TOYOTA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</si>
  <si>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71951ST, 801951, G-55999, 234057, 331639R</t>
  </si>
  <si>
    <t>AMORTIGUADOR DELANTERO DERECHO TOYOTA CAMRY SAPITO PANTALLIT</t>
  </si>
  <si>
    <t xml:space="preserve">Producto Original. 
SKU: 333114. 
OEM: 71951ST, 801951, G-55999, 234057, 331639R. 
Marca: KYB.
Aplicación: AMORTIGUADOR DELT.DER.TOYOTA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</si>
  <si>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COROLLA 95-02</t>
  </si>
  <si>
    <t>333115</t>
  </si>
  <si>
    <t xml:space="preserve">Producto Original. 
SKU: 333115. 
OEM: N/A. 
Marca: KYB.
Aplicación: AMORTIGUADOR, DELT.IZQ.TOYOTA COROLLA 95-02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</si>
  <si>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NISSAN SENTRA 95-99 B14</t>
  </si>
  <si>
    <t>333192</t>
  </si>
  <si>
    <t xml:space="preserve">Producto Original. 
SKU: 333192. 
OEM: 801968, 71968ST. 
Marca: KYB.
Aplicación: AMORTIGUADOR, DELT.DER.NISSAN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</si>
  <si>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801968, 71968ST</t>
  </si>
  <si>
    <t>AMORTIGUADOR DELANTERO IZQUIERDO NISSAN SENTRA 95-99 B14</t>
  </si>
  <si>
    <t>https://http2.mlstatic.com/D_616467-MLV110282809110_052026-O.jpg</t>
  </si>
  <si>
    <t>333193</t>
  </si>
  <si>
    <t xml:space="preserve">Producto Original. 
SKU: 333193. 
OEM: 801969, 71969ST. 
Marca: KYB.
Aplicación: AMORTIGUADOR, DELT.IZQ.NISSAN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</si>
  <si>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801969, 71969ST</t>
  </si>
  <si>
    <t>333207</t>
  </si>
  <si>
    <t xml:space="preserve">Producto Original. 
SKU: 333207. 
OEM: G-35886T, GR55406, 71406. 
Marca: TAIWAN / CHINO.
Aplicación: AMORTIGUADOR, TRAS.DER.HYUNDAI ELANTRA 96-12 TIBURON 97-02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</si>
  <si>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TAIWAN / CHINO</t>
  </si>
  <si>
    <t>G-35886T, GR55406, 71406</t>
  </si>
  <si>
    <t>333208</t>
  </si>
  <si>
    <t xml:space="preserve">Producto Original. 
SKU: 333208. 
OEM: G-35887T, GR55407, 71407. 
Marca: TAIWAN / CHINO.
Aplicación: AMORTIGUADOR, TRAS.IZQ.HYUNDAI ELANTRA 96-12 TIBURON 97-02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</si>
  <si>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G-35887T, GR55407, 71407</t>
  </si>
  <si>
    <t>AMORTIGUADOR TRASERO IZQUIERDO ESTEEM 97-03</t>
  </si>
  <si>
    <t>333216</t>
  </si>
  <si>
    <t xml:space="preserve">Producto Original. 
SKU: 333216. 
OEM: G-55948. 
Marca: DANAPAC.
Aplicación: AMORTIGUADOR, TRAS.IZQ.ESTEEM 97-03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</si>
  <si>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G-55948</t>
  </si>
  <si>
    <t>AMORTIGUADOR DELANTERO TOYOTA YARIS 99-05 NCP10</t>
  </si>
  <si>
    <t>333258</t>
  </si>
  <si>
    <t xml:space="preserve">Producto Original. 
SKU: 333258. 
OEM: N/A. 
Marca: KYB.
Aplicación: AMORTIGUADOR, DELT.TOYOTA YARIS 99-05 NCP10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</si>
  <si>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LASER 00-04 ALLEGRO 00-08</t>
  </si>
  <si>
    <t>333274</t>
  </si>
  <si>
    <t xml:space="preserve">Producto Original. 
SKU: 333274. 
OEM: G-55969, 16345. 
Marca: DANAPAC.
Aplicación: AMORTIGUADOR, DELT.DER.LASER 00-04 ALLEGRO 00-08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</si>
  <si>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G-55969, 16345</t>
  </si>
  <si>
    <t>AMORTIGUADOR DELANTERO IZQUIERDO LASER 00-04 ALLEGRO 00-08</t>
  </si>
  <si>
    <t>333275</t>
  </si>
  <si>
    <t xml:space="preserve">Producto Original. 
SKU: 333275. 
OEM: G-55970, 16346. 
Marca: DANAPAC.
Aplicación: AMORTIGUADOR, DELT.IZQ.LASER 00-04 ALLEGRO 00-08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</si>
  <si>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G-55970, 16346</t>
  </si>
  <si>
    <t>AMORTIGUADOR TRASERO DERECHO LASER 95-99 ALLEGRO 92-99</t>
  </si>
  <si>
    <t>333294</t>
  </si>
  <si>
    <t xml:space="preserve">Producto Original. 
SKU: 333294. 
OEM: G-55918, 11232, GR55232. 
Marca: DANAPAC.
Aplicación: AMORTIGUADOR, TRAS.DER.LASER 95-99 ALLEGRO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</si>
  <si>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G-55918, 11232, GR55232</t>
  </si>
  <si>
    <t>333295</t>
  </si>
  <si>
    <t xml:space="preserve">Producto Original. 
SKU: 333295. 
OEM: G-55919, 11233, GR55233. 
Marca: DANAPAC.
Aplicación: AMORTIGUADOR, TRAS.IZQ.LASER 95-99 ALLEGRO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</si>
  <si>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G-55919, 11233, GR55233</t>
  </si>
  <si>
    <t>AMORTIGUADOR DELANTERO DERECHO NISSAN SENTRA 00-07 B15</t>
  </si>
  <si>
    <t>https://http2.mlstatic.com/D_930128-MLV110280193528_052026-O.jpg</t>
  </si>
  <si>
    <t>333308</t>
  </si>
  <si>
    <t xml:space="preserve">Producto Original. 
SKU: 333308. 
OEM: G-56618, GR55566, 801566. 
Marca: KYB.
Aplicación: AMORTIGUADOR, DELT.DER.NISSAN SENTRA 00-07 B15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</si>
  <si>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G-56618, GR55566, 801566</t>
  </si>
  <si>
    <t>AMORTIGUADOR DELANTERO DERECHO HONDA FIT 02-06</t>
  </si>
  <si>
    <t>333331</t>
  </si>
  <si>
    <t xml:space="preserve">Producto Original. 
SKU: 333331. 
OEM: N/A. 
Marca: KYB.
Aplicación: AMORTIGUADOR, DELT.DER.HONDA FIT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</si>
  <si>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FIT 02-06</t>
  </si>
  <si>
    <t>333332</t>
  </si>
  <si>
    <t xml:space="preserve">Producto Original. 
SKU: 333332. 
OEM: N/A. 
Marca: KYB.
Aplicación: AMORTIGUADOR, DELT.IZQ.HONDA FIT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</si>
  <si>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COROLLA 03-08 NEW SENS</t>
  </si>
  <si>
    <t>333338</t>
  </si>
  <si>
    <t xml:space="preserve">Producto Original. 
SKU: 333338. 
OEM: G-35873, 802115N, 72114ST. 
Marca: KYB.
Aplicación: AMORTIGUADOR, DELT.DER.TOYOTA COROLLA 03-08 (NEW SENSATION)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</si>
  <si>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G-35873, 802115N, 72114ST</t>
  </si>
  <si>
    <t>AMORTIGUADOR DELANTERO IZQUIERDO TOYOTA COROLLA 03-08 NEW SE</t>
  </si>
  <si>
    <t>333339</t>
  </si>
  <si>
    <t xml:space="preserve">Producto Original. 
SKU: 333339. 
OEM: G-35874, GR55115. 
Marca: KYB.
Aplicación: AMORTIGUADOR, DELT.IZQ.TOYOTA COROLLA 03-08 (NEW SENSATION)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</si>
  <si>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G-35874, GR55115</t>
  </si>
  <si>
    <t>AMORTIGUADOR DELANTERO MITSUBISHI LANCER 01-05 1 3 1 5 1 8</t>
  </si>
  <si>
    <t>333381</t>
  </si>
  <si>
    <t xml:space="preserve">Producto Original. 
SKU: 333381. 
OEM: G-35865-333381. 
Marca: KYB.
Aplicación: AMORTIGUADOR DELT.MITSUBISHI LANCER 01-05 1.3 1.5 1.8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</si>
  <si>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G-35865-333381</t>
  </si>
  <si>
    <t>AMORTIGUADOR DELANTERO MITSUBISHI LANCER 05-13 1 6 PLATO PEQ</t>
  </si>
  <si>
    <t xml:space="preserve">Producto Original. 
SKU: 333381. 
OEM: G-35865-333381. 
Marca: KYB.
Aplicación: AMORTIGUADOR DELT.MITSUBISHI LANCER 05-13 1.6 PLATO PEQ.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</si>
  <si>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AVEO 04-15</t>
  </si>
  <si>
    <t>https://http2.mlstatic.com/D_999363-MLV111209794619_052026-O.jpg</t>
  </si>
  <si>
    <t>333417</t>
  </si>
  <si>
    <t xml:space="preserve">Producto Original. 
SKU: 333417. 
OEM: G-35896T, 713080N, 802503, 96980827. 
Marca: KYB.
Aplicación: AMORTIGUADOR, DELT.DER.AVEO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</si>
  <si>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G-35896T, 713080N, 802503, 96980827</t>
  </si>
  <si>
    <t>DESCONTINUADO</t>
  </si>
  <si>
    <t>https://http2.mlstatic.com/D_842111-MLV111209914571_052026-O.jpg</t>
  </si>
  <si>
    <t>333417E</t>
  </si>
  <si>
    <t xml:space="preserve">Producto Original. 
SKU: 333417E. 
OEM: N/A. 
Marca: MONROE.
Aplicación: DESCONTINUADO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</si>
  <si>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AVEO 04-15</t>
  </si>
  <si>
    <t>https://http2.mlstatic.com/D_948247-MLV111209794623_052026-O.jpg</t>
  </si>
  <si>
    <t>333418</t>
  </si>
  <si>
    <t xml:space="preserve">Producto Original. 
SKU: 333418. 
OEM: G-35897T, 713080N, 802501, 96980826. 
Marca: KYB.
Aplicación: AMORTIGUADOR, DELT.IZQ.AVEO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</si>
  <si>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G-35897T, 713080N, 802501, 96980826</t>
  </si>
  <si>
    <t>https://http2.mlstatic.com/D_868305-MLV111209824775_052026-O.jpg</t>
  </si>
  <si>
    <t>333418E</t>
  </si>
  <si>
    <t xml:space="preserve">Producto Original. 
SKU: 333418E. 
OEM: N/A. 
Marca: MASARU.
Aplicación: DESCONTINUADO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</si>
  <si>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MASARU</t>
  </si>
  <si>
    <t>AMORTIGUADOR TRASERO IZQUIERDO OPTRA 1 8 04-13</t>
  </si>
  <si>
    <t>333420</t>
  </si>
  <si>
    <t xml:space="preserve">Producto Original. 
SKU: 333420. 
OEM: G-55987T, 713096N, GR55096. 
Marca: KYB.
Aplicación: AMORTIGUADOR, TRAS.IZQ.OPTRA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</si>
  <si>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G-55987T, 713096N, GR55096</t>
  </si>
  <si>
    <t>AMORTIGUADOR DELANTERO DERECHO HONDA FIT 07-UP</t>
  </si>
  <si>
    <t>333474</t>
  </si>
  <si>
    <t xml:space="preserve">Producto Original. 
SKU: 333474. 
OEM: N/A. 
Marca: KYB.
Aplicación: AMORTIGUADOR, DELT.DER.HONDA FIT 07-UP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</si>
  <si>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FIT 07-UP</t>
  </si>
  <si>
    <t>333475</t>
  </si>
  <si>
    <t xml:space="preserve">Producto Original. 
SKU: 333475. 
OEM: N/A. 
Marca: KYB.
Aplicación: AMORTIGUADOR, DELT.IZQ.HONDA FIT 07-UP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</si>
  <si>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TERIOS 08-13 BEGO</t>
  </si>
  <si>
    <t>333486</t>
  </si>
  <si>
    <t xml:space="preserve">Producto Original. 
SKU: 333486. 
OEM: G-551002, GR55002. 
Marca: KYB.
Aplicación: AMORTIGUADOR, DELT.TOYOTA TERIOS 08-13 BEGO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</si>
  <si>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G-551002, GR55002</t>
  </si>
  <si>
    <t>AMORTIGUADOR DELANTERO TOYOTA TERIOS BEGO</t>
  </si>
  <si>
    <t>333496</t>
  </si>
  <si>
    <t xml:space="preserve">Producto Original. 
SKU: 333496. 
OEM: N/A. 
Marca: KYB.
Aplicación: AMORTIGUADOR, DELT.TOYOTA TERIOS BEGO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</si>
  <si>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COROLLA 14-18 USA</t>
  </si>
  <si>
    <t>3340047</t>
  </si>
  <si>
    <t xml:space="preserve">Producto Original. 
SKU: 3340047. 
OEM: N/A. 
Marca: KYB.
Aplicación: AMORTIGUADOR, DELT.DER.TOYOTA COROLLA 14-18 (USA)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</si>
  <si>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COROLLA 14-18 USA</t>
  </si>
  <si>
    <t>3340048</t>
  </si>
  <si>
    <t xml:space="preserve">Producto Original. 
SKU: 3340048. 
OEM: N/A. 
Marca: KYB.
Aplicación: AMORTIGUADOR, DELT.IZQ.TOYOTA COROLLA 14-18 (USA)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</si>
  <si>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YARIS 16+</t>
  </si>
  <si>
    <t>3340087</t>
  </si>
  <si>
    <t xml:space="preserve">Producto Original. 
SKU: 3340087. 
OEM: N/A. 
Marca: KYB.
Aplicación: AMORTIGUADOR, DELT.TOYOTA YARIS 16+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</si>
  <si>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CELICA 89-94</t>
  </si>
  <si>
    <t>334052</t>
  </si>
  <si>
    <t xml:space="preserve">Producto Original. 
SKU: 334052. 
OEM: 71893ST. 
Marca: KYB.
Aplicación: AMORTIGUADOR, TRAS.DER.TOYOTA CELICA 89-94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</si>
  <si>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71893ST</t>
  </si>
  <si>
    <t>AMORTIGUADOR TRASERO IZQUIERDO TOYOTA CELICA 89-94</t>
  </si>
  <si>
    <t>https://http2.mlstatic.com/D_928385-MLV110280104220_052026-O.jpg</t>
  </si>
  <si>
    <t>334053</t>
  </si>
  <si>
    <t xml:space="preserve">Producto Original. 
SKU: 334053. 
OEM: 71894ST. 
Marca: KYB.
Aplicación: AMORTIGUADOR, TRAS.IZQ.TOYOTA CELICA 89-94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</si>
  <si>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71894ST</t>
  </si>
  <si>
    <t>AMORTIGUADOR DELANTERO IZQUIERDO MITSUBISHI SPACE WAGON 98-0</t>
  </si>
  <si>
    <t>334236</t>
  </si>
  <si>
    <t xml:space="preserve">Producto Original. 
SKU: 334236. 
OEM: MR198065, MR316601. 
Marca: KYB.
Aplicación: AMORTIGUADOR, DELT.IZQ.MITSUBISHI SPACE WAGON 98-04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</si>
  <si>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MR198065, MR316601</t>
  </si>
  <si>
    <t>AMORTIGUADOR DELANTERO DERECHO TOYOTA CAMRY 97-01 AVALON 97-</t>
  </si>
  <si>
    <t>334245</t>
  </si>
  <si>
    <t xml:space="preserve">Producto Original. 
SKU: 334245. 
OEM: 71678ST, 801678, 339086, G-56514. 
Marca: KYB.
Aplicación: AMORTIGUADOR, DELT.DER.TOYOTA CAMRY 97-01 AVALON 97-03 LEXUS ES300 97-01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</si>
  <si>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71678ST, 801678, 339086, G-56514</t>
  </si>
  <si>
    <t>AMORTIGUADOR DELANTERO IZQUIERDO TOYOTA CAMRY 97-01 AVALON 9</t>
  </si>
  <si>
    <t>334246</t>
  </si>
  <si>
    <t xml:space="preserve">Producto Original. 
SKU: 334246. 
OEM: 71679ST, 801679, 339087, G-56506. 
Marca: KYB.
Aplicación: AMORTIGUADOR, DELT.IZQ.TOYOTA CAMRY 97-01 AVALON 97-03 LEXUS ES300 97-01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</si>
  <si>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71679ST, 801679, 339087, G-56506</t>
  </si>
  <si>
    <t>AMORTIGUADOR DELANTERO CAVALIER 95-05 SUNFIRE 95-05</t>
  </si>
  <si>
    <t>334316</t>
  </si>
  <si>
    <t xml:space="preserve">Producto Original. 
SKU: 334316. 
OEM: G-55920, 801973. 
Marca: DANAPAC.
Aplicación: AMORTIGUADOR, DELT.CAVALIER 95-05 SUNFIRE 95-05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</si>
  <si>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G-55920, 801973</t>
  </si>
  <si>
    <t>AMORTIGUADOR DELANTERO DERECHO TOYOTA CAMRY LUMIERE 04-06 LE</t>
  </si>
  <si>
    <t>334386</t>
  </si>
  <si>
    <t xml:space="preserve">Producto Original. 
SKU: 334386. 
OEM: G-56722, 72205ST. 
Marca: KYB.
Aplicación: AMORTIGUADOR, DELT.DER.TOYOTA CAMRY LUMIERE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</si>
  <si>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G-56722, 72205ST</t>
  </si>
  <si>
    <t>AMORTIGUADOR DELANTERO IZQUIERDO TOYOTA CAMRY LUMIERE 04-06</t>
  </si>
  <si>
    <t>334387</t>
  </si>
  <si>
    <t xml:space="preserve">Producto Original. 
SKU: 334387. 
OEM: 72206ST, 802206, G-56721. 
Marca: KYB.
Aplicación: AMORTIGUADOR, DELT.IZQ.TOYOTA CAMRY LUMIERE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</si>
  <si>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72206ST, 802206, G-56721</t>
  </si>
  <si>
    <t>AMORTIGUADOR TRASERO DERECHO TOYOTA CAMRY LUMIERE 04-06 AVAL</t>
  </si>
  <si>
    <t>334388</t>
  </si>
  <si>
    <t xml:space="preserve">Producto Original. 
SKU: 334388. 
OEM: 72207ST,  G-56728. 
Marca: KYB.
Aplicación: AMORTIGUADOR, TRAS.DER.TOYOTA CAMRY LUMIERE 04-06 AVALON 05-06 SOLARA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</si>
  <si>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72207ST,  G-56728</t>
  </si>
  <si>
    <t>AMORTIGUADOR TRASERO IZQUIERDO TOYOTA CAMRY LUMIERE 04-06 AV</t>
  </si>
  <si>
    <t>334389</t>
  </si>
  <si>
    <t xml:space="preserve">Producto Original. 
SKU: 334389. 
OEM: 72208ST, G-56729. 
Marca: KYB.
Aplicación: AMORTIGUADOR, TRAS.IZQ.TOYOTA CAMRY LUMIERE 04-06 AVALON 05-06 SOLARA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</si>
  <si>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72208ST, G-56729</t>
  </si>
  <si>
    <t>AMORTIGUADOR DELANTERO MITSUBISHI LANCER 05-15 2 0 TOURING P</t>
  </si>
  <si>
    <t>334420</t>
  </si>
  <si>
    <t xml:space="preserve">Producto Original. 
SKU: 334420. 
OEM: N/A. 
Marca: KYB.
Aplicación: AMORTIGUADOR, DELT.MITSUBISHI LANCER 05-15 2.0 (TOURING) (PLATO GRANDE)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</si>
  <si>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GRAND VITARA 08-13 JIII</t>
  </si>
  <si>
    <t>334464</t>
  </si>
  <si>
    <t xml:space="preserve">Producto Original. 
SKU: 334464. 
OEM: 72423ST, G-52185, 4214-0901, 331741R. 
Marca: KYB.
Aplicación: AMORTIGUADOR, DELT.DER.GRAND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</si>
  <si>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72423ST, G-52185, 4214-0901, 331741R</t>
  </si>
  <si>
    <t>AMORTIGUADOR DELANTERO IZQUIERDO GRAND VITARA 08-13 JIII</t>
  </si>
  <si>
    <t>334465</t>
  </si>
  <si>
    <t xml:space="preserve">Producto Original. 
SKU: 334465. 
OEM: 72424ST, G-52184, 4214-0902, 331741L. 
Marca: KYB.
Aplicación: AMORTIGUADOR, DELT.IZQ.GRAND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</si>
  <si>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72424ST, G-52184, 4214-0902, 331741L</t>
  </si>
  <si>
    <t>AMORTIGUADOR DELANTERO DERECHO TOYOTA YARIS 06-09</t>
  </si>
  <si>
    <t>334472</t>
  </si>
  <si>
    <t xml:space="preserve">Producto Original. 
SKU: 334472. 
OEM: 48510-80190, 48510-52C30, G-551042. 
Marca: KYB.
Aplicación: AMORTIGUADOR DELT.DER.TOYOTA YARIS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</si>
  <si>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48510-80190, 48510-52C30, G-551042</t>
  </si>
  <si>
    <t>AMORTIGUADOR DELANTERO DERECHO TOYOTA YARIS BELTA 06-09</t>
  </si>
  <si>
    <t xml:space="preserve">Producto Original. 
SKU: 334472. 
OEM: 48510-80190, 48510-52C30, G-551042. 
Marca: KYB.
Aplicación: AMORTIGUADOR DELT.DER.TOYOTA YARIS BELTA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</si>
  <si>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YARIS 06-09</t>
  </si>
  <si>
    <t>334473</t>
  </si>
  <si>
    <t xml:space="preserve">Producto Original. 
SKU: 334473. 
OEM: 48520-59135, 48520-52140, G-551041. 
Marca: KYB.
Aplicación: AMORTIGUADOR DELT.IZQ.TOYOTA YARIS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</si>
  <si>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48520-59135, 48520-52140, G-551041</t>
  </si>
  <si>
    <t>AMORTIGUADOR DELANTERO IZQUIERDO TOYOTA YARIS BELTA 06-09</t>
  </si>
  <si>
    <t xml:space="preserve">Producto Original. 
SKU: 334473. 
OEM: 48520-59135, 48520-52140, G-551041. 
Marca: KYB.
Aplicación: AMORTIGUADOR DELT.IZQ.TOYOTA YARIS BELTA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</si>
  <si>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HYUNDAI TUCSON 05-09 KIA</t>
  </si>
  <si>
    <t>334502</t>
  </si>
  <si>
    <t xml:space="preserve">Producto Original. 
SKU: 334502. 
OEM: G-551012T, G-56820, 4214-0689, 331900R, GR55219, 72219ST. 
Marca: KYB.
Aplicación: AMORTIGUADOR DELT.DER.HYUNDAI TUCSON 05-09 KIA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</si>
  <si>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G-551012T, G-56820, 4214-0689, 331900R, GR55219, 72219ST</t>
  </si>
  <si>
    <t>AMORTIGUADOR DELANTERO DERECHO HYUNDAI SPORTAGE 05-12</t>
  </si>
  <si>
    <t xml:space="preserve">Producto Original. 
SKU: 334502. 
OEM: G-551012T, G-56820, 4214-0689, 331900R, GR55219, 72219ST. 
Marca: KYB.
Aplicación: AMORTIGUADOR DELT.DER.HYUNDAI SPORTAGE 05-12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</si>
  <si>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HYUNDAI TUCSON 05-09 KIA</t>
  </si>
  <si>
    <t>334503</t>
  </si>
  <si>
    <t xml:space="preserve">Producto Original. 
SKU: 334503. 
OEM: 72220ST, G-56819, 4214-0690, 331900L. 
Marca: KYB.
Aplicación: AMORTIGUADOR DELT.IZQ.HYUNDAI TUCSON 05-09 KIA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</si>
  <si>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72220ST, G-56819, 4214-0690, 331900L</t>
  </si>
  <si>
    <t>AMORTIGUADOR DELANTERO IZQUIERDO HYUNDAI SPORTAGE 05-12</t>
  </si>
  <si>
    <t xml:space="preserve">Producto Original. 
SKU: 334503. 
OEM: 72220ST, G-56819, 4214-0690, 331900L. 
Marca: KYB.
Aplicación: AMORTIGUADOR DELT.IZQ.HYUNDAI SPORTAGE 05-12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</si>
  <si>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HYUNDAI TUCSON 05-09 KIA</t>
  </si>
  <si>
    <t>334504</t>
  </si>
  <si>
    <t xml:space="preserve">Producto Original. 
SKU: 334504. 
OEM: 72221ST, G-56821, 4214-0687, 331901R. 
Marca: KYB.
Aplicación: AMORTIGUADOR TRAS.DER.HYUNDAI TUCSON 05-09 KIA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</si>
  <si>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72221ST, G-56821, 4214-0687, 331901R</t>
  </si>
  <si>
    <t>AMORTIGUADOR TRASERO DERECHO HYUNDAI SPORTAGE 05-10</t>
  </si>
  <si>
    <t xml:space="preserve">Producto Original. 
SKU: 334504. 
OEM: 72221ST, G-56821, 4214-0687, 331901R. 
Marca: KYB.
Aplicación: AMORTIGUADOR TRAS.DER.HYUNDAI SPORTAGE 05-10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</si>
  <si>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HYUNDAI TUCSON 05-09 KIA</t>
  </si>
  <si>
    <t>334505</t>
  </si>
  <si>
    <t xml:space="preserve">Producto Original. 
SKU: 334505. 
OEM: 72222ST, G-56822, 334505, 331901L. 
Marca: KYB.
Aplicación: AMORTIGUADOR TRAS.IZQ.HYUNDAI TUCSON 05-09 KIA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</si>
  <si>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72222ST, G-56822, 334505, 331901L</t>
  </si>
  <si>
    <t>AMORTIGUADOR TRASERO IZQUIERDO HYUNDAI SPORTAGE 05-10</t>
  </si>
  <si>
    <t xml:space="preserve">Producto Original. 
SKU: 334505. 
OEM: 72222ST, G-56822, 334505, 331901L. 
Marca: KYB.
Aplicación: AMORTIGUADOR TRAS.IZQ.HYUNDAI SPORTAGE 05-10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</si>
  <si>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MAZDA 3 04-13 MAZDA 5 06-15</t>
  </si>
  <si>
    <t>334700</t>
  </si>
  <si>
    <t xml:space="preserve">Producto Original. 
SKU: 334700. 
OEM: 72263ST, G-707014. 
Marca: KYB.
Aplicación: AMORTIGUADOR, DELT.DER.MAZDA 3 04-13 MAZDA 5 06-15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</si>
  <si>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72263ST, G-707014</t>
  </si>
  <si>
    <t>AMORTIGUADOR DELANTERO IZQUIERDO MAZDA 3 04-13 MAZDA 5 06-15</t>
  </si>
  <si>
    <t>334701</t>
  </si>
  <si>
    <t xml:space="preserve">Producto Original. 
SKU: 334701. 
OEM: 72264ST, G-707015. 
Marca: KYB.
Aplicación: AMORTIGUADOR, DELT.IZQ.MAZDA 3 04-13 MAZDA 5 06-15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</si>
  <si>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72264ST, G-707015</t>
  </si>
  <si>
    <t>AMORTIGUADOR DELANTERO DERECHO TOYOTA COROLLA 19+</t>
  </si>
  <si>
    <t>3350026</t>
  </si>
  <si>
    <t xml:space="preserve">Producto Original. 
SKU: 3350026. 
OEM: N/A. 
Marca: KYB.
Aplicación: AMORTIGUADOR, DELT.DER.TOYOTA COROLLA 19+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</si>
  <si>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COROLLA 19+</t>
  </si>
  <si>
    <t>3350027</t>
  </si>
  <si>
    <t xml:space="preserve">Producto Original. 
SKU: 3350027. 
OEM: N/A. 
Marca: KYB.
Aplicación: AMORTIGUADOR, DELT.IZQ.TOYOTA COROLLA 19+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</si>
  <si>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CAMRY 12-17 HYBRID</t>
  </si>
  <si>
    <t>335076</t>
  </si>
  <si>
    <t xml:space="preserve">Producto Original. 
SKU: 335076. 
OEM: N/A. 
Marca: KYB.
Aplicación: AMORTIGUADOR, DELT.DER.TOYOTA CAMRY 12-17 HYBRID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</si>
  <si>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CAMRY 12-17 HYBRID</t>
  </si>
  <si>
    <t>335077</t>
  </si>
  <si>
    <t xml:space="preserve">Producto Original. 
SKU: 335077. 
OEM: N/A. 
Marca: KYB.
Aplicación: AMORTIGUADOR, DELT.IZQ.TOYOTA CAMRY 12-17 HYBRID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</si>
  <si>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CAMRY LUMIERE 07-11 AV</t>
  </si>
  <si>
    <t>339023</t>
  </si>
  <si>
    <t xml:space="preserve">Producto Original. 
SKU: 339023. 
OEM: G-55888, 72307ST, GR55307. 
Marca: KYB.
Aplicación: AMORTIGUADOR, DELT.DER.TOYOTA CAMRY LUMIERE 07-11 AVALON 06-11 LEXUS ES350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</si>
  <si>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G-55888, 72307ST, GR55307</t>
  </si>
  <si>
    <t>AMORTIGUADOR DELANTERO IZQUIERDO TOYOTA CAMRY LUMIERE 07-11</t>
  </si>
  <si>
    <t>339024</t>
  </si>
  <si>
    <t xml:space="preserve">Producto Original. 
SKU: 339024. 
OEM: G-55889, 72308ST, GR55308. 
Marca: KYB.
Aplicación: AMORTIGUADOR, DELT.IZQ.TOYOTA CAMRY LUMIERE 07-11 AVALON 06-11 LEXUS ES350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</si>
  <si>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G-55889, 72308ST, GR55308</t>
  </si>
  <si>
    <t>AMORTIGUADOR TRASERO DERECHO TOYOTA CAMRY LUMIERE 07-11 AVAL</t>
  </si>
  <si>
    <t>339025</t>
  </si>
  <si>
    <t xml:space="preserve">Producto Original. 
SKU: 339025. 
OEM: 72309ST, GR55309. 
Marca: KYB.
Aplicación: AMORTIGUADOR, TRAS.DER.TOYOTA CAMRY LUMIERE 07-11 AVALON 08-12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</si>
  <si>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72309ST, GR55309</t>
  </si>
  <si>
    <t>AMORTIGUADOR TRASERO IZQUIERDO TOYOTA CAMRY LUMIERE 07-11 AV</t>
  </si>
  <si>
    <t>339026</t>
  </si>
  <si>
    <t xml:space="preserve">Producto Original. 
SKU: 339026. 
OEM: 72310ST, GR55310. 
Marca: KYB.
Aplicación: AMORTIGUADOR, TRAS.IZQ.TOYOTA CAMRY LUMIERE 07-11 AVALON 08-12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</si>
  <si>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72310ST, GR55310</t>
  </si>
  <si>
    <t>AMORTIGUADOR DELANTERO DERECHO OPTRA 1 8 04-13</t>
  </si>
  <si>
    <t>339029</t>
  </si>
  <si>
    <t xml:space="preserve">Producto Original. 
SKU: 339029. 
OEM: G-55986T, 713094N, GR55094, 803501. 
Marca: KYB.
Aplicación: AMORTIGUADOR, DELT.DER.OPTRA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</si>
  <si>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G-55986T, 713094N, GR55094, 803501</t>
  </si>
  <si>
    <t>AMORTIGUADOR DELANTERO IZQUIERDO OPTRA 1 8 04-13</t>
  </si>
  <si>
    <t>339030</t>
  </si>
  <si>
    <t xml:space="preserve">Producto Original. 
SKU: 339030. 
OEM: G-55985T, 713094N, GR55094, 803502. 
Marca: KYB.
Aplicación: AMORTIGUADOR, DELT.IZQ.OPTRA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</si>
  <si>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G-55985T, 713094N, GR55094, 803502</t>
  </si>
  <si>
    <t>AMORTIGUADOR DELANTERO DERECHO TOYOTA RAV 4 06-12 PREVIA</t>
  </si>
  <si>
    <t>339031</t>
  </si>
  <si>
    <t xml:space="preserve">Producto Original. 
SKU: 339031. 
OEM: N/A. 
Marca: KYB.
Aplicación: AMORTIGUADOR, DELT.DER.TOYOTA RAV 4 06-12 PREVIA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</si>
  <si>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RAV 4 06-12 PREVIA</t>
  </si>
  <si>
    <t>339032</t>
  </si>
  <si>
    <t xml:space="preserve">Producto Original. 
SKU: 339032. 
OEM: N/A. 
Marca: KYB.
Aplicación: AMORTIGUADOR, DELT.IZQ.TOYOTA RAV 4 06-12 PREVIA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</si>
  <si>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CIVIC EMOTION</t>
  </si>
  <si>
    <t>339074</t>
  </si>
  <si>
    <t xml:space="preserve">Producto Original. 
SKU: 339074. 
OEM: N/A. 
Marca: KYB.
Aplicación: AMORTIGUADOR, DELT.DER.HONDA CIVIC EMOTION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</si>
  <si>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DERECHO IZQUIERDO HONDA CIVIC EMOTION</t>
  </si>
  <si>
    <t>339075</t>
  </si>
  <si>
    <t xml:space="preserve">Producto Original. 
SKU: 339075. 
OEM: N/A. 
Marca: KYB.
Aplicación: AMORTIGUADOR, DER IZQ HONDA CIVIC EMOTION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</si>
  <si>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COROLLA 09-14</t>
  </si>
  <si>
    <t>339114</t>
  </si>
  <si>
    <t xml:space="preserve">Producto Original. 
SKU: 339114. 
OEM: 72597ST, G-52246, 4214-1899, 333296R. 
Marca: KYB.
Aplicación: AMORTIGUADOR, DELT.DER.TOYOTA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</si>
  <si>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72597ST, G-52246, 4214-1899, 333296R</t>
  </si>
  <si>
    <t>AMORTIGUADOR DELANTERO IZQUIERDO TOYOTA COROLLA 09-14</t>
  </si>
  <si>
    <t>339115</t>
  </si>
  <si>
    <t xml:space="preserve">Producto Original. 
SKU: 339115. 
OEM: 72598ST, G-52245, 4214-1900, 333296L. 
Marca: KYB.
Aplicación: AMORTIGUADOR, DELT.IZQ.TOYOTA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</si>
  <si>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72598ST, G-52245, 4214-1900, 333296L</t>
  </si>
  <si>
    <t>AMORTIGUADOR DELANTERO DERECHO HONDA CRV 07-11</t>
  </si>
  <si>
    <t>339261</t>
  </si>
  <si>
    <t xml:space="preserve">Producto Original. 
SKU: 339261. 
OEM: N/A. 
Marca: KYB.
Aplicación: AMORTIGUADOR, DELT.DER.HONDA CRV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</si>
  <si>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CRV 07-11</t>
  </si>
  <si>
    <t>339262</t>
  </si>
  <si>
    <t xml:space="preserve">Producto Original. 
SKU: 339262. 
OEM: N/A. 
Marca: KYB.
Aplicación: AMORTIGUADOR, DELT.IZQ.HONDA CRV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</si>
  <si>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CAMRY 12-17</t>
  </si>
  <si>
    <t>339288</t>
  </si>
  <si>
    <t xml:space="preserve">Producto Original. 
SKU: 339288. 
OEM: N/A. 
Marca: KYB.
Aplicación: AMORTIGUADOR, DELT.DER.TOYOTA CAMRY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</si>
  <si>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CAMRY 12-17</t>
  </si>
  <si>
    <t>339289</t>
  </si>
  <si>
    <t xml:space="preserve">Producto Original. 
SKU: 339289. 
OEM: N/A. 
Marca: KYB.
Aplicación: AMORTIGUADOR, DELT.IZQ.TOYOTA CAMRY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</si>
  <si>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CAMRY 12+</t>
  </si>
  <si>
    <t>339290</t>
  </si>
  <si>
    <t xml:space="preserve">Producto Original. 
SKU: 339290. 
OEM: N/A. 
Marca: KYB.
Aplicación: AMORTIGUADOR, TRAS.DER.TOYOTA CAMRY 12+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</si>
  <si>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TOYOTA CAMRY 12+</t>
  </si>
  <si>
    <t>339291</t>
  </si>
  <si>
    <t xml:space="preserve">Producto Original. 
SKU: 339291. 
OEM: N/A. 
Marca: KYB.
Aplicación: AMORTIGUADOR, TRAS.IZQ.TOYOTA CAMRY 12+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</si>
  <si>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MAZDA BT-50 07+ 4X4</t>
  </si>
  <si>
    <t>340023</t>
  </si>
  <si>
    <t xml:space="preserve">Producto Original. 
SKU: 340023. 
OEM: N/A. 
Marca: KYB.
Aplicación: AMORTIGUADOR, DELT.MAZDA BT-50 07+ 4X4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</si>
  <si>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MONTERO SPORT 2011+</t>
  </si>
  <si>
    <t>340034</t>
  </si>
  <si>
    <t xml:space="preserve">Producto Original. 
SKU: 340034. 
OEM: N/A. 
Marca: KYB.
Aplicación: AMORTIGUADOR, DELT.MITSUBISHI MONTERO SPORT 2011+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</si>
  <si>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SEQUOIA 08-22</t>
  </si>
  <si>
    <t>340050</t>
  </si>
  <si>
    <t xml:space="preserve">Producto Original. 
SKU: 340050. 
OEM: N/A. 
Marca: KYB.
Aplicación: AMORTIGUADOR, DELT.TOYOTA SEQUOIA 08-22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</si>
  <si>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LAND CRUISER 08-21 RORAIMA 07+</t>
  </si>
  <si>
    <t>340062</t>
  </si>
  <si>
    <t xml:space="preserve">Producto Original. 
SKU: 340062. 
OEM: N/A. 
Marca: KYB.
Aplicación: AMORTIGUADOR, DELT.TOYOTA LAND CRUISER 08-21 RORAIMA 07+ LC200 GRJ200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</si>
  <si>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14-18 USA</t>
  </si>
  <si>
    <t>3410014</t>
  </si>
  <si>
    <t xml:space="preserve">Producto Original. 
SKU: 3410014. 
OEM: N/A. 
Marca: KYB.
Aplicación: AMORTIGUADOR, TRAS.TOYOTA COROLLA 14-18 (USA)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</si>
  <si>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GALANT 92-97 MF MX</t>
  </si>
  <si>
    <t>341054</t>
  </si>
  <si>
    <t xml:space="preserve">Producto Original. 
SKU: 341054. 
OEM: G-51424. 
Marca: KYB.
Aplicación: AMORTIGUADOR, TRAS.MITSUBISHI GALANT 92-97 MF MX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</si>
  <si>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G-51424</t>
  </si>
  <si>
    <t>AMORTIGUADOR TRASERO HONDA CIVIC 92-95</t>
  </si>
  <si>
    <t>341094</t>
  </si>
  <si>
    <t xml:space="preserve">Producto Original. 
SKU: 341094. 
OEM: 71266ST, GR55266. 
Marca: KYB.
Aplicación: AMORTIGUADOR TRAS.HONDA CIVIC 92-95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</si>
  <si>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71266ST, GR55266</t>
  </si>
  <si>
    <t>AMORTIGUADOR TRASERO HONDA CIVIC DELANTERO SOL 93-97 INTEGRA</t>
  </si>
  <si>
    <t xml:space="preserve">Producto Original. 
SKU: 341094. 
OEM: 71266ST, GR55266. 
Marca: KYB.
Aplicación: AMORTIGUADOR TRAS.HONDA CIVIC DEL SOL 93-97 INTEGRA 94-01 HORQUILLA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</si>
  <si>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STARLET 92-96</t>
  </si>
  <si>
    <t>341125</t>
  </si>
  <si>
    <t xml:space="preserve">Producto Original. 
SKU: 341125. 
OEM: G-51252. 
Marca: KYB.
Aplicación: AMORTIGUADOR, TRAS.TOYOTA STARLET 92-96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</si>
  <si>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G-51252</t>
  </si>
  <si>
    <t>AMORTIGUADOR TRASERO MITSUBISHI LANCER V 91-95</t>
  </si>
  <si>
    <t>341140</t>
  </si>
  <si>
    <t xml:space="preserve">Producto Original. 
SKU: 341140. 
OEM: 71642, MB809270, MB809271. 
Marca: TAIWAN / CHINO.
Aplicación: AMORTIGUADOR TRAS.MITSUBISHI LANCER V 91-95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</si>
  <si>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71642, MB809270, MB809271</t>
  </si>
  <si>
    <t>AMORTIGUADOR TRASERO MITSUBISHI LANCER VI 95-03 CK SIGNO 97-</t>
  </si>
  <si>
    <t xml:space="preserve">Producto Original. 
SKU: 341140. 
OEM: 71642, MB809270, MB809271. 
Marca: TAIWAN / CHINO.
Aplicación: AMORTIGUADOR TRAS.MITSUBISHI LANCER VI 95-03 CK SIGNO 97-12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</si>
  <si>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GALANT VR 03</t>
  </si>
  <si>
    <t>https://http2.mlstatic.com/D_754492-MLV111211256687_052026-O.jpg</t>
  </si>
  <si>
    <t>341142</t>
  </si>
  <si>
    <t xml:space="preserve">Producto Original. 
SKU: 341142. 
OEM: N/A. 
Marca: KYB.
Aplicación: AMORTIGUADOR, TRAS.MITSUBISHI GALANT VR 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</si>
  <si>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https://http2.mlstatic.com/D_933819-MLV111209855455_052026-O.jpg</t>
  </si>
  <si>
    <t xml:space="preserve">Producto Original. 
SKU: 341171. 
OEM: 23863. 
Marca: KYB.
Aplicación: AMORTIGUADOR, DELT.DER.HONDA ACCORD 90-98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</si>
  <si>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ACCORD 90-98</t>
  </si>
  <si>
    <t>https://http2.mlstatic.com/D_799828-MLV111209885463_052026-O.jpg</t>
  </si>
  <si>
    <t>341172</t>
  </si>
  <si>
    <t xml:space="preserve">Producto Original. 
SKU: 341172. 
OEM: N/A. 
Marca: KYB.
Aplicación: AMORTIGUADOR, DELT.IZQ.HONDA ACCORD 90-98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</si>
  <si>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ACCORD 90-98</t>
  </si>
  <si>
    <t>https://http2.mlstatic.com/D_643538-MLV110282809748_052026-O.jpg</t>
  </si>
  <si>
    <t>341173</t>
  </si>
  <si>
    <t xml:space="preserve">Producto Original. 
SKU: 341173. 
OEM: N/A. 
Marca: KYB.
Aplicación: AMORTIGUADOR, TRAS.HONDA ACCORD 90-98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</si>
  <si>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ACCORD 93-98 COUPE</t>
  </si>
  <si>
    <t>https://http2.mlstatic.com/D_696916-MLV111209915253_052026-O.jpg</t>
  </si>
  <si>
    <t>341174</t>
  </si>
  <si>
    <t xml:space="preserve">Producto Original. 
SKU: 341174. 
OEM: N/A. 
Marca: KYB.
Aplicación: AMORTIGUADOR, DELT.DER.HONDA ACCORD 93-98 (COUPE)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</si>
  <si>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ACCORD 93-98 COUPE</t>
  </si>
  <si>
    <t>https://http2.mlstatic.com/D_748634-MLV111209855483_052026-O.jpg</t>
  </si>
  <si>
    <t>341175</t>
  </si>
  <si>
    <t xml:space="preserve">Producto Original. 
SKU: 341175. 
OEM: N/A. 
Marca: KYB.
Aplicación: AMORTIGUADOR, DELT.IZQ.HONDA ACCORD 93-98 (COUPE)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</si>
  <si>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ACCORD 93-98 COUPE</t>
  </si>
  <si>
    <t>https://http2.mlstatic.com/D_788080-MLV110282809764_052026-O.jpg</t>
  </si>
  <si>
    <t>341176</t>
  </si>
  <si>
    <t xml:space="preserve">Producto Original. 
SKU: 341176. 
OEM: N/A. 
Marca: KYB.
Aplicación: AMORTIGUADOR, TRAS.HONDA ACCORD 93-98 (COUPE)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</si>
  <si>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NISSAN SENTRA 95-99 B14</t>
  </si>
  <si>
    <t>https://http2.mlstatic.com/D_859498-MLV111211464885_052026-O.jpg</t>
  </si>
  <si>
    <t>341194</t>
  </si>
  <si>
    <t xml:space="preserve">Producto Original. 
SKU: 341194. 
OEM: G-51230, 71278ST, 801278. 
Marca: KYB.
Aplicación: AMORTIGUADOR, TRAS.NISSAN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</si>
  <si>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G-51230, 71278ST, 801278</t>
  </si>
  <si>
    <t>AMORTIGUADOR TRASERO NISSAN SENTRA 97-00</t>
  </si>
  <si>
    <t>https://http2.mlstatic.com/D_893707-MLV111209915299_052026-O.jpg</t>
  </si>
  <si>
    <t>341226</t>
  </si>
  <si>
    <t xml:space="preserve">Producto Original. 
SKU: 341226. 
OEM: N/A. 
Marca: KYB.
Aplicación: AMORTIGUADOR, TRAS.NISSAN SENTRA 97-00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</si>
  <si>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96-02 PRADO 00-06</t>
  </si>
  <si>
    <t>341232</t>
  </si>
  <si>
    <t xml:space="preserve">Producto Original. 
SKU: 341232. 
OEM: 71352ST, 801352, G-35863, GR55352. 
Marca: KYB.
Aplicación: AMORTIGUADOR DELT.TOYOTA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</si>
  <si>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71352ST, 801352, G-35863, GR55352</t>
  </si>
  <si>
    <t>AMORTIGUADOR DELANTERO TOYOTA 4RUNNER 96-02 MERU 04-09 TACOM</t>
  </si>
  <si>
    <t xml:space="preserve">Producto Original. 
SKU: 341232. 
OEM: 71352ST, 801352, G-35863, GR55352. 
Marca: KYB.
Aplicación: AMORTIGUADOR DELT.TOYOTA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</si>
  <si>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MONTERO LIMITED 06-10</t>
  </si>
  <si>
    <t>341251</t>
  </si>
  <si>
    <t xml:space="preserve">Producto Original. 
SKU: 341251. 
OEM: N/A. 
Marca: KYB.
Aplicación: AMORTIGUADOR, DELT.MITSUBISHI MONTERO LIMITED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</si>
  <si>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HONDA CRV 1997-2001</t>
  </si>
  <si>
    <t>341260</t>
  </si>
  <si>
    <t xml:space="preserve">Producto Original. 
SKU: 341260. 
OEM: 71583ST. 
Marca: KYB.
Aplicación: AMORTIGUADOR, DELT. HONDA CRV 1997-2001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</si>
  <si>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71583ST</t>
  </si>
  <si>
    <t>AMORTIGUADOR TRASERO HONDA CR-V 95-02 NO TIENEN GAS</t>
  </si>
  <si>
    <t>https://http2.mlstatic.com/D_606319-MLV110282809788_052026-O.jpg</t>
  </si>
  <si>
    <t>341261</t>
  </si>
  <si>
    <t xml:space="preserve">Producto Original. 
SKU: 341261. 
OEM: N/A. 
Marca: KYB.
Aplicación: AMORTIGUADOR, TRAS.HONDA CR-V 95-02 (no tienen gas)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</si>
  <si>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NISSAN SENTRA 00-07 B15</t>
  </si>
  <si>
    <t>https://http2.mlstatic.com/D_985242-MLV111209855513_052026-O.jpg</t>
  </si>
  <si>
    <t>341279</t>
  </si>
  <si>
    <t xml:space="preserve">Producto Original. 
SKU: 341279. 
OEM: 71312ST, 801312. 
Marca: KYB.
Aplicación: AMORTIGUADOR, TRAS.NISSAN SENTRA 00-07 B15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</si>
  <si>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71312ST, 801312</t>
  </si>
  <si>
    <t>AMORTIGUADOR TRASERO TOYOTA COROLLA 03-08 SENSATION /</t>
  </si>
  <si>
    <t>341307</t>
  </si>
  <si>
    <t xml:space="preserve">Producto Original. 
SKU: 341307. 
OEM: N/A. 
Marca: KYB.
Aplicación: AMORTIGUADOR TRAS.TOYOTA COROLLA 03-08 SENSATION /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</si>
  <si>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09-14 EXPLOTION SIN BOMB</t>
  </si>
  <si>
    <t xml:space="preserve">Producto Original. 
SKU: 341307. 
OEM: N/A. 
Marca: KYB.
Aplicación: AMORTIGUADOR TRAS.TOYOTA COROLLA 09-14 EXPLOTION SIN BOMBONA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</si>
  <si>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MAZDA 6 03-08</t>
  </si>
  <si>
    <t>341315</t>
  </si>
  <si>
    <t xml:space="preserve">Producto Original. 
SKU: 341315. 
OEM: N/A. 
Marca: DANAPAC.
Aplicación: AMORTIGUADOR, DELT.IZQ.MAZDA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</si>
  <si>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LANCER CS3 TOURING TODOS</t>
  </si>
  <si>
    <t>341318</t>
  </si>
  <si>
    <t xml:space="preserve">Producto Original. 
SKU: 341318. 
OEM: N/A. 
Marca: KYB.
Aplicación: AMORTIGUADOR, TRAS.MITSUBISHI LANCER CS3 TOURING TODOS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</si>
  <si>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HONDA ACCORD 03-06</t>
  </si>
  <si>
    <t>341330</t>
  </si>
  <si>
    <t xml:space="preserve">Producto Original. 
SKU: 341330. 
OEM: N/A. 
Marca: KYB.
Aplicación: AMORTIGUADOR, DELT.HONDA ACCORD 03-06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</si>
  <si>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03-20 FJ CRUISER 07-14</t>
  </si>
  <si>
    <t>341340</t>
  </si>
  <si>
    <t xml:space="preserve">Producto Original. 
SKU: 341340. 
OEM: 71371ST, G-35898T, GR55371. 
Marca: KYB.
Aplicación: AMORTIGUADOR DELT.TOYOTA 4RUNNER 03-20 FJ CRUISER 07-14 TACOMA 05-18 FORTUNER 05-15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</si>
  <si>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71371ST, G-35898T, GR55371</t>
  </si>
  <si>
    <t xml:space="preserve">Producto Original. 
SKU: 341340. 
OEM: 71371ST, G-35898T, GR55371. 
Marca: KYB.
Aplicación: AMORTIGUADOR DELT.TOYOTA 4RUNNER 03-20 FJ CRUISER 07-14 TACOMA 05-18 HILUX KAVAK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</si>
  <si>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FUSION 06-09 MAZDA 6 03-08</t>
  </si>
  <si>
    <t>341351</t>
  </si>
  <si>
    <t xml:space="preserve">Producto Original. 
SKU: 341351. 
OEM: 72261ST, G-707018, AST-163, GR55195. 
Marca: KYB.
Aplicación: AMORTIGUADOR, DELT.DER.FUSION 06-09 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</si>
  <si>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72261ST, G-707018, AST-163, GR55195</t>
  </si>
  <si>
    <t>AMORTIGUADOR DELANTERO IZQUIERDO FUSION 06-09 MAZDA 6 03-08</t>
  </si>
  <si>
    <t>341352</t>
  </si>
  <si>
    <t xml:space="preserve">Producto Original. 
SKU: 341352. 
OEM: 72261ST, G-707017, AST-159, GR55195. 
Marca: KYB.
Aplicación: AMORTIGUADOR, DELT.IZQ.FUSION 06-09 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</si>
  <si>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72261ST, G-707017, AST-159, GR55195</t>
  </si>
  <si>
    <t>AMORTIGUADOR TRASERO HONDA ACCORD 03-06</t>
  </si>
  <si>
    <t>https://http2.mlstatic.com/D_764176-MLV110282809810_052026-O.jpg,https://http2.mlstatic.com/D_641524-MLV111209885543_052026-O.jpg</t>
  </si>
  <si>
    <t>341369</t>
  </si>
  <si>
    <t xml:space="preserve">Producto Original. 
SKU: 341369. 
OEM: N/A. 
Marca: KYB.
Aplicación: AMORTIGUADOR, TRAS.HONDA ACCORD 03-06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</si>
  <si>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HILUX KAWAK</t>
  </si>
  <si>
    <t>341372</t>
  </si>
  <si>
    <t xml:space="preserve">Producto Original. 
SKU: 341372. 
OEM: N/A. 
Marca: KYB.
Aplicación: AMORTIGUADOR DELT.TOYOTA HILUX KAWAK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</si>
  <si>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FORTUNER</t>
  </si>
  <si>
    <t xml:space="preserve">Producto Original. 
SKU: 341372. 
OEM: N/A. 
Marca: KYB.
Aplicación: AMORTIGUADOR DELT.TOYOTA FORTUNER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</si>
  <si>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09-14</t>
  </si>
  <si>
    <t>341448</t>
  </si>
  <si>
    <t xml:space="preserve">Producto Original. 
SKU: 341448. 
OEM: GR35599, 72599ST, G-551019T. 
Marca: KYB.
Aplicación: AMORTIGUADOR, TRAS.TOYOTA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</si>
  <si>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GR35599, 72599ST, G-551019T</t>
  </si>
  <si>
    <t>AMORTIGUADOR TRASERO HONDA CRV 05+</t>
  </si>
  <si>
    <t>341463</t>
  </si>
  <si>
    <t xml:space="preserve">Producto Original. 
SKU: 341463. 
OEM: N/A. 
Marca: KYB.
Aplicación: AMORTIGUADOR, TRAS.HONDA CRV 05+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</si>
  <si>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TUNDRA 07-21</t>
  </si>
  <si>
    <t>341480</t>
  </si>
  <si>
    <t xml:space="preserve">Producto Original. 
SKU: 341480. 
OEM: N/A. 
Marca: KYB.
Aplicación: AMORTIGUADOR, DELT.TOYOTA TUNDRA 07-21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</si>
  <si>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341603</t>
  </si>
  <si>
    <t xml:space="preserve">Producto Original. 
SKU: 341603. 
OEM: 71377ST, 801377, G-56807, 335582, GR55377. 
Marca: KYB.
Aplicación: AMORTIGUADOR DELT.GRAND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</si>
  <si>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71377ST, 801377, G-56807, 335582, GR55377</t>
  </si>
  <si>
    <t xml:space="preserve">Producto Original. 
SKU: 341603. 
OEM: 71377ST, 801377, G-56807, 335582, GR55377. 
Marca: KYB.
Aplicación: AMORTIGUADOR DELT.GRAND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</si>
  <si>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JEEP GRAND CHEROKEE 11-15 WK2 4G</t>
  </si>
  <si>
    <t>3417504</t>
  </si>
  <si>
    <t xml:space="preserve">Producto Original. 
SKU: 3417504. 
OEM: N/A. 
Marca: KYB.
Aplicación: AMORTIGUADOR, DELT.JEEP GRAND CHEROKEE 11-15 WK2 4G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</si>
  <si>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TICO 96-03</t>
  </si>
  <si>
    <t>https://http2.mlstatic.com/D_757085-MLV111209855565_052026-O.jpg</t>
  </si>
  <si>
    <t>342018</t>
  </si>
  <si>
    <t xml:space="preserve">Producto Original. 
SKU: 342018. 
OEM: 21638. 
Marca: KYB.
Aplicación: AMORTIGUADOR, TRAS.IZQ.TICO 96-03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</si>
  <si>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TICO 96-03</t>
  </si>
  <si>
    <t>https://http2.mlstatic.com/D_634042-MLV111209825541_052026-O.jpg</t>
  </si>
  <si>
    <t>342020</t>
  </si>
  <si>
    <t xml:space="preserve">Producto Original. 
SKU: 342020. 
OEM: 21638. 
Marca: KYB.
Aplicación: AMORTIGUADOR, TRAS.DER.TICO 96-03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</si>
  <si>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https://http2.mlstatic.com/D_661437-MLV111211464971_052026-O.jpg,https://http2.mlstatic.com/D_799003-MLV111211256797_052026-O.jpg</t>
  </si>
  <si>
    <t>343247</t>
  </si>
  <si>
    <t xml:space="preserve">Producto Original. 
SKU: 343247. 
OEM: 32316, G-21147E, GR75070, 37269ST. 
Marca: KYB.
Aplicación: AMORTIGUADOR TRAS.GRAND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</si>
  <si>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32316, G-21147E, GR75070, 37269ST</t>
  </si>
  <si>
    <t xml:space="preserve">Producto Original. 
SKU: 343247. 
OEM: 32316, G-21147E, GR75070, 37269ST. 
Marca: KYB.
Aplicación: AMORTIGUADOR TRAS.GRAND VITARA 99-04 SIDEKICK 89-98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</si>
  <si>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SPACE WAGON 91-98</t>
  </si>
  <si>
    <t>https://http2.mlstatic.com/D_653739-MLV111209885613_052026-O.jpg</t>
  </si>
  <si>
    <t>343262</t>
  </si>
  <si>
    <t xml:space="preserve">Producto Original. 
SKU: 343262. 
OEM: N/A. 
Marca: KYB.
Aplicación: AMORTIGUADOR, TRAS.MITSUBISHI SPACE WAGON 91-98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</si>
  <si>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YARIS 99-05 NCP10</t>
  </si>
  <si>
    <t>343295</t>
  </si>
  <si>
    <t xml:space="preserve">Producto Original. 
SKU: 343295. 
OEM: N/A. 
Marca: KYB.
Aplicación: AMORTIGUADOR, TRAS.TOYOTA YARIS 99-05 NCP10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</si>
  <si>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FIT 02-06</t>
  </si>
  <si>
    <t>343381</t>
  </si>
  <si>
    <t xml:space="preserve">Producto Original. 
SKU: 343381. 
OEM: N/A. 
Marca: KYB.
Aplicación: AMORTIGUADOR, TRAS.HONDA FIT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</si>
  <si>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MAZDA 3 04+</t>
  </si>
  <si>
    <t>343412</t>
  </si>
  <si>
    <t xml:space="preserve">Producto Original. 
SKU: 343412. 
OEM: N/A. 
Marca: KYB.
Aplicación: AMORTIGUADOR, TRAS.MAZDA 3 04+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</si>
  <si>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TERIOS 08-13 BEGO</t>
  </si>
  <si>
    <t>343441</t>
  </si>
  <si>
    <t xml:space="preserve">Producto Original. 
SKU: 343441. 
OEM: N/A. 
Marca: KYB.
Aplicación: AMORTIGUADOR, TRAS.TOYOTA TERIOS 08-13 BEGO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</si>
  <si>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YARIS 06-14</t>
  </si>
  <si>
    <t>343442</t>
  </si>
  <si>
    <t xml:space="preserve">Producto Original. 
SKU: 343442. 
OEM: N/A. 
Marca: KYB.
Aplicación: AMORTIGUADOR, TRAS.TOYOTA YARIS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</si>
  <si>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343478E</t>
  </si>
  <si>
    <t xml:space="preserve">Producto Original. 
SKU: 343478E. 
OEM: G-21159E, GR25722, 32722N. 
Marca: MASARU.
Aplicación: AMORTIGUADOR, TRAS.SPARK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</si>
  <si>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G-21159E, GR25722, 32722N</t>
  </si>
  <si>
    <t>AMORTIGUADOR TRASERO HONDA CIVIC EMOTION</t>
  </si>
  <si>
    <t>343479</t>
  </si>
  <si>
    <t xml:space="preserve">Producto Original. 
SKU: 343479. 
OEM: N/A. 
Marca: KYB.
Aplicación: AMORTIGUADOR, TRAS.HONDA CIVIC EMOTION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</si>
  <si>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JEEP GRAND CHEROKEE WK2</t>
  </si>
  <si>
    <t>3440054</t>
  </si>
  <si>
    <t xml:space="preserve">Producto Original. 
SKU: 3440054. 
OEM: N/A. 
Marca: KYB.
Aplicación: AMORTIGUADOR, TRAS.JEEP GRAND CHEROKEE WK2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</si>
  <si>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19+ USA</t>
  </si>
  <si>
    <t>3440083</t>
  </si>
  <si>
    <t xml:space="preserve">Producto Original. 
SKU: 3440083. 
OEM: N/A. 
Marca: KYB.
Aplicación: AMORTIGUADOR, TRAS.TOYOTA COROLLA 19+ USA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</si>
  <si>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https://http2.mlstatic.com/D_623707-MLV111211256807_052026-O.jpg</t>
  </si>
  <si>
    <t>344041</t>
  </si>
  <si>
    <t xml:space="preserve">Producto Original. 
SKU: 344041. 
OEM: 37021ST, 32186, G-22155, G-22173E. 
Marca: KYB.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</si>
  <si>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37021ST, 32186, G-22155, G-22173E</t>
  </si>
  <si>
    <t>AMORTIGUADOR TRASERO JEEP CHEROKEE</t>
  </si>
  <si>
    <t>https://http2.mlstatic.com/D_869956-MLV110282809900_052026-O.jpg</t>
  </si>
  <si>
    <t>344078</t>
  </si>
  <si>
    <t xml:space="preserve">Producto Original. 
SKU: 344078. 
OEM: N/A. 
Marca: KYB.
Aplicación: AMORTIGUADOR, TRAS.JEEP CHEROKEE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</si>
  <si>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344088</t>
  </si>
  <si>
    <t xml:space="preserve">Producto Original. 
SKU: 344088. 
OEM: 32196, 37026ST. 
Marca: KYB.
Aplicación: AMORTIGUADOR DELT.CHEROKEE 84-90 XJ COMANCHE 86-90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</si>
  <si>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32196, 37026ST</t>
  </si>
  <si>
    <t xml:space="preserve">Producto Original. 
SKU: 344088. 
OEM: 32196, 37026ST. 
Marca: KYB.
Aplicación: AMORTIGUADOR DELT.CHEROKEE 84-90 XJ COMANCHE 86-90 WRANGLER 97-06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</si>
  <si>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HIACE 06+</t>
  </si>
  <si>
    <t>344204</t>
  </si>
  <si>
    <t xml:space="preserve">Producto Original. 
SKU: 344204. 
OEM: N/A. 
Marca: KYB.
Aplicación: AMORTIGUADOR, TRAS.TOYOTA HIACE 06+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</si>
  <si>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344263</t>
  </si>
  <si>
    <t xml:space="preserve">Producto Original. 
SKU: 344263. 
OEM: 34985, GR75985, 32225. 
Marca: MASARU.
Aplicación: AMORTIGUADOR, TRAS.C-1500 88-99 C-3500 88-00 K-1500 91-99 K-3500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</si>
  <si>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34985, GR75985, 32225</t>
  </si>
  <si>
    <t>344265</t>
  </si>
  <si>
    <t xml:space="preserve">Producto Original. 
SKU: 344265. 
OEM: 34983, 34741, 32224. 
Marca: MASARU.
Aplicación: AMORTIGUADOR, DELT.C-1500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</si>
  <si>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34983, 34741, 32224</t>
  </si>
  <si>
    <t>https://http2.mlstatic.com/D_756264-MLV111209885635_052026-O.jpg</t>
  </si>
  <si>
    <t>344288</t>
  </si>
  <si>
    <t xml:space="preserve">Producto Original. 
SKU: 344288. 
OEM: 32334, 37157ST, G-22185T, GR75157, 344288, G-63726. 
Marca: KYB.
Aplicación: AMORTIGUADOR TRAS.TOYOTA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</si>
  <si>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344288. 
OEM: 32334, 37157ST, G-22185T, GR75157, 344288, G-63726. 
Marca: KYB.
Aplicación: AMORTIGUADOR TRAS.TOYOTA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</si>
  <si>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MONTERO</t>
  </si>
  <si>
    <t>344294</t>
  </si>
  <si>
    <t xml:space="preserve">Producto Original. 
SKU: 344294. 
OEM: N/A. 
Marca: KYB.
Aplicación: AMORTIGUADOR DELT.MITSUBISHI MONTERO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</si>
  <si>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DAKAR</t>
  </si>
  <si>
    <t xml:space="preserve">Producto Original. 
SKU: 344294. 
OEM: N/A. 
Marca: KYB.
Aplicación: AMORTIGUADOR DELT.MITSUBISHI DAKAR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</si>
  <si>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MONTERO LIMITED 06-10</t>
  </si>
  <si>
    <t>344300</t>
  </si>
  <si>
    <t xml:space="preserve">Producto Original. 
SKU: 344300. 
OEM: N/A. 
Marca: KYB.
Aplicación: AMORTIGUADOR, TRAS.MITSUBISHI MONTERO LIMITED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</si>
  <si>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FUSION 06-12 MAZDA 6 03-08</t>
  </si>
  <si>
    <t>344363</t>
  </si>
  <si>
    <t xml:space="preserve">Producto Original. 
SKU: 344363. 
OEM: 5784, G-22218T, GR25784. 
Marca: KYB.
Aplicación: AMORTIGUADOR, TRAS.FUSION 06-12 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</si>
  <si>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5784, G-22218T, GR25784</t>
  </si>
  <si>
    <t>AMORTIGUADOR TRASERO LIBERTY 02-14 KJ KK NITRO 07-11</t>
  </si>
  <si>
    <t>344404</t>
  </si>
  <si>
    <t xml:space="preserve">Producto Original. 
SKU: 344404. 
OEM: 37203ST, 33191, G-63844, 1214-0155, 342557, GR75203, 930011. 
Marca: KYB.
Aplicación: AMORTIGUADOR, TRAS.LIBERTY 02-14 KJ KK NITRO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</si>
  <si>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37203ST, 33191, G-63844, 1214-0155, 342557, GR75203, 930011</t>
  </si>
  <si>
    <t>AMORTIGUADOR TRASERO TOYOTA 4RUNNER 03-09</t>
  </si>
  <si>
    <t>344410</t>
  </si>
  <si>
    <t xml:space="preserve">Producto Original. 
SKU: 344410. 
OEM: GR75270. 
Marca: KYB.
Aplicación: AMORTIGUADOR, TRAS.TOYOTA 4RUNNER 03-09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</si>
  <si>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GR75270</t>
  </si>
  <si>
    <t>AMORTIGUADOR DELANTERO LUV D-MAX 05-13 BARRA TORSION</t>
  </si>
  <si>
    <t>https://http2.mlstatic.com/D_668850-MLV111209795449_052026-O.jpg</t>
  </si>
  <si>
    <t>344420</t>
  </si>
  <si>
    <t xml:space="preserve">Producto Original. 
SKU: 344420. 
OEM: 34729, 344420, G-22203E, GR25420. 
Marca: KYB.
Aplicación: AMORTIGUADOR, DELT.LUV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</si>
  <si>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34729, 344420, G-22203E, GR25420</t>
  </si>
  <si>
    <t>AMORTIGUADOR DELANTERO TOYOTA HIACE 06+</t>
  </si>
  <si>
    <t>344493</t>
  </si>
  <si>
    <t xml:space="preserve">Producto Original. 
SKU: 344493. 
OEM: N/A. 
Marca: KYB.
Aplicación: AMORTIGUADOR, DELT.TOYOTA HIACE 06+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</si>
  <si>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https://http2.mlstatic.com/D_791216-MLV111209825573_052026-O.jpg</t>
  </si>
  <si>
    <t>344496</t>
  </si>
  <si>
    <t xml:space="preserve">Producto Original. 
SKU: 344496. 
OEM: 32407, 911278, G-23173T, GR75278. 
Marca: KYB.
Aplicación: AMORTIGUADOR TRAS.GRAND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</si>
  <si>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32407, 911278, G-23173T, GR75278</t>
  </si>
  <si>
    <t xml:space="preserve">Producto Original. 
SKU: 344496. 
OEM: 32407, 911278, G-23173T, GR75278. 
Marca: KYB.
Aplicación: AMORTIGUADOR TRAS.GRAND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</si>
  <si>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SILVERADO 1500 03-07 AVALANCHE 02-06</t>
  </si>
  <si>
    <t>https://http2.mlstatic.com/D_903598-MLV110282809972_052026-O.jpg</t>
  </si>
  <si>
    <t>34501</t>
  </si>
  <si>
    <t xml:space="preserve">Producto Original. 
SKU: 34501. 
OEM: 32328, 34501, 34677, 37178ST, 53156, G-23156E, 911505. 
Marca: MONROE.
Aplicación: AMORTIGUADOR DELT.SILVERADO 1500 03-07 AVALANCHE 02-06 TAHOE 00-06 GRAND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</si>
  <si>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32328, 34501, 34677, 37178ST, 53156, G-23156E, 911505</t>
  </si>
  <si>
    <t xml:space="preserve">Producto Original. 
SKU: 34501. 
OEM: 32328, 34501, 34677, 37178ST, 53156, G-23156E, 911505. 
Marca: MONROE.
Aplicación: AMORTIGUADOR DELT.SILVERADO 1500 03-07 AVALANCHE 02-06 BLAZER Z71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</si>
  <si>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LAND CRUISER 92/98</t>
  </si>
  <si>
    <t>345010</t>
  </si>
  <si>
    <t xml:space="preserve">Producto Original. 
SKU: 345010. 
OEM: N/A. 
Marca: KYB.
Aplicación: AMORTIGUADOR, TRAS.TOYOTA LAND CRUISER 92/98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</si>
  <si>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LAND CRUISER SERIE 80 AUTANA B</t>
  </si>
  <si>
    <t>345020</t>
  </si>
  <si>
    <t xml:space="preserve">Producto Original. 
SKU: 345020. 
OEM: N/A. 
Marca: KYB.
Aplicación: AMORTIGUADOR, DELT.TOYOTA LAND CRUISER SERIE 80 AUTANA BURBUJA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</si>
  <si>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LAND CRUISER SERIE 80 AUTANA BUR</t>
  </si>
  <si>
    <t>345023</t>
  </si>
  <si>
    <t xml:space="preserve">Producto Original. 
SKU: 345023. 
OEM: N/A. 
Marca: KYB.
Aplicación: AMORTIGUADOR, TRAS.TOYOTA LAND CRUISER SERIE 80 AUTANA BURBUJA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</si>
  <si>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https://http2.mlstatic.com/D_970245-MLV111209885695_052026-O.jpg</t>
  </si>
  <si>
    <t>34504</t>
  </si>
  <si>
    <t xml:space="preserve">Producto Original. 
SKU: 34504. 
OEM: 32350, 37165ST. 
Marca: MONROE.
Aplicación: AMORTIGUADOR DELT.SILVERADO 1500 HD 01-07 SILVERADO 3500 01-07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</si>
  <si>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32350, 37165ST</t>
  </si>
  <si>
    <t xml:space="preserve">Producto Original. 
SKU: 34504. 
OEM: 32350, 37165ST. 
Marca: MONROE.
Aplicación: AMORTIGUADOR DELT.SILVERADO 1500 HD 01-07 SILVERADO 3500 HD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</si>
  <si>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TAHOE 07-14</t>
  </si>
  <si>
    <t>345073</t>
  </si>
  <si>
    <t xml:space="preserve">Producto Original. 
SKU: 345073. 
OEM: N/A. 
Marca: KYB.
Aplicación: AMORTIGUADOR, TRAS.TAHOE 07-14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</si>
  <si>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RAM 1500 06-08 RAM 2500 03-10</t>
  </si>
  <si>
    <t>https://http2.mlstatic.com/D_827279-MLV110282809982_052026-O.jpg</t>
  </si>
  <si>
    <t>34521</t>
  </si>
  <si>
    <t xml:space="preserve">Producto Original. 
SKU: 34521. 
OEM: GR75521. 
Marca: MONROE.
Aplicación: AMORTIGUADOR TRAS.RAM 1500 06-08 RAM 2500 03-10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</si>
  <si>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GR75521</t>
  </si>
  <si>
    <t>AMORTIGUADOR TRASERO RAM 1500 06-08 RAM 3500 03-10</t>
  </si>
  <si>
    <t xml:space="preserve">Producto Original. 
SKU: 34521. 
OEM: GR75521. 
Marca: MONROE.
Aplicación: AMORTIGUADOR TRAS.RAM 1500 06-08 RAM 3500 03-10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</si>
  <si>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06-08 4X4 RAM 2500 03-13 4X4</t>
  </si>
  <si>
    <t>https://http2.mlstatic.com/D_661796-MLV111209885715_052026-O.jpg</t>
  </si>
  <si>
    <t>34522</t>
  </si>
  <si>
    <t xml:space="preserve">Producto Original. 
SKU: 34522. 
OEM: N/A. 
Marca: MONROE.
Aplicación: AMORTIGUADOR DELT.RAM 1500 06-08 4X4 RAM 2500 03-13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</si>
  <si>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06-08 4X4 RAM 3500 03-12 4X4</t>
  </si>
  <si>
    <t xml:space="preserve">Producto Original. 
SKU: 34522. 
OEM: N/A. 
Marca: MONROE.
Aplicación: AMORTIGUADOR DELT.RAM 1500 06-08 4X4 RAM 3500 03-12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</si>
  <si>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1500 06-08 4X4 RAM 4000 97-08</t>
  </si>
  <si>
    <t xml:space="preserve">Producto Original. 
SKU: 34522. 
OEM: N/A. 
Marca: MONROE.
Aplicación: AMORTIGUADOR DELT.RAM 1500 06-08 4X4 RAM 4000 97-08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</si>
  <si>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F-350 05-19 4X4 F-250 05-19 4X4 SUPER</t>
  </si>
  <si>
    <t>34525</t>
  </si>
  <si>
    <t xml:space="preserve">Producto Original. 
SKU: 34525. 
OEM: 911266, G-63886, 349004, 341580, ASH-12278. 
Marca: MONROE.
Aplicación: AMORTIGUADOR, DELT.F-350 05-19 4X4 F-250 05-19 4X4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</si>
  <si>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911266, G-63886, 349004, 341580, ASH-12278</t>
  </si>
  <si>
    <t>AMORTIGUADOR TRASERO F-350 05-07 4X4 F-250 05-16 4X4 SUPER D</t>
  </si>
  <si>
    <t>https://http2.mlstatic.com/D_842331-MLV111209795531_052026-O.jpg</t>
  </si>
  <si>
    <t>34526</t>
  </si>
  <si>
    <t xml:space="preserve">Producto Original. 
SKU: 34526. 
OEM: ASH-12280. 
Marca: MONROE.
Aplicación: AMORTIGUADOR, TRAS.F-350 05-07 4X4 F-250 05-16 4X4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</si>
  <si>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ASH-12280</t>
  </si>
  <si>
    <t>AMORTIGUADOR DELANTERO F-150 97-04 4X2 EXPEDITION 97-02 4X2</t>
  </si>
  <si>
    <t>34655</t>
  </si>
  <si>
    <t xml:space="preserve">Producto Original. 
SKU: 34655. 
OEM: 32302, G-23139E, 32340. 
Marca: MONROE.
Aplicación: AMORTIGUADOR, DELT.F-150 97-04 4X2 EXPEDITION 97-02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</si>
  <si>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32302, G-23139E, 32340</t>
  </si>
  <si>
    <t>AMORTIGUADOR TRASERO F-150 97-04 4X2 14 3750 24 250 LS26 9 8</t>
  </si>
  <si>
    <t>34656</t>
  </si>
  <si>
    <t xml:space="preserve">Producto Original. 
SKU: 34656. 
OEM: 34656, G-23140E, 32303. GR75656. 
Marca: MONROE.
Aplicación: AMORTIGUADOR, TRAS.F-150 97-04 4X2 (14.3750 24.250 LS26 9.8750 S4)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</si>
  <si>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F-150 97-04 4X4 EXPEDITION 97-02 4X4</t>
  </si>
  <si>
    <t>https://http2.mlstatic.com/D_684394-MLV111211256901_052026-O.jpg</t>
  </si>
  <si>
    <t>34657</t>
  </si>
  <si>
    <t xml:space="preserve">Producto Original. 
SKU: 34657. 
OEM: 32304, G-23141E. 
Marca: MONROE.
Aplicación: AMORTIGUADOR, DELT.F-150 97-04 4X4 EXPEDITION 97-02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</si>
  <si>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32304, G-23141E</t>
  </si>
  <si>
    <t>https://http2.mlstatic.com/D_994122-MLV111209885739_052026-O.jpg</t>
  </si>
  <si>
    <t>34657N</t>
  </si>
  <si>
    <t xml:space="preserve">Producto Original. 
SKU: 34657N. 
OEM: 32304, G-23141E. 
Marca: MONROE NACIONAL.
Aplicación: AMORTIGUADOR, DELT.F-150 97-04 4X4 EXPEDITION 97-02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</si>
  <si>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F-150 97-04 4X4 16 0000 27 5000 LS26 11</t>
  </si>
  <si>
    <t>https://http2.mlstatic.com/D_852700-MLV111209915509_052026-O.jpg</t>
  </si>
  <si>
    <t>34658</t>
  </si>
  <si>
    <t xml:space="preserve">Producto Original. 
SKU: 34658. 
OEM: 32305, 37134ST, 911134, G-63715, 344375. 
Marca: MONROE.
Aplicación: AMORTIGUADOR, TRAS.F-150 97-04 4X4 (16.0000 27.5000 LS26 11.5000 S4)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</si>
  <si>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32305, 37134ST, 911134, G-63715, 344375</t>
  </si>
  <si>
    <t>https://http2.mlstatic.com/D_754952-MLV111209855757_052026-O.jpg</t>
  </si>
  <si>
    <t>34675</t>
  </si>
  <si>
    <t xml:space="preserve">Producto Original. 
SKU: 34675. 
OEM: 23154, 32326, 34675, 37149ST, GR75675, G-23154, 835206. 
Marca: MONROE.
Aplicación: AMORTIGUADOR, DELT.SILVERADO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</si>
  <si>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https://http2.mlstatic.com/D_878856-MLV111209795587_052026-O.jpg</t>
  </si>
  <si>
    <t xml:space="preserve">Producto Original. 
SKU: 34676. 
OEM: 32327, 37150ST,. 
Marca: MONROE.
Aplicación: AMORTIGUADOR, TRAS.SILVERADO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</si>
  <si>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32327, 37150ST,</t>
  </si>
  <si>
    <t>https://http2.mlstatic.com/D_656016-MLV111209885779_052026-O.jpg</t>
  </si>
  <si>
    <t>34677</t>
  </si>
  <si>
    <t xml:space="preserve">Producto Original. 
SKU: 34677. 
OEM: 23156, 32328, 34501, 34677, 37178ST, 53156, G-23156E. 
Marca: MONROE.
Aplicación: AMORTIGUADOR, DELT.SILVERADO 1500 99-06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</si>
  <si>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34677N</t>
  </si>
  <si>
    <t xml:space="preserve">Producto Original. 
SKU: 34677N. 
OEM: 32328. 
Marca: MONROE NACIONAL.
Aplicación: AMORTIGUADOR, DELT.SILVERADO 1500 99-06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</si>
  <si>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https://http2.mlstatic.com/D_853006-MLV111209795603_052026-O.jpg,https://http2.mlstatic.com/D_995423-MLV111211256971_052026-O.jpg</t>
  </si>
  <si>
    <t>34678</t>
  </si>
  <si>
    <t xml:space="preserve">Producto Original. 
SKU: 34678. 
OEM: 32329, 37152ST. 
Marca: MONROE.
Aplicación: AMORTIGUADOR, TRAS.SILVERADO 1500 99-06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</si>
  <si>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32329, 37152ST</t>
  </si>
  <si>
    <t>AMORTIGUADOR DELANTERO FORD F-250 99-24 4X2 F-350 99-24 4X2</t>
  </si>
  <si>
    <t>https://http2.mlstatic.com/D_908554-MLV111209825747_052026-O.jpg</t>
  </si>
  <si>
    <t>34684</t>
  </si>
  <si>
    <t xml:space="preserve">Producto Original. 
SKU: 34684. 
OEM: GR75684, G-23149E, ASH-23457, 911173. 
Marca: MONROE.
Aplicación: AMORTIGUADOR, DELT.FORD F-250 99-24 4X2 F-350 99-24 4X2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</si>
  <si>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GR75684, G-23149E, ASH-23457, 911173</t>
  </si>
  <si>
    <t>AMORTIGUADOR TRASERO F-350 99-04 4X2 F-250 99-04 4X2 SUPER D</t>
  </si>
  <si>
    <t>https://http2.mlstatic.com/D_953356-MLV111209795635_052026-O.jpg</t>
  </si>
  <si>
    <t>34685</t>
  </si>
  <si>
    <t xml:space="preserve">Producto Original. 
SKU: 34685. 
OEM: N/A. 
Marca: MONROE.
Aplicación: AMORTIGUADOR, TRAS.F-350 99-04 4X2 F-250 99-04 4X2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</si>
  <si>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F-350 99-10 4X4 TRASERO F-350 99-10 4</t>
  </si>
  <si>
    <t>https://http2.mlstatic.com/D_906551-MLV111209885821_052026-O.jpg</t>
  </si>
  <si>
    <t>34686</t>
  </si>
  <si>
    <t xml:space="preserve">Producto Original. 
SKU: 34686. 
OEM: G-23150, 53150, GR75686. 
Marca: MONROE.
Aplicación: AMORTIGUADOR, DELT.F-350 99-10 4X4 TRAS.F-350 99-10 4X2 (OJO Y OJO) (CORTO 62CM)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</si>
  <si>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G-23150, 53150, GR75686</t>
  </si>
  <si>
    <t>https://http2.mlstatic.com/D_808812-MLV111209825785_052026-O.jpg</t>
  </si>
  <si>
    <t>34686N</t>
  </si>
  <si>
    <t xml:space="preserve">Producto Original. 
SKU: 34686N. 
OEM: G-23150, 53150, GR75686. 
Marca: MONROE NACIONAL.
Aplicación: AMORTIGUADOR, DELT.F-350 99-10 4X4 TRAS.F-350 99-10 4X2 (OJO Y OJO) (CORTO 62CM)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</si>
  <si>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F-350 99-16 4X4 F-250 99-04 4X4 SUPER D</t>
  </si>
  <si>
    <t>https://http2.mlstatic.com/D_664326-MLV111209885839_052026-O.jpg</t>
  </si>
  <si>
    <t>34687</t>
  </si>
  <si>
    <t xml:space="preserve">Producto Original. 
SKU: 34687. 
OEM: G-23152E. 
Marca: MONROE.
Aplicación: AMORTIGUADOR, TRAS.F-350 99-16 4X4 F-250 99-04 4X4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</si>
  <si>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G-23152E</t>
  </si>
  <si>
    <t>34687N</t>
  </si>
  <si>
    <t xml:space="preserve">Producto Original. 
SKU: 34687N. 
OEM: G-23152E. 
Marca: MONROE NACIONAL.
Aplicación: AMORTIGUADOR, TRAS.F-350 99-16 4X4 F-250 99-04 4X4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</si>
  <si>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34690</t>
  </si>
  <si>
    <t xml:space="preserve">Producto Original. 
SKU: 34690. 
OEM: 32341, 37164ST, 911164, G-63675, 344385, 342528. 
Marca: VARIOS.
Aplicación: AMORTIGUADOR, TRAS.SILVERADO 1500 01-07 HD SILVERADO 2500 99-10 HD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</si>
  <si>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32341, 37164ST, 911164, G-63675, 344385, 342528</t>
  </si>
  <si>
    <t>AMORTIGUADOR TRASERO GRAND BLAZER 00-06 Z71</t>
  </si>
  <si>
    <t>34692</t>
  </si>
  <si>
    <t xml:space="preserve">Producto Original. 
SKU: 34692. 
OEM: 37166ST, 911506. 
Marca: MONROE.
Aplicación: AMORTIGUADOR, TRAS.GRAND BLAZER 00-06 Z71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</si>
  <si>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37166ST, 911506</t>
  </si>
  <si>
    <t>AMORTIGUADOR TRASERO GRAND BLAZER 00-13</t>
  </si>
  <si>
    <t>34693</t>
  </si>
  <si>
    <t xml:space="preserve">Producto Original. 
SKU: 34693. 
OEM: N/A. 
Marca: VARIOS.
Aplicación: AMORTIGUADOR, TRAS.GRAND BLAZER 00-13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</si>
  <si>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SILVERADO 3500 01-07 SILVERADO 3500 07-</t>
  </si>
  <si>
    <t>https://http2.mlstatic.com/D_742810-MLV111209795677_052026-O.jpg</t>
  </si>
  <si>
    <t>34694</t>
  </si>
  <si>
    <t xml:space="preserve">Producto Original. 
SKU: 34694. 
OEM: N/A. 
Marca: MONROE.
Aplicación: AMORTIGUADOR, TRAS.SILVERADO 3500 01-07 SILVERADO 3500 07-10 HD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</si>
  <si>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https://http2.mlstatic.com/D_678237-MLV111209915715_052026-O.jpg</t>
  </si>
  <si>
    <t>34729</t>
  </si>
  <si>
    <t xml:space="preserve">Producto Original. 
SKU: 34729. 
OEM: 34729, 344420, G-22203E, GR25420. 
Marca: MONROE.
Aplicación: AMORTIGUADOR, DELT.F-150 80-96 BRONCO 80-96 (INTERNO) 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</si>
  <si>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F-350 87-91 4X2 F-250 87-91 4X2</t>
  </si>
  <si>
    <t>34730</t>
  </si>
  <si>
    <t xml:space="preserve">Producto Original. 
SKU: 34730. 
OEM: N/A. 
Marca: MONROE.
Aplicación: AMORTIGUADOR, DELT.F-350 87-91 4X2 F-250 87-91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</si>
  <si>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F-350 83-97 4X2</t>
  </si>
  <si>
    <t>https://http2.mlstatic.com/D_704132-MLV111209855941_052026-O.jpg</t>
  </si>
  <si>
    <t>34731</t>
  </si>
  <si>
    <t xml:space="preserve">Producto Original. 
SKU: 34731. 
OEM: N/A. 
Marca: MONROE.
Aplicación: AMORTIGUADOR, TRAS.F-350 83-97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</si>
  <si>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C-3500 88-00 EXPRESS 3500 96-02</t>
  </si>
  <si>
    <t>https://http2.mlstatic.com/D_793680-MLV111209885913_052026-O.jpg</t>
  </si>
  <si>
    <t>34741</t>
  </si>
  <si>
    <t xml:space="preserve">Producto Original. 
SKU: 34741. 
OEM: G-23113E, 32224, 23129E, 37019ST, 835091, MM-6741. 
Marca: MONROE.
Aplicación: AMORTIGUADOR, DELT.C-3500 88-00 EXPRESS 3500 96-02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</si>
  <si>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G-23113E, 32224, 23129E, 37019ST, 835091, MM-6741</t>
  </si>
  <si>
    <t>AMORTIGUADOR DELANTERO E-150 08-14 E-250 92-14 E-350 92-05</t>
  </si>
  <si>
    <t>https://http2.mlstatic.com/D_832889-MLV111209885931_052026-O.jpg</t>
  </si>
  <si>
    <t>34760</t>
  </si>
  <si>
    <t xml:space="preserve">Producto Original. 
SKU: 34760. 
OEM: 32235, 37015ST. 
Marca: MONROE.
Aplicación: AMORTIGUADOR, DELT.E-150 08-14 E-250 92-14 E-350 92-05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</si>
  <si>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32235, 37015ST</t>
  </si>
  <si>
    <t>https://http2.mlstatic.com/D_631744-MLV111211257147_052026-O.jpg</t>
  </si>
  <si>
    <t>34762</t>
  </si>
  <si>
    <t xml:space="preserve">Producto Original. 
SKU: 34762. 
OEM: 32264, 37085ST. 
Marca: MONROE.
Aplicación: AMORTIGUADOR TRAS.GRAND BLAZER 93-99 4X2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</si>
  <si>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32264, 37085ST</t>
  </si>
  <si>
    <t xml:space="preserve">Producto Original. 
SKU: 34762. 
OEM: 32264, 37085ST. 
Marca: MONROE.
Aplicación: AMORTIGUADOR TRAS.GRAND EXPRESS 1500 96-14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</si>
  <si>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34763. 
OEM: 32265. 
Marca: MONROE.
Aplicación: AMORTIGUADOR TRAS.GRAND BLAZER 93-99 4X4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</si>
  <si>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34763. 
OEM: 32265. 
Marca: MONROE.
Aplicación: AMORTIGUADOR TRAS.GRAND EXPRESS 3500 96-18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</si>
  <si>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https://http2.mlstatic.com/D_833639-MLV111209855993_052026-O.jpg</t>
  </si>
  <si>
    <t>34767</t>
  </si>
  <si>
    <t xml:space="preserve">Producto Original. 
SKU: 34767. 
OEM: 32266, 37087ST. 
Marca: MONROE.
Aplicación: AMORTIGUADOR, TRAS.GRAND BLAZER 93-99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</si>
  <si>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32266, 37087ST</t>
  </si>
  <si>
    <t>34776</t>
  </si>
  <si>
    <t xml:space="preserve">Producto Original. 
SKU: 34776. 
OEM: N/A. 
Marca: MONROE.
Aplicación: AMORTIGUADOR DELT.RAM 1500 94-01 4X2 RAM 2500 94-02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</si>
  <si>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34776. 
OEM: N/A. 
Marca: MONROE.
Aplicación: AMORTIGUADOR DELT.RAM 1500 94-01 4X2 RAM 3500 94-02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</si>
  <si>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34776. 
OEM: N/A. 
Marca: MONROE.
Aplicación: AMORTIGUADOR DELT.RAM 1500 94-01 4X2 RAM 4000 97-02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</si>
  <si>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https://http2.mlstatic.com/D_832070-MLV111209915781_052026-O.jpg</t>
  </si>
  <si>
    <t>34777</t>
  </si>
  <si>
    <t xml:space="preserve">Producto Original. 
SKU: 34777. 
OEM: N/A. 
Marca: MONROE.
Aplicación: AMORTIGUADOR TRAS.RAM 1500 94-01 4X2 RAM 2500 94-02 4X2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</si>
  <si>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34777. 
OEM: N/A. 
Marca: MONROE.
Aplicación: AMORTIGUADOR TRAS.RAM 1500 94-01 4X2 RAM 3500 94-02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</si>
  <si>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https://http2.mlstatic.com/D_783484-MLV111211465349_052026-O.jpg</t>
  </si>
  <si>
    <t>34778</t>
  </si>
  <si>
    <t xml:space="preserve">Producto Original. 
SKU: 34778. 
OEM: N/A. 
Marca: MONROE.
Aplicación: AMORTIGUADOR, DELT.RAM 1500 94-01 4X4 RAM 2500 94-02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</si>
  <si>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RAM 2500 94-02 4X4 RAM 3500 94-02 4X2 4</t>
  </si>
  <si>
    <t>https://http2.mlstatic.com/D_657978-MLV111211465351_052026-O.jpg</t>
  </si>
  <si>
    <t>34781</t>
  </si>
  <si>
    <t xml:space="preserve">Producto Original. 
SKU: 34781. 
OEM: 32278. 
Marca: MONROE.
Aplicación: AMORTIGUADOR, TRAS.RAM 2500 94-02 4X4 RAM 3500 94-02 4X2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</si>
  <si>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RAM 2500 94-02 4X4 RAM 3500 94-02 4X2</t>
  </si>
  <si>
    <t>34782</t>
  </si>
  <si>
    <t xml:space="preserve">Producto Original. 
SKU: 34782. 
OEM: N/A. 
Marca: MONROE.
Aplicación: AMORTIGUADOR, DELT.RAM 2500 94-02 4X4 RAM 3500 94-02 4X2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</si>
  <si>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LAND CRUISER 91-98 AUTANA 90-9</t>
  </si>
  <si>
    <t>https://http2.mlstatic.com/D_764024-MLV111209856039_052026-O.jpg</t>
  </si>
  <si>
    <t>34787</t>
  </si>
  <si>
    <t xml:space="preserve">Producto Original. 
SKU: 34787. 
OEM: N/A. 
Marca: MONROE.
Aplicación: AMORTIGUADOR, DELT.TOYOTA LAND CRUISER 91-98 AUTANA 90-98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</si>
  <si>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LAND CRUISER 91-98 LEXUS LX450 9</t>
  </si>
  <si>
    <t>34788</t>
  </si>
  <si>
    <t xml:space="preserve">Producto Original. 
SKU: 34788. 
OEM: 34788, G-86301E, GR75788. 
Marca: VARIOS.
Aplicación: AMORTIGUADOR, TRAS.TOYOTA LAND CRUISER 91-98 LEXUS LX450 96-97 DELANTERO NPR-NKR-NHR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</si>
  <si>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34788, G-86301E, GR75788</t>
  </si>
  <si>
    <t>AMORTIGUADOR FORD F-350 93-97 TRASERO TOYOTA PICK UP 4 5 Y H</t>
  </si>
  <si>
    <t>https://http2.mlstatic.com/D_743326-MLV111211257217_052026-O.jpg</t>
  </si>
  <si>
    <t>34791</t>
  </si>
  <si>
    <t xml:space="preserve">Producto Original. 
SKU: 34791. 
OEM: N/A. 
Marca: MONROE.
Aplicación: AMORTIGUADOR, FORD F-350 93-97 TRAS.TOYOTA PICK UP 4.5 Y HYLUX 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</si>
  <si>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F-350 92-97 4X2</t>
  </si>
  <si>
    <t>34793</t>
  </si>
  <si>
    <t xml:space="preserve">Producto Original. 
SKU: 34793. 
OEM: N/A. 
Marca: MONROE.
Aplicación: AMORTIGUADOR, DELT.F-350 92-97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</si>
  <si>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34798</t>
  </si>
  <si>
    <t xml:space="preserve">Producto Original. 
SKU: 34798. 
OEM: 32263, 37130, 911043, 34984. 
Marca: VARIOS.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</si>
  <si>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32263, 37130, 911043, 34984</t>
  </si>
  <si>
    <t>AMORTIGUADOR TRASERO TOYOTA LAND CRUISER 71-87 FJ55 FJ60 LUV</t>
  </si>
  <si>
    <t>34802</t>
  </si>
  <si>
    <t xml:space="preserve">Producto Original. 
SKU: 34802. 
OEM: N/A. 
Marca: MONROE.
Aplicación: AMORTIGUADOR, TRAS.TOYOTA LAND CRUISER 71-87 FJ55 FJ60 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</si>
  <si>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LAND CRUISER 60-83 FJ-40</t>
  </si>
  <si>
    <t>34803</t>
  </si>
  <si>
    <t xml:space="preserve">Producto Original. 
SKU: 34803. 
OEM: N/A. 
Marca: VARIOS.
Aplicación: AMORTIGUADOR, TRAS.TOYOTA LAND CRUISER 60-83 FJ-40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</si>
  <si>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https://http2.mlstatic.com/D_958970-MLV110282810318_052026-O.jpg</t>
  </si>
  <si>
    <t>34817</t>
  </si>
  <si>
    <t xml:space="preserve">Producto Original. 
SKU: 34817. 
OEM: 45236, 3033N, 33033, GR75817. 
Marca: MONROE.
Aplicación: AMORTIGUADOR, DELT.C-10 63-86 C-20 63-86 C-30 63-89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</si>
  <si>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45236, 3033N, 33033, GR75817</t>
  </si>
  <si>
    <t>https://http2.mlstatic.com/D_702080-MLV111209856111_052026-O.jpg</t>
  </si>
  <si>
    <t>34824</t>
  </si>
  <si>
    <t xml:space="preserve">Producto Original. 
SKU: 34824. 
OEM: 45663, 3084N, 33084, GR75824, 37041ST. 
Marca: MONROE.
Aplicación: AMORTIGUADOR, TRAS.C-10 73-86 C-20 73-86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</si>
  <si>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45663, 3084N, 33084, GR75824, 37041ST</t>
  </si>
  <si>
    <t>AMORTIGUADOR TRASERO SAMURAY FJ62 88-90 /TRASERO NPR /TRASER</t>
  </si>
  <si>
    <t>34828</t>
  </si>
  <si>
    <t xml:space="preserve">Producto Original. 
SKU: 34828. 
OEM: N/A. 
Marca: VARIOS.
Aplicación: AMORTIGUADOR, TRAS.SAMURAY FJ62 88-90 /TRAS.NPR /TRAS.MACHITO        &lt;--03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</si>
  <si>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B-100 71-80 B-200 71-80 B-300 71-80 U</t>
  </si>
  <si>
    <t>https://http2.mlstatic.com/D_612450-MLV111209886011_052026-O.jpg</t>
  </si>
  <si>
    <t>34831</t>
  </si>
  <si>
    <t xml:space="preserve">Producto Original. 
SKU: 34831. 
OEM: 34741. 
Marca: MONROE.
Aplicación: AMORTIGUADOR, DELT.B-100 71-80 B-200 71-80 B-300 71-80 (USE 34741)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</si>
  <si>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D-100 72-89 D-200 72-80 D-300 72-80</t>
  </si>
  <si>
    <t>34832</t>
  </si>
  <si>
    <t xml:space="preserve">Producto Original. 
SKU: 34832. 
OEM: N/A. 
Marca: MONROE.
Aplicación: AMORTIGUADOR, TRAS.D-100 72-89 D-200 72-80 D-300 72-80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</si>
  <si>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FORD F-100 70-79 F-150 75-79 F-350 67</t>
  </si>
  <si>
    <t>https://http2.mlstatic.com/D_698976-MLV110282810390_052026-O.jpg</t>
  </si>
  <si>
    <t>34900</t>
  </si>
  <si>
    <t xml:space="preserve">Producto Original. 
SKU: 34900. 
OEM: N/A. 
Marca: MONROE.
Aplicación: AMORTIGUADOR, DELT.FORD F-100 70-79 F-150 75-79 F-350 67-79 E-250 75-91 E-350 75-91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</si>
  <si>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PREVIA</t>
  </si>
  <si>
    <t>349002</t>
  </si>
  <si>
    <t xml:space="preserve">Producto Original. 
SKU: 349002. 
OEM: N/A. 
Marca: KYB.
Aplicación: AMORTIGUADOR, TRAS.TOYOTA PREVIA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</si>
  <si>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F-100 70-76 4X4 F-150 76-79 4X4 F-350 7</t>
  </si>
  <si>
    <t>https://http2.mlstatic.com/D_985718-MLV111211465481_052026-O.jpg</t>
  </si>
  <si>
    <t>34901</t>
  </si>
  <si>
    <t xml:space="preserve">Producto Original. 
SKU: 34901. 
OEM: N/A. 
Marca: MONROE.
Aplicación: AMORTIGUADOR, TRAS.F-100 70-76 4X4 F-150 76-79 4X4 F-350 79-80 4X4 E-350 75-91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</si>
  <si>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TACOMA 05+</t>
  </si>
  <si>
    <t>349010</t>
  </si>
  <si>
    <t xml:space="preserve">Producto Original. 
SKU: 349010. 
OEM: N/A. 
Marca: KYB.
Aplicación: AMORTIGUADOR, TRAS.TOYOTA TACOMA 05+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</si>
  <si>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HILUX KAWAK</t>
  </si>
  <si>
    <t>349015</t>
  </si>
  <si>
    <t xml:space="preserve">Producto Original. 
SKU: 349015. 
OEM: N/A. 
Marca: KYB.
Aplicación: AMORTIGUADOR, TRAS.TOYOTA HILUX KAWAK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</si>
  <si>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FORTUNER 06-14</t>
  </si>
  <si>
    <t>349017</t>
  </si>
  <si>
    <t xml:space="preserve">Producto Original. 
SKU: 349017. 
OEM: GR25017. 
Marca: KYB.
Aplicación: AMORTIGUADOR, TRAS.TOYOTA FORTUNER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</si>
  <si>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GR25017</t>
  </si>
  <si>
    <t>AMORTIGUADOR DELANTERO CJ-5 73-81 CJ-7 76-81 LAND CRUISER 60</t>
  </si>
  <si>
    <t>34904</t>
  </si>
  <si>
    <t xml:space="preserve">Producto Original. 
SKU: 34904. 
OEM: N/A. 
Marca: MONROE.
Aplicación: AMORTIGUADOR, DELT.CJ-5 73-81 CJ-7 76-81 LAND CRUISER 60-83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</si>
  <si>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CJ-5 73-81 CJ-7 76-81</t>
  </si>
  <si>
    <t>34905</t>
  </si>
  <si>
    <t xml:space="preserve">Producto Original. 
SKU: 34905. 
OEM: N/A. 
Marca: MONROE.
Aplicación: AMORTIGUADOR, TRAS.CJ-5 73-81 CJ-7 76-81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</si>
  <si>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TUNDRA 07+</t>
  </si>
  <si>
    <t>349054</t>
  </si>
  <si>
    <t xml:space="preserve">Producto Original. 
SKU: 349054. 
OEM: N/A. 
Marca: KYB.
Aplicación: AMORTIGUADOR, TRAS.TOYOTA TUNDRA 07+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</si>
  <si>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MACHITO PICK-UP HEMBRITA</t>
  </si>
  <si>
    <t>34909</t>
  </si>
  <si>
    <t xml:space="preserve">Producto Original. 
SKU: 34909. 
OEM: N/A. 
Marca: VARIOS.
Aplicación: AMORTIGUADOR, DELT.TOYOTA MACHITO PICK-UP (HEMBRITA)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</si>
  <si>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MONTERO SPORT 2011+</t>
  </si>
  <si>
    <t>349090</t>
  </si>
  <si>
    <t xml:space="preserve">Producto Original. 
SKU: 349090. 
OEM: N/A. 
Marca: KYB.
Aplicación: AMORTIGUADOR, TRAS.MITSUBISHI MONTERO SPORT 2011+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</si>
  <si>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F-350 74-79 4X2 F-150 75-79 4X2 F-100 7</t>
  </si>
  <si>
    <t>34911</t>
  </si>
  <si>
    <t xml:space="preserve">Producto Original. 
SKU: 34911. 
OEM: 34911, RS-5009,. 
Marca: MONROE.
Aplicación: AMORTIGUADOR, TRAS.F-350 74-79 4X2 F-150 75-79 4X2 F-100 70-79 4X2 E-150 75-91 E-100 75-83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</si>
  <si>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34911, RS-5009,</t>
  </si>
  <si>
    <t>AMORTIGUADOR TRASERO TOYOTA SEQUOIA 08+</t>
  </si>
  <si>
    <t>349135</t>
  </si>
  <si>
    <t xml:space="preserve">Producto Original. 
SKU: 349135. 
OEM: N/A. 
Marca: KYB.
Aplicación: AMORTIGUADOR, TRAS.TOYOTA SEQUOIA 08+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</si>
  <si>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4RUNNER 10-20 FJ CRUISER 07-14</t>
  </si>
  <si>
    <t>349185</t>
  </si>
  <si>
    <t xml:space="preserve">Producto Original. 
SKU: 349185. 
OEM: N/A. 
Marca: KYB.
Aplicación: AMORTIGUADOR, TRAS.TOYOTA 4RUNNER 10-20 FJ CRUISER 07-14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</si>
  <si>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F-150 80-96 BRONCO 80-96 FRONT FORWAR</t>
  </si>
  <si>
    <t>https://http2.mlstatic.com/D_657504-MLV111211257449_052026-O.jpg</t>
  </si>
  <si>
    <t>34926</t>
  </si>
  <si>
    <t xml:space="preserve">Producto Original. 
SKU: 34926. 
OEM: N/A. 
Marca: MONROE.
Aplicación: AMORTIGUADOR, DELT.F-150 80-96 BRONCO 80-96 (FRONT FORWARD)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</si>
  <si>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https://http2.mlstatic.com/D_911658-MLV111211257457_052026-O.jpg</t>
  </si>
  <si>
    <t>34927</t>
  </si>
  <si>
    <t xml:space="preserve">Producto Original. 
SKU: 34927. 
OEM: G-23110, 32228, 5049N, GR75927. 
Marca: MONROE.
Aplicación: AMORTIGUADOR, TRAS.F-150 80-84 4X2 BRONCO 80-96 F-100 80-83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</si>
  <si>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G-23110, 32228, 5049N, GR75927</t>
  </si>
  <si>
    <t>AMORTIGUADOR TRASERO F-350 80-97 4X4 F-150 80-89 4X4 F-450 9</t>
  </si>
  <si>
    <t>https://http2.mlstatic.com/D_736346-MLV111209916019_052026-O.jpg</t>
  </si>
  <si>
    <t xml:space="preserve">Producto Original. 
SKU: 34930. 
OEM: 32239. 
Marca: MONROE.
Aplicación: AMORTIGUADOR, TRAS.F-350 80-97 4X4 F-150 80-89 4X4 F-450 99-04 SUPER DUTY F-550 99-04 SUPER DUTY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</si>
  <si>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CANTER TODOS</t>
  </si>
  <si>
    <t>34954</t>
  </si>
  <si>
    <t xml:space="preserve">Producto Original. 
SKU: 34954. 
OEM: N/A. 
Marca: VARIOS.
Aplicación: AMORTIGUADOR, DELT.MITSUBISHI CANTER                                 TODOS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</si>
  <si>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34958. 
OEM: 32164. 
Marca: MONROE.
Aplicación: AMORTIGUADOR DELT.CJ-5 82-83 CJ-7 82-86 WAGONEER 74-83 DELT.TRAS.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</si>
  <si>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34958. 
OEM: 32164. 
Marca: MONROE.
Aplicación: AMORTIGUADOR DELT.CJ-5 82-83 CJ-7 82-86 GRAND WAGONEER 84-91 DELT.TRAS. F-350 67-79 TRAS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</si>
  <si>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C-30 73-89</t>
  </si>
  <si>
    <t>34960</t>
  </si>
  <si>
    <t xml:space="preserve">Producto Original. 
SKU: 34960. 
OEM: 45676, 6085N. 
Marca: MONROE.
Aplicación: AMORTIGUADOR, TRAS.C-30 73-89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</si>
  <si>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45676, 6085N</t>
  </si>
  <si>
    <t>AMORTIGUADOR TRASERO F-350 99-16 4X2 SUPER DUTY F-350 80-91</t>
  </si>
  <si>
    <t>https://http2.mlstatic.com/D_941872-MLV111209795987_052026-O.jpg</t>
  </si>
  <si>
    <t>34963</t>
  </si>
  <si>
    <t xml:space="preserve">Producto Original. 
SKU: 34963. 
OEM: N/A. 
Marca: MONROE.
Aplicación: AMORTIGUADOR, TRAS.F-350 99-16 4X2 (SUPER DUTY) F-350 80-91 4X2 F-150 85-96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</si>
  <si>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F-350 99-16 4X4 SUPER DUTY F-350 85-97</t>
  </si>
  <si>
    <t>34964</t>
  </si>
  <si>
    <t xml:space="preserve">Producto Original. 
SKU: 34964. 
OEM: 32238. 
Marca: MONROE.
Aplicación: AMORTIGUADOR, TRAS.F-350 99-16 4X4 (SUPER DUTY) F-350 85-97 4X4 F-150 90-96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</si>
  <si>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32238</t>
  </si>
  <si>
    <t>34964N</t>
  </si>
  <si>
    <t xml:space="preserve">Producto Original. 
SKU: 34964N. 
OEM: N/A. 
Marca: MONROE NACIONAL.
Aplicación: AMORTIGUADOR, TRAS.F-350 99-16 4X4 (SUPER DUTY) F-350 85-97 4X4 F-150 90-96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</si>
  <si>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https://http2.mlstatic.com/D_933735-MLV111211465583_052026-O.jpg</t>
  </si>
  <si>
    <t>34975</t>
  </si>
  <si>
    <t xml:space="preserve">Producto Original. 
SKU: 34975. 
OEM: 22145, 32219, 34975. 
Marca: MONROE.
Aplicación: AMORTIGUADOR, DELT.WRANGLER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</si>
  <si>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34976</t>
  </si>
  <si>
    <t xml:space="preserve">Producto Original. 
SKU: 34976. 
OEM: 32220, 34976, G-22146. 
Marca: MONROE.
Aplicación: AMORTIGUADOR, TRAS.WRANGLER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</si>
  <si>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34983</t>
  </si>
  <si>
    <t xml:space="preserve">Producto Original. 
SKU: 34983. 
OEM: G-23113E. 
Marca: MONROE.
Aplicación: AMORTIGUADOR, DELT.C-1500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</si>
  <si>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G-23113E</t>
  </si>
  <si>
    <t>34984</t>
  </si>
  <si>
    <t xml:space="preserve">Producto Original. 
SKU: 34984. 
OEM: 34798. 
Marca: MONROE.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</si>
  <si>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https://http2.mlstatic.com/D_938631-MLV110282810546_052026-O.jpg</t>
  </si>
  <si>
    <t>34985</t>
  </si>
  <si>
    <t xml:space="preserve">Producto Original. 
SKU: 34985. 
OEM: 32225, 34985, 23100E, 835092, 37044ST, G-23100E, G-23104E. 
Marca: MONROE.
Aplicación: AMORTIGUADOR, TRAS.C-1500 88-99 C-3500 88-00 K-1500 91-99 K-3500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</si>
  <si>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35746N</t>
  </si>
  <si>
    <t xml:space="preserve">Producto Original. 
SKU: 35746N. 
OEM: G-22116E, GR25108, 33108. 
Marca: MONROE NACIONAL.
Aplicación: AMORTIGUADOR, TRAS.CENTURY 82-96 CELEBRITY 82-90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</si>
  <si>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G-22116E, GR25108, 33108</t>
  </si>
  <si>
    <t>AMORTIGUADOR DELANTERO SIERRA 85-91</t>
  </si>
  <si>
    <t>35807</t>
  </si>
  <si>
    <t xml:space="preserve">Producto Original. 
SKU: 35807. 
OEM: N/A. 
Marca: GABRIEL.
Aplicación: AMORTIGUADOR, DELT.SIERRA 85-91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</si>
  <si>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FIAT REGATA RITMO 84-90</t>
  </si>
  <si>
    <t>35812T</t>
  </si>
  <si>
    <t xml:space="preserve">Producto Original. 
SKU: 35812T. 
OEM: N/A. 
Marca: GABRIEL.
Aplicación: AMORTIGUADOR, TRAS.FIAT REGATA RITMO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</si>
  <si>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FIAT REGATA RITMO 84-90</t>
  </si>
  <si>
    <t>35813T</t>
  </si>
  <si>
    <t xml:space="preserve">Producto Original. 
SKU: 35813T. 
OEM: N/A. 
Marca: GABRIEL.
Aplicación: AMORTIGUADOR, DELT.FIAT REGATA RITMO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</si>
  <si>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FIAT 147 TUCAN SPAZIO 81-87</t>
  </si>
  <si>
    <t>https://http2.mlstatic.com/D_634861-MLV111209796323_052026-O.jpg</t>
  </si>
  <si>
    <t>35814</t>
  </si>
  <si>
    <t xml:space="preserve">Producto Original. 
SKU: 35814. 
OEM: N/A. 
Marca: GABRIEL.
Aplicación: AMORTIGUADOR, DELT.FIAT 147 TUCAN SPAZIO 81-87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</si>
  <si>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FIAT 147 TUCAN SPAZIO 81-87</t>
  </si>
  <si>
    <t>35815</t>
  </si>
  <si>
    <t xml:space="preserve">Producto Original. 
SKU: 35815. 
OEM: N/A. 
Marca: GABRIEL.
Aplicación: AMORTIGUADOR, TRAS.FIAT 147 TUCAN SPAZIO 81-87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</si>
  <si>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MITSUBISHI LANCER 94-99 1 3</t>
  </si>
  <si>
    <t>https://http2.mlstatic.com/D_949119-MLV111209796333_052026-O.jpg</t>
  </si>
  <si>
    <t>35847</t>
  </si>
  <si>
    <t xml:space="preserve">Producto Original. 
SKU: 35847. 
OEM: G-35847. 
Marca: GABRIEL.
Aplicación: AMORTIGUADOR, DELT.IZQ.MITSUBISHI LANCER 94-99 1.3 1.5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</si>
  <si>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G-35847</t>
  </si>
  <si>
    <t>35865T</t>
  </si>
  <si>
    <t xml:space="preserve">Producto Original. 
SKU: 35865T. 
OEM: N/A. 
Marca: GABRIEL.
Aplicación: AMORTIGUADOR DELT.MITSUBISHI LANCER 01-05 1.3 1.5 1.8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</si>
  <si>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35865T. 
OEM: N/A. 
Marca: GABRIEL.
Aplicación: AMORTIGUADOR DELT.MITSUBISHI LANCER 05-13 1.6 PLATO PEQ.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</si>
  <si>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RENAULT R- ENERGY-GALA 94-02-R-11 86-</t>
  </si>
  <si>
    <t>35979</t>
  </si>
  <si>
    <t xml:space="preserve">Producto Original. 
SKU: 35979. 
OEM: N/A. 
Marca: GABRIEL.
Aplicación: AMORTIGUADOR, DELT.RENAULT R- ENERGY-GALA 94-02-R-11 86-87-DACIA SEDAN Y TAXI 00-04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</si>
  <si>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CELICA 94-99 CARTUCHO POCA PRE</t>
  </si>
  <si>
    <t>https://http2.mlstatic.com/D_775112-MLV111209827297_052026-O.jpg</t>
  </si>
  <si>
    <t>365092</t>
  </si>
  <si>
    <t xml:space="preserve">Producto Original. 
SKU: 365092. 
OEM: N/A. 
Marca: KYB.
Aplicación: AMORTIGUADOR, DELT.TOYOTA CELICA 94-99 (CARTUCHO) (POCA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</si>
  <si>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https://http2.mlstatic.com/D_819986-MLV111209797231_052026-O.jpg</t>
  </si>
  <si>
    <t xml:space="preserve">Producto Original. 
SKU: 37015ST. 
OEM: 32235. 
Marca: MONROE.
Aplicación: AMORTIGUADOR, DELT.EXPLORER 91-94 RANGER 90-97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</si>
  <si>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https://http2.mlstatic.com/D_903846-MLV111211466775_052026-O.jpg</t>
  </si>
  <si>
    <t>37019ST</t>
  </si>
  <si>
    <t xml:space="preserve">Producto Original. 
SKU: 37019ST. 
OEM: 32300, G-22154, G-23115E, GR25300, 32224. 
Marca: MONROE.
Aplicación: AMORTIGUADOR, DELT.BLAZER 91-94 4X2 BLAZER 95-05 4X2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</si>
  <si>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32300, G-22154, G-23115E, GR25300, 32224</t>
  </si>
  <si>
    <t>37021ST</t>
  </si>
  <si>
    <t xml:space="preserve">Producto Original. 
SKU: 37021ST. 
OEM: 32186, G-22155, G-22157, G-22173E. 
Marca: MONROE.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</si>
  <si>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32186, G-22155, G-22157, G-22173E</t>
  </si>
  <si>
    <t>AMORTIGUADOR DELANTERO TROOPER 87-91/ AMIGO 89-95/ RODEO 90-</t>
  </si>
  <si>
    <t>37022ST</t>
  </si>
  <si>
    <t xml:space="preserve">Producto Original. 
SKU: 37022ST. 
OEM: N/A. 
Marca: VARIOS.
Aplicación: AMORTIGUADOR, DELT.TROOPER 87-91/ AMIGO 89-95/ RODEO                 90-97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</si>
  <si>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https://http2.mlstatic.com/D_620231-MLV111211258753_052026-O.jpg</t>
  </si>
  <si>
    <t>37027ST</t>
  </si>
  <si>
    <t xml:space="preserve">Producto Original. 
SKU: 37027ST. 
OEM: 32197. 
Marca: MONROE.
Aplicación: AMORTIGUADOR, TRAS.CHEROKEE 84-01 XJ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</si>
  <si>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37030ST. 
OEM: 32245. 
Marca: MONROE.
Aplicación: AMORTIGUADOR, DELT.TOYOTA 4RUNNER 86-95 PICKUP 86-95 T100 93-98 HYLUX 90-96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</si>
  <si>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4RUNNER 90-95 DELANTERO SAMURAY</t>
  </si>
  <si>
    <t>37033ST</t>
  </si>
  <si>
    <t xml:space="preserve">Producto Original. 
SKU: 37033ST. 
OEM: N/A. 
Marca: VARIOS.
Aplicación: AMORTIGUADOR, TRAS.TOYOTA 4RUNNER 90-95 DELT.SAMURAY F-J60 88-90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</si>
  <si>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37035N</t>
  </si>
  <si>
    <t xml:space="preserve">Producto Original. 
SKU: 37035N. 
OEM: 32253, 37035ST, G-23112, GR75035. 
Marca: MONROE NACIONAL.
Aplicación: AMORTIGUADOR, TRAS.EXPLORER 91-03 EXPLORER SPORT 01-03 SPORT TRAC 01-05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</si>
  <si>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32253, 37035ST, G-23112, GR75035</t>
  </si>
  <si>
    <t>37035ST</t>
  </si>
  <si>
    <t xml:space="preserve">Producto Original. 
SKU: 37035ST. 
OEM: 32253, G-23112, GR75035. 
Marca: MONROE.
Aplicación: AMORTIGUADOR, TRAS.EXPLORER 91-03 EXPLORER SPORT 01-03 SPORT TRAC 01-05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</si>
  <si>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32253, G-23112, GR75035</t>
  </si>
  <si>
    <t>AMORTIGUADOR TRASERO C-1500 91-99</t>
  </si>
  <si>
    <t>https://http2.mlstatic.com/D_625086-MLV111211258769_052026-O.jpg</t>
  </si>
  <si>
    <t>37044ST</t>
  </si>
  <si>
    <t xml:space="preserve">Producto Original. 
SKU: 37044ST. 
OEM: N/A. 
Marca: MONROE.
Aplicación: AMORTIGUADOR, TRAS.C-1500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</si>
  <si>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37065ST</t>
  </si>
  <si>
    <t xml:space="preserve">Producto Original. 
SKU: 37065ST. 
OEM: 32233, G-63426. 
Marca: MONROE.
Aplicación: AMORTIGUADOR, TRAS.CARAVAN 84-95 GRAND CARAVAN 87-95 TOWN &amp; COUNTRY 90-95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</si>
  <si>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32233, G-63426</t>
  </si>
  <si>
    <t>37070ST</t>
  </si>
  <si>
    <t xml:space="preserve">Producto Original. 
SKU: 37070ST. 
OEM: 32316, G-21147E, GR75070, 37269ST. 
Marca: MONROE.
Aplicación: AMORTIGUADOR TRAS.GRAND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</si>
  <si>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37070ST. 
OEM: 32316, G-21147E, GR75070, 37269ST. 
Marca: MONROE.
Aplicación: AMORTIGUADOR TRAS.GRAND VITARA 99-04 SIDEKICK 89-98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</si>
  <si>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37081ST. 
OEM: 32252, 37081ST. 
Marca: MONROE.
Aplicación: AMORTIGUADOR DELT.GRAND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</si>
  <si>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32252, 37081ST</t>
  </si>
  <si>
    <t xml:space="preserve">Producto Original. 
SKU: 37081ST. 
OEM: 32252, 37081ST. 
Marca: MONROE.
Aplicación: AMORTIGUADOR DELT.GRAND CHEROKEE 91-01 XJ COMANCHE 91-92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</si>
  <si>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https://http2.mlstatic.com/D_685530-MLV111209887461_052026-O.jpg,https://http2.mlstatic.com/D_971233-MLV111209857553_052026-O.jpg</t>
  </si>
  <si>
    <t xml:space="preserve">Producto Original. 
SKU: 37082ST. 
OEM: 32269. 
Marca: MONROE.
Aplicación: AMORTIGUADOR, TRAS.GRAND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</si>
  <si>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37083ST</t>
  </si>
  <si>
    <t xml:space="preserve">Producto Original. 
SKU: 37083ST. 
OEM: 32252. 37081ST. 
Marca: MONROE.
Aplicación: AMORTIGUADOR DELT.GRAND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</si>
  <si>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32252. 37081ST</t>
  </si>
  <si>
    <t xml:space="preserve">Producto Original. 
SKU: 37083ST. 
OEM: 32252. 37081ST. 
Marca: MONROE.
Aplicación: AMORTIGUADOR DELT.GRAND CHEROKEE 91-01 XJ COMANCHE 91-92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</si>
  <si>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https://http2.mlstatic.com/D_889012-MLV111209917367_052026-O.jpg</t>
  </si>
  <si>
    <t>37085ST</t>
  </si>
  <si>
    <t xml:space="preserve">Producto Original. 
SKU: 37085ST. 
OEM: 32264, 34762. 
Marca: MONROE.
Aplicación: AMORTIGUADOR TRAS.GRAND BLAZER 93-99 4X2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</si>
  <si>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32264, 34762</t>
  </si>
  <si>
    <t xml:space="preserve">Producto Original. 
SKU: 37085ST. 
OEM: 32264, 34762. 
Marca: MONROE.
Aplicación: AMORTIGUADOR TRAS.GRAND EXPRESS 1500 96-14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</si>
  <si>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FORD BRONCO 80/96 F-150 80/96 F-250 8</t>
  </si>
  <si>
    <t>37095ST</t>
  </si>
  <si>
    <t xml:space="preserve">Producto Original. 
SKU: 37095ST. 
OEM: N/A. 
Marca: VARIOS.
Aplicación: AMORTIGUADOR, DELT.FORD BRONCO 80/96, F-150 80/96, F-250        80-86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</si>
  <si>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37099ST</t>
  </si>
  <si>
    <t xml:space="preserve">Producto Original. 
SKU: 37099ST. 
OEM: 32194, G-22156, G-23114E, GR25194. 
Marca: MONROE.
Aplicación: AMORTIGUADOR, DELT.BLAZER 91-94 4X4 BLAZER 95-05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</si>
  <si>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32194, G-22156, G-23114E, GR25194</t>
  </si>
  <si>
    <t>AMORTIGUADOR TRASERO RAM 1500 94-01 RAM 2500 94-02</t>
  </si>
  <si>
    <t>37103ST</t>
  </si>
  <si>
    <t xml:space="preserve">Producto Original. 
SKU: 37103ST. 
OEM: N/A. 
Marca: MONROE.
Aplicación: AMORTIGUADOR, TRAS.RAM 1500 94-01 RAM 2500 94-02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</si>
  <si>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37122ST</t>
  </si>
  <si>
    <t xml:space="preserve">Producto Original. 
SKU: 37122ST. 
OEM: 32296, 37122, G-23111, G-86308E, 88947980. 
Marca: MONROE.
Aplicación: AMORTIGUADOR DELT.EXPLORER 95-01 4X4 EXPLORER SPORT 01-03 4X4 SPORT TRAC 01-05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</si>
  <si>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37122ST. 
OEM: 32296, 37122, G-23111, G-86308E, 88947980. 
Marca: MONROE.
Aplicación: AMORTIGUADOR DELT.EXPLORER 95-01 4X4 RANGER 98-11 BARRA TORSION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</si>
  <si>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37129ST</t>
  </si>
  <si>
    <t xml:space="preserve">Producto Original. 
SKU: 37129ST. 
OEM: 32300, G-22154, G-23115E, GR25300, 32224. 
Marca: MONROE.
Aplicación: AMORTIGUADOR, DELT.BLAZER 91-94 4X2 BLAZER 95-05 4X2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</si>
  <si>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37131ST</t>
  </si>
  <si>
    <t xml:space="preserve">Producto Original. 
SKU: 37131ST. 
OEM: N/A. 
Marca: MONROE.
Aplicación: AMORTIGUADOR, DELT.F-150 97-04 4X2 EXPEDITION 97-02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</si>
  <si>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F-150 97-04 4X2 RWD</t>
  </si>
  <si>
    <t>37132ST</t>
  </si>
  <si>
    <t xml:space="preserve">Producto Original. 
SKU: 37132ST. 
OEM: N/A. 
Marca: MONROE.
Aplicación: AMORTIGUADOR, TRAS.F-150 97-04 4X2 RWD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</si>
  <si>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37133ST</t>
  </si>
  <si>
    <t xml:space="preserve">Producto Original. 
SKU: 37133ST. 
OEM: N/A. 
Marca: MONROE.
Aplicación: AMORTIGUADOR, DELT.F-150 97-04 4X4 EXPEDITION 97-02 4X4 4WD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</si>
  <si>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FORD F-150 97-04</t>
  </si>
  <si>
    <t>37134ST</t>
  </si>
  <si>
    <t xml:space="preserve">Producto Original. 
SKU: 37134ST. 
OEM: N/A. 
Marca: MONROE.
Aplicación: AMORTIGUADOR, TRAS.FORD F-150 97-04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</si>
  <si>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DAKOTA 97-04 DURANGO 99-03</t>
  </si>
  <si>
    <t>37137ST</t>
  </si>
  <si>
    <t xml:space="preserve">Producto Original. 
SKU: 37137ST. 
OEM: N/A. 
Marca: MONROE.
Aplicación: AMORTIGUADOR, DELT.DAKOTA 97-04 DURANGO 99-03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</si>
  <si>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37157N</t>
  </si>
  <si>
    <t xml:space="preserve">Producto Original. 
SKU: 37157N. 
OEM: 32334, 37157ST, G-22185T, GR75157, 344288, G-63726. 
Marca: MONROE NACIONAL.
Aplicación: AMORTIGUADOR TRAS.TOYOTA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</si>
  <si>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37157N. 
OEM: 32334, 37157ST, G-22185T, GR75157, 344288, G-63726. 
Marca: MONROE NACIONAL.
Aplicación: AMORTIGUADOR TRAS.TOYOTA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</si>
  <si>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37157ST</t>
  </si>
  <si>
    <t xml:space="preserve">Producto Original. 
SKU: 37157ST. 
OEM: 32334, 37157ST, G-22185T, GR75157, 344288, G-63726. 
Marca: VARIOS.
Aplicación: AMORTIGUADOR TRAS.TOYOTA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</si>
  <si>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37157ST. 
OEM: 32334, 37157ST, G-22185T, GR75157, 344288, G-63726. 
Marca: VARIOS.
Aplicación: AMORTIGUADOR TRAS.TOYOTA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</si>
  <si>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37162ST</t>
  </si>
  <si>
    <t xml:space="preserve">Producto Original. 
SKU: 37162ST. 
OEM: 32339, 34769. 
Marca: MONROE.
Aplicación: AMORTIGUADOR, TRAS.GRAND CHEROKEE 99-05 WJ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</si>
  <si>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32339, 34769</t>
  </si>
  <si>
    <t>https://http2.mlstatic.com/D_990383-MLV111209857589_052026-O.jpg</t>
  </si>
  <si>
    <t>37178ST</t>
  </si>
  <si>
    <t xml:space="preserve">Producto Original. 
SKU: 37178ST. 
OEM: 34501, 911505. 
Marca: MONROE.
Aplicación: AMORTIGUADOR DELT.SILVERADO 1500 03-07 AVALANCHE 02-06 TAHOE 00-06 GRAND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</si>
  <si>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34501, 911505</t>
  </si>
  <si>
    <t xml:space="preserve">Producto Original. 
SKU: 37178ST. 
OEM: 34501, 911505. 
Marca: MONROE.
Aplicación: AMORTIGUADOR DELT.SILVERADO 1500 03-07 AVALANCHE 02-06 BLAZER Z71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</si>
  <si>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RAV 4 99-05 CHERY TIGGO CHINA TO</t>
  </si>
  <si>
    <t>37199ST</t>
  </si>
  <si>
    <t xml:space="preserve">Producto Original. 
SKU: 37199ST. 
OEM: N/A. 
Marca: VARIOS.
Aplicación: AMORTIGUADOR, TRAS.TOYOTA RAV 4 99-05 CHERY TIGGO CHINA TODOS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</si>
  <si>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37203ST</t>
  </si>
  <si>
    <t xml:space="preserve">Producto Original. 
SKU: 37203ST. 
OEM: GR75203, 930011. 
Marca: MONROE.
Aplicación: AMORTIGUADOR, TRAS.LIBERTY 02-14 KJ KK NITRO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</si>
  <si>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GR75203, 930011</t>
  </si>
  <si>
    <t>https://http2.mlstatic.com/D_901915-MLV111211258833_052026-O.jpg</t>
  </si>
  <si>
    <t>37206ST</t>
  </si>
  <si>
    <t xml:space="preserve">Producto Original. 
SKU: 37206ST. 
OEM: N/A. 
Marca: MONROE.
Aplicación: AMORTIGUADOR, DELT.RAM 1500 02-08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</si>
  <si>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RAM 1500 02-08</t>
  </si>
  <si>
    <t>https://http2.mlstatic.com/D_750001-MLV111209797403_052026-O.jpg</t>
  </si>
  <si>
    <t>37207ST</t>
  </si>
  <si>
    <t xml:space="preserve">Producto Original. 
SKU: 37207ST. 
OEM: N/A. 
Marca: MONROE.
Aplicación: AMORTIGUADOR, TRAS.RAM 1500 02-08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</si>
  <si>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ESCAPE 01-07</t>
  </si>
  <si>
    <t>37217ST</t>
  </si>
  <si>
    <t xml:space="preserve">Producto Original. 
SKU: 37217ST. 
OEM: GR25217, G-22250T, 37217, G-63862, 344356. 
Marca: MONROE.
Aplicación: AMORTIGUADOR, TRAS.ESCAPE 01-07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</si>
  <si>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GR25217, G-22250T, 37217, G-63862, 344356</t>
  </si>
  <si>
    <t>AMORTIGUADOR TRASERO HYUDAI SANTA FE 01-06</t>
  </si>
  <si>
    <t>37237ST</t>
  </si>
  <si>
    <t xml:space="preserve">Producto Original. 
SKU: 37237ST. 
OEM: N/A. 
Marca: MONROE.
Aplicación: AMORTIGUADOR, TRAS.HYUDAI SANTA FE 01-06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</si>
  <si>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TRAILBLAZER 02-09</t>
  </si>
  <si>
    <t>https://http2.mlstatic.com/D_955994-MLV111209917415_052026-O.jpg</t>
  </si>
  <si>
    <t>37241ST</t>
  </si>
  <si>
    <t xml:space="preserve">Producto Original. 
SKU: 37241ST. 
OEM: G-21148E, GR25241, 930073. 
Marca: MONROE.
Aplicación: AMORTIGUADOR, TRAS.TRAILBLAZER 02-09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</si>
  <si>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G-21148E, GR25241, 930073</t>
  </si>
  <si>
    <t>AMORTIGUADOR TRASERO NISSAN TITAN 04-15 4X4</t>
  </si>
  <si>
    <t>37251ST</t>
  </si>
  <si>
    <t xml:space="preserve">Producto Original. 
SKU: 37251ST. 
OEM: N/A. 
Marca: VARIOS.
Aplicación: AMORTIGUADOR, TRAS.NISSAN TITAN 04-15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</si>
  <si>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NISSAN TITAN 04-15 4X2</t>
  </si>
  <si>
    <t>37252ST</t>
  </si>
  <si>
    <t xml:space="preserve">Producto Original. 
SKU: 37252ST. 
OEM: N/A. 
Marca: VARIOS.
Aplicación: AMORTIGUADOR, TRAS.NISSAN TITAN 04-15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</si>
  <si>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NISSAN ARMADA 04-15</t>
  </si>
  <si>
    <t>37253ST</t>
  </si>
  <si>
    <t xml:space="preserve">Producto Original. 
SKU: 37253ST. 
OEM: N/A. 
Marca: VARIOS.
Aplicación: AMORTIGUADOR, TRAS.NISSAN ARMADA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</si>
  <si>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https://http2.mlstatic.com/D_913659-MLV111209827591_052026-O.jpg,https://http2.mlstatic.com/D_976195-MLV111211258871_052026-O.jpg</t>
  </si>
  <si>
    <t>37269ST</t>
  </si>
  <si>
    <t xml:space="preserve">Producto Original. 
SKU: 37269ST. 
OEM: 32316, G-21147E, GR75070, 37070ST. 
Marca: MONROE.
Aplicación: AMORTIGUADOR TRAS.GRAND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</si>
  <si>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32316, G-21147E, GR75070, 37070ST</t>
  </si>
  <si>
    <t xml:space="preserve">Producto Original. 
SKU: 37269ST. 
OEM: 32316, G-21147E, GR75070, 37070ST. 
Marca: MONROE.
Aplicación: AMORTIGUADOR TRAS.GRAND VITARA 99-04 SIDEKICK 89-98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</si>
  <si>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4RUNNER 03-20 FJ CRUISER 07-14</t>
  </si>
  <si>
    <t>37270ST</t>
  </si>
  <si>
    <t xml:space="preserve">Producto Original. 
SKU: 37270ST. 
OEM: G-23195T, GR75270, G-63885. 
Marca: MONROE.
Aplicación: AMORTIGUADOR, TRAS.TOYOTA 4RUNNER 03-20 FJ CRUISER 07-14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</si>
  <si>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G-23195T, GR75270, G-63885</t>
  </si>
  <si>
    <t>AMORTIGUADOR TRASERO TOYOTA SIENNA 04-20</t>
  </si>
  <si>
    <t>37284ST</t>
  </si>
  <si>
    <t xml:space="preserve">Producto Original. 
SKU: 37284ST. 
OEM: N/A. 
Marca: MONROE.
Aplicación: AMORTIGUADOR, TRAS.TOYOTA SIENNA 04-20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</si>
  <si>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KIA SEDONA 06-14</t>
  </si>
  <si>
    <t>37307ST</t>
  </si>
  <si>
    <t xml:space="preserve">Producto Original. 
SKU: 37307ST. 
OEM: N/A. 
Marca: VARIOS.
Aplicación: AMORTIGUADOR, TRAS.KIA SEDONA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</si>
  <si>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GRAND VITARA 08-13 JIII</t>
  </si>
  <si>
    <t>https://http2.mlstatic.com/D_602382-MLV111211258889_052026-O.jpg</t>
  </si>
  <si>
    <t>37308ST</t>
  </si>
  <si>
    <t xml:space="preserve">Producto Original. 
SKU: 37308ST. 
OEM: N/A. 
Marca: VARIOS.
Aplicación: AMORTIGUADOR, TRAS.GRAND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</si>
  <si>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ODYSSEY 05-17</t>
  </si>
  <si>
    <t>37316ST</t>
  </si>
  <si>
    <t xml:space="preserve">Producto Original. 
SKU: 37316ST. 
OEM: N/A. 
Marca: MONROE.
Aplicación: AMORTIGUADOR, TRAS.HONDA ODYSSEY 05-17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</si>
  <si>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HYUNDAI SANTA FE 07-12 VERACRUZ 07-12 K</t>
  </si>
  <si>
    <t>37322ST</t>
  </si>
  <si>
    <t xml:space="preserve">Producto Original. 
SKU: 37322ST. 
OEM: N/A. 
Marca: MONROE.
Aplicación: AMORTIGUADOR TRAS.HYUNDAI SANTA FE 07-12 VERACRUZ 07-12 KIA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</si>
  <si>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HYUNDAI SORENTO 11-13</t>
  </si>
  <si>
    <t xml:space="preserve">Producto Original. 
SKU: 37322ST. 
OEM: N/A. 
Marca: MONROE.
Aplicación: AMORTIGUADOR TRAS.HYUNDAI SORENTO 11-13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</si>
  <si>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SEQUOIA 08-20</t>
  </si>
  <si>
    <t>37324ST</t>
  </si>
  <si>
    <t xml:space="preserve">Producto Original. 
SKU: 37324ST. 
OEM: N/A. 
Marca: VARIOS.
Aplicación: AMORTIGUADOR, TRAS.TOYOTA SEQUOIA 08-20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</si>
  <si>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CAPTIVA 07-15</t>
  </si>
  <si>
    <t>37359ST</t>
  </si>
  <si>
    <t xml:space="preserve">Producto Original. 
SKU: 37359ST. 
OEM: N/A. 
Marca: VARIOS.
Aplicación: AMORTIGUADOR, TRAS.CAPTIVA 07-15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</si>
  <si>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39104ST</t>
  </si>
  <si>
    <t xml:space="preserve">Producto Original. 
SKU: 39104ST. 
OEM: G-51513T, GR55104. 
Marca: MONROE.
Aplicación: AMORTIGUADOR, DELT.SILVERADO 1500 07-14 TAHOE 07-15 AVALANCHE 07-13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</si>
  <si>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G-51513T, GR55104</t>
  </si>
  <si>
    <t>AMORTIGUADOR DELANTERO FORD F-600 F-750 80-87</t>
  </si>
  <si>
    <t>4120N</t>
  </si>
  <si>
    <t xml:space="preserve">Producto Original. 
SKU: 4120N. 
OEM: 23080. 
Marca: MONROE NACIONAL.
Aplicación: AMORTIGUADOR, DELT.FORD F-600 F-750 80-87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</si>
  <si>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L200/SPORTERO/TRITON 4X4 11-</t>
  </si>
  <si>
    <t>4162A289</t>
  </si>
  <si>
    <t xml:space="preserve">Producto Original. 
SKU: 4162A289. 
OEM: E35092. 
Marca: TOKICO.
Aplicación: AMORTIGUADOR, TRAS.MITSUBISHI L200/SPORTERO/TRITON 4X4 11-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</si>
  <si>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E35092</t>
  </si>
  <si>
    <t>AMORTIGUADOR TRASERO MITSUBISHI L200 KA4/KB4/KB5</t>
  </si>
  <si>
    <t>4162A360</t>
  </si>
  <si>
    <t xml:space="preserve">Producto Original. 
SKU: 4162A360. 
OEM: E20056. 
Marca: TOKICO.
Aplicación: AMORTIGUADOR, TRAS.MITSUBISHI L200 KA4/KB4/KB5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</si>
  <si>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E20056</t>
  </si>
  <si>
    <t>https://http2.mlstatic.com/D_709627-MLV111209835881_052026-O.jpg</t>
  </si>
  <si>
    <t>41700-65J00</t>
  </si>
  <si>
    <t xml:space="preserve">Producto Original. 
SKU: 41700-65J00. 
OEM: 37308ST, 69068. 
Marca: SUZUKI.
Aplicación: AMORTIGUADOR, TRAS.GRAND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</si>
  <si>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SUZUKI</t>
  </si>
  <si>
    <t>37308ST, 69068</t>
  </si>
  <si>
    <t>https://http2.mlstatic.com/D_925791-MLV111209866309_052026-O.jpg</t>
  </si>
  <si>
    <t>4213-0590</t>
  </si>
  <si>
    <t xml:space="preserve">Producto Original. 
SKU: 4213-0590. 
OEM: G-35896T, 713080N, 333417, 802503, 96980827. 
Marca: SENSEN.
Aplicación: DESCONTINUADO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</si>
  <si>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G-35896T, 713080N, 333417, 802503, 96980827</t>
  </si>
  <si>
    <t>4213-0591</t>
  </si>
  <si>
    <t xml:space="preserve">Producto Original. 
SKU: 4213-0591. 
OEM: N/A. 
Marca: SENSEN.
Aplicación: DESCONTINUADO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</si>
  <si>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CARAVAN 01-07 GRAND CARAVAN 01-07 TOW</t>
  </si>
  <si>
    <t>https://http2.mlstatic.com/D_641596-MLV111209836555_052026-O.jpg,https://http2.mlstatic.com/D_802548-MLV111209926217_052026-O.jpg</t>
  </si>
  <si>
    <t>425113</t>
  </si>
  <si>
    <t xml:space="preserve">Producto Original. 
SKU: 425113. 
OEM: G-56620, 801572, 71572ST. 
Marca: VARIOS.
Aplicación: AMORTIGUADOR, DELT.CARAVAN 01-07 GRAND CARAVAN 01-07 TOWN &amp; COUNTRY 01-07 VOYAGER 01-07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</si>
  <si>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G-56620, 801572, 71572ST</t>
  </si>
  <si>
    <t>AMORTIGUADOR TRASERO PEUGEOT 206 01-08 PEUGEOT 207 07-13</t>
  </si>
  <si>
    <t>42956T</t>
  </si>
  <si>
    <t xml:space="preserve">Producto Original. 
SKU: 42956T. 
OEM: 341249. 
Marca: GABRIEL.
Aplicación: AMORTIGUADOR, TRAS.PEUGEOT 206 01-08 PEUGEOT 207 07-13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</si>
  <si>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341249</t>
  </si>
  <si>
    <t>AMORTIGUADOR DELANTERO MONZA 84-94 CARTUCHO</t>
  </si>
  <si>
    <t>https://http2.mlstatic.com/D_724994-MLV111209927911_052026-O.jpg</t>
  </si>
  <si>
    <t>44074</t>
  </si>
  <si>
    <t xml:space="preserve">Producto Original. 
SKU: 44074. 
OEM: N/A. 
Marca: GABRIEL.
Aplicación: AMORTIGUADOR, DELT.MONZA 84-94 (CARTUCHO)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</si>
  <si>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CENTURY 82-84 CELEBRITY 82-84 CARTUCH</t>
  </si>
  <si>
    <t>https://http2.mlstatic.com/D_912185-MLV111209868315_052026-O.jpg</t>
  </si>
  <si>
    <t>44083</t>
  </si>
  <si>
    <t xml:space="preserve">Producto Original. 
SKU: 44083. 
OEM: 801708, 71708. 
Marca: GABRIEL.
Aplicación: AMORTIGUADOR, DELT.CENTURY 82-84 CELEBRITY 82-84 (CARTUCHO)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</si>
  <si>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801708, 71708</t>
  </si>
  <si>
    <t>AMORTIGUADOR DELANTERO DAEWOO RACER CIELO LANOS ESPERO 92-03</t>
  </si>
  <si>
    <t>44306</t>
  </si>
  <si>
    <t xml:space="preserve">Producto Original. 
SKU: 44306. 
OEM: N/A. 
Marca: GABRIEL.
Aplicación: AMORTIGUADOR, DELT.DAEWOO RACER CIELO LANOS ESPERO 92-03 (CARTUCHO)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</si>
  <si>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MONTERO 06-UP</t>
  </si>
  <si>
    <t>https://http2.mlstatic.com/D_692396-MLV111211269217_052026-O.jpg</t>
  </si>
  <si>
    <t>443198</t>
  </si>
  <si>
    <t xml:space="preserve">Producto Original. 
SKU: 443198. 
OEM: N/A. 
Marca: KYB.
Aplicación: AMORTIGUADOR, TRAS.MITSUBISHI MONTERO 06-UP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</si>
  <si>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HILUX 92-05 4X2 GREAT WALL DEE</t>
  </si>
  <si>
    <t>443214</t>
  </si>
  <si>
    <t xml:space="preserve">Producto Original. 
SKU: 443214. 
OEM: 46075. 
Marca: KYB.
Aplicación: AMORTIGUADOR, DELT.TOYOTA HILUX 92-05 4X2 GREAT WALL DEER 05-09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</si>
  <si>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46075</t>
  </si>
  <si>
    <t>AMORTIGUADOR TRASERO MITSUBISHI L-300 P12/P13/P14 87-04</t>
  </si>
  <si>
    <t>https://http2.mlstatic.com/D_780423-MLV111209808145_052026-O.jpg</t>
  </si>
  <si>
    <t>443223</t>
  </si>
  <si>
    <t xml:space="preserve">Producto Original. 
SKU: 443223. 
OEM: N/A. 
Marca: KYB.
Aplicación: AMORTIGUADOR, TRAS.MITSUBISHI L-300 P12/P13/P14 87-04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</si>
  <si>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HILUX 92-05 4X2 GREAT WALL DEER</t>
  </si>
  <si>
    <t>443259</t>
  </si>
  <si>
    <t xml:space="preserve">Producto Original. 
SKU: 443259. 
OEM: N/A. 
Marca: KYB.
Aplicación: AMORTIGUADOR, TRAS.TOYOTA HILUX 92-05 4X2 GREAT WALL DEER 05-09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</si>
  <si>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444103</t>
  </si>
  <si>
    <t xml:space="preserve">Producto Original. 
SKU: 444103. 
OEM: 32245, 37030ST. 
Marca: KYB.
Aplicación: AMORTIGUADOR, DELT.TOYOTA 4RUNNER 86-95 PICKUP 86-95 T100 93-98 HYLUX 90-96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</si>
  <si>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32245, 37030ST</t>
  </si>
  <si>
    <t>AMORTIGUADOR TRASERO TOYOTA FZJ70 MACHITO 4 0</t>
  </si>
  <si>
    <t>444107</t>
  </si>
  <si>
    <t xml:space="preserve">Producto Original. 
SKU: 444107. 
OEM: N/A. 
Marca: KYB.
Aplicación: AMORTIGUADOR, TRAS.TOYOTA FZJ70 MACHITO 4.0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</si>
  <si>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JEEP CJ-5 CJ-7 WILLIS 54-87 TOYOTA FJ40</t>
  </si>
  <si>
    <t>https://http2.mlstatic.com/D_772647-MLV111209838549_052026-O.jpg</t>
  </si>
  <si>
    <t>45006</t>
  </si>
  <si>
    <t xml:space="preserve">Producto Original. 
SKU: 45006. 
OEM: 31000. 
Marca: GABRIEL.
Aplicación: AMORTIGUADOR, TRAS.JEEP CJ-5 CJ-7 WILLIS 54-87 TOYOTA FJ40 FJ42 FJ55 56-74 FORD F-100 F-250 F-350 61-66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</si>
  <si>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TRASERO JEEP CJ-5 55-71 TRASERO WAGON</t>
  </si>
  <si>
    <t>45054</t>
  </si>
  <si>
    <t xml:space="preserve">Producto Original. 
SKU: 45054. 
OEM: N/A. 
Marca: GABRIEL.
Aplicación: AMORTIGUADOR, DELT.TRAS.JEEP CJ-5 55-71 TRAS.WAGONEER 63-79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</si>
  <si>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DART 65-78</t>
  </si>
  <si>
    <t xml:space="preserve">Producto Original. 
SKU: 45074. 
OEM: 31131. 
Marca: GABRIEL.
Aplicación: AMORTIGUADOR, TRAS.DART 65-78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</si>
  <si>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FJ55 67-76</t>
  </si>
  <si>
    <t>45143</t>
  </si>
  <si>
    <t xml:space="preserve">Producto Original. 
SKU: 45143. 
OEM: N/A. 
Marca: GABRIEL.
Aplicación: AMORTIGUADOR, DELT.TOYOTA FJ55 67-76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</si>
  <si>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FALCON FAIRLANE RANCHERA 66-71 HORNET</t>
  </si>
  <si>
    <t>45164</t>
  </si>
  <si>
    <t xml:space="preserve">Producto Original. 
SKU: 45164. 
OEM: N/A. 
Marca: GABRIEL.
Aplicación: AMORTIGUADOR, DELT.FALCON FAIRLANE RANCHERA 66-71 HORNET JAVELIN 70-78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</si>
  <si>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https://http2.mlstatic.com/D_671811-MLV111209808491_052026-O.jpg</t>
  </si>
  <si>
    <t xml:space="preserve">Producto Original. 
SKU: 45171. 
OEM: 2022N. 
Marca: GABRIEL.
Aplicación: AMORTIGUADOR, DELT.CORONET 71-79 DART 65-77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</si>
  <si>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MACHO FJ40 FJ43 FJ45 FJ55 75-85</t>
  </si>
  <si>
    <t>https://http2.mlstatic.com/D_654832-MLV111209808649_052026-O.jpg</t>
  </si>
  <si>
    <t>45203</t>
  </si>
  <si>
    <t xml:space="preserve">Producto Original. 
SKU: 45203. 
OEM: 1067. 
Marca: GABRIEL.
Aplicación: AMORTIGUADOR TRAS.TOYOTA MACHO FJ40 FJ43 FJ45 FJ55 75-85 FJ60 FJ62 SAMURAI 81-86 CARIBE 83-87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</si>
  <si>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1067</t>
  </si>
  <si>
    <t xml:space="preserve">Producto Original. 
SKU: 45203. 
OEM: 1067. 
Marca: GABRIEL.
Aplicación: AMORTIGUADOR TRAS.TOYOTA MACHO FJ40 FJ43 FJ45 FJ55 75-85 FJ60 FJ62 MONTERO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</si>
  <si>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45203. 
OEM: 1067. 
Marca: GABRIEL.
Aplicación: AMORTIGUADOR TRAS.TOYOTA MACHO FJ40 FJ43 FJ45 FJ55 75-85 FJ60 FJ62 DAKAR 94-06 DELT.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</si>
  <si>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45204. 
OEM: N/A. 
Marca: GABRIEL.
Aplicación: AMORTIGUADOR, DELT.TOYOTA FJ40 FJ42 FJ43 FJ45 56-85 JEEP CJ-7 54-87 DELT.-TRAS. JEEP COMANDO 67-69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</si>
  <si>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C-10 63-74 C-30 63-74</t>
  </si>
  <si>
    <t>45243</t>
  </si>
  <si>
    <t xml:space="preserve">Producto Original. 
SKU: 45243. 
OEM: N/A. 
Marca: GABRIEL.
Aplicación: AMORTIGUADOR, TRAS.C-10 63-74 C-30 63-74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</si>
  <si>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FAIRLANE FALCON MUSTANG 66-73 DELANTERO</t>
  </si>
  <si>
    <t>https://http2.mlstatic.com/D_878065-MLV111209868927_052026-O.jpg,https://http2.mlstatic.com/D_617647-MLV111209839067_052026-O.jpg</t>
  </si>
  <si>
    <t>45257</t>
  </si>
  <si>
    <t xml:space="preserve">Producto Original. 
SKU: 45257. 
OEM: 1123N. 
Marca: GABRIEL.
Aplicación: AMORTIGUADOR, TRAS.FAIRLANE FALCON MUSTANG 66-73 DELT.TRAS NISSAN PATROL 61-78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</si>
  <si>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1123N</t>
  </si>
  <si>
    <t>https://http2.mlstatic.com/D_925816-MLV111211802061_052026-O.jpg,https://http2.mlstatic.com/D_963016-MLV111209898763_052026-O.jpg</t>
  </si>
  <si>
    <t xml:space="preserve">Producto Original. 
SKU: 45263. 
OEM: 3041N, 3082N. 
Marca: GABRIEL.
Aplicación: AMORTIGUADOR TRAS.CAPRICE 77-86 IMPALA 77-80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</si>
  <si>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3041N, 3082N</t>
  </si>
  <si>
    <t xml:space="preserve">Producto Original. 
SKU: 45263. 
OEM: 3041N, 3082N. 
Marca: GABRIEL.
Aplicación: AMORTIGUADOR TRAS.CAPRICE 77-86 MALIBU 73-84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</si>
  <si>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45263. 
OEM: 3041N, 3082N. 
Marca: GABRIEL.
Aplicación: AMORTIGUADOR TRAS.CAPRICE 77-86 MONTE CARLO 78-82 NOVA 65-79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</si>
  <si>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https://http2.mlstatic.com/D_684680-MLV111211269873_052026-O.jpg</t>
  </si>
  <si>
    <t xml:space="preserve">Producto Original. 
SKU: 45370. 
OEM: 45384, 45505. 
Marca: GABRIEL.
Aplicación: AMORTIGUADOR, TRAS.FAIRLANE 65-74 LTD 67-82 RODEO 91-97 GRAND MARQUIS 75-82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</si>
  <si>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45384, 45505</t>
  </si>
  <si>
    <t>AMORTIGUADOR DELANTERO WAGONEER 63-79 TRASERO F-350 65-79</t>
  </si>
  <si>
    <t>45373</t>
  </si>
  <si>
    <t xml:space="preserve">Producto Original. 
SKU: 45373. 
OEM: N/A. 
Marca: GABRIEL.
Aplicación: AMORTIGUADOR, DELT.WAGONEER 63-79 TRAS.F-350 65-79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</si>
  <si>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C-10 67-72 C-20 67-72</t>
  </si>
  <si>
    <t xml:space="preserve">Producto Original. 
SKU: 45374. 
OEM: N/A. 
Marca: GABRIEL.
Aplicación: AMORTIGUADOR, TRAS.C-10 67-72 C-20 67-72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</si>
  <si>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https://http2.mlstatic.com/D_899083-MLV111211802075_052026-O.jpg</t>
  </si>
  <si>
    <t>45381</t>
  </si>
  <si>
    <t xml:space="preserve">Producto Original. 
SKU: 45381. 
OEM: 2075. 
Marca: GABRIEL.
Aplicación: AMORTIGUADOR, DELT.FORD F-100 70-79 F-150 75-79 F-350 67-79 E-250 75-91 E-350 75-91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</si>
  <si>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2075</t>
  </si>
  <si>
    <t>AMORTIGUADOR DELANTERO MALIBU NOVA CHEVELLE 68-72</t>
  </si>
  <si>
    <t>45391</t>
  </si>
  <si>
    <t xml:space="preserve">Producto Original. 
SKU: 45391. 
OEM: N/A. 
Marca: GABRIEL.
Aplicación: AMORTIGUADOR, DELT.MALIBU NOVA CHEVELLE 68-72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</si>
  <si>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VW BRASILIA ESCARABAJO KOMBI 67-83</t>
  </si>
  <si>
    <t>45443</t>
  </si>
  <si>
    <t xml:space="preserve">Producto Original. 
SKU: 45443. 
OEM: 19071. 
Marca: GABRIEL.
Aplicación: AMORTIGUADOR, DELT.VW BRASILIA ESCARABAJO KOMBI 67-83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</si>
  <si>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VW BRASILIA ESCARABAJO KOMBI 67-83</t>
  </si>
  <si>
    <t>45444</t>
  </si>
  <si>
    <t xml:space="preserve">Producto Original. 
SKU: 45444. 
OEM: B47334. 
Marca: GABRIEL.
Aplicación: AMORTIGUADOR, TRAS.VW BRASILIA ESCARABAJO KOMBI 67-83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</si>
  <si>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CAMARO 70-79</t>
  </si>
  <si>
    <t>https://http2.mlstatic.com/D_824642-MLV111209808861_052026-O.jpg</t>
  </si>
  <si>
    <t>45452</t>
  </si>
  <si>
    <t xml:space="preserve">Producto Original. 
SKU: 45452. 
OEM: 45365. 
Marca: GABRIEL.
Aplicación: AMORTIGUADOR, TRAS.CAMARO 70-79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</si>
  <si>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45365</t>
  </si>
  <si>
    <t>AMORTIGUADOR DELANTERO D-100 72-78 D-200 72-78 B-200 73-78 B</t>
  </si>
  <si>
    <t>45453</t>
  </si>
  <si>
    <t xml:space="preserve">Producto Original. 
SKU: 45453. 
OEM: N/A. 
Marca: GABRIEL.
Aplicación: AMORTIGUADOR, DELT.D-100 72-78 D-200 72-78 B-200 73-78 B-300 73-78 VAN 73-78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</si>
  <si>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D-100 75-89 D-200 75-89 D-300 75-80 B-2</t>
  </si>
  <si>
    <t>https://http2.mlstatic.com/D_764191-MLV111209898835_052026-O.jpg</t>
  </si>
  <si>
    <t>45456</t>
  </si>
  <si>
    <t xml:space="preserve">Producto Original. 
SKU: 45456. 
OEM: N/A. 
Marca: GABRIEL.
Aplicación: AMORTIGUADOR, TRAS.D-100 75-89 D-200 75-89 D-300 75-80 B-200 73-78 B-300 73-78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</si>
  <si>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CORONET CHARGER 71-76</t>
  </si>
  <si>
    <t>45471</t>
  </si>
  <si>
    <t xml:space="preserve">Producto Original. 
SKU: 45471. 
OEM: N/A. 
Marca: GABRIEL.
Aplicación: AMORTIGUADOR, TRAS.CORONET CHARGER 71-76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</si>
  <si>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MUSTANG 71-73</t>
  </si>
  <si>
    <t>45474</t>
  </si>
  <si>
    <t xml:space="preserve">Producto Original. 
SKU: 45474. 
OEM: N/A. 
Marca: GABRIEL.
Aplicación: AMORTIGUADOR, DELT.MUSTANG 71-73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</si>
  <si>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D-100 72-78 D-200 72-78 D-300 72-78</t>
  </si>
  <si>
    <t>45511</t>
  </si>
  <si>
    <t xml:space="preserve">Producto Original. 
SKU: 45511. 
OEM: 2127, 83360. 
Marca: GABRIEL.
Aplicación: AMORTIGUADOR, DELT.D-100 72-78 D-200 72-78 D-300 72-78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</si>
  <si>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2127, 83360</t>
  </si>
  <si>
    <t xml:space="preserve">Producto Original. 
SKU: 45660. 
OEM: 2134N. 
Marca: GABRIEL.
Aplicación: AMORTIGUADOR, DELT.CORONET 73-79 CHARGER 73-79 MONACO 77-79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</si>
  <si>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https://http2.mlstatic.com/D_912509-MLV111209808991_052026-O.jpg</t>
  </si>
  <si>
    <t>45663</t>
  </si>
  <si>
    <t xml:space="preserve">Producto Original. 
SKU: 45663. 
OEM: 3084N, 33084, 34824. 
Marca: GABRIEL.
Aplicación: AMORTIGUADOR, TRAS.C-10 73-86 C-20 73-86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</si>
  <si>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3084N, 33084, 34824</t>
  </si>
  <si>
    <t>https://http2.mlstatic.com/D_840006-MLV111209839319_052026-O.jpg</t>
  </si>
  <si>
    <t>45676</t>
  </si>
  <si>
    <t xml:space="preserve">Producto Original. 
SKU: 45676. 
OEM: 34960, 6085N. 
Marca: GABRIEL.
Aplicación: AMORTIGUADOR, TRAS.C-30 73-89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</si>
  <si>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34960, 6085N</t>
  </si>
  <si>
    <t>AMORTIGUADOR TRASERO NOVA 68-79</t>
  </si>
  <si>
    <t xml:space="preserve">Producto Original. 
SKU: 45681. 
OEM: 3065. 
Marca: GABRIEL.
Aplicación: AMORTIGUADOR, TRAS.NOVA 68-79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</si>
  <si>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3065</t>
  </si>
  <si>
    <t>AMORTIGUADOR TRASERO F-100 70-79 F-250 70-79 E-100 70-77 E-1</t>
  </si>
  <si>
    <t>45722</t>
  </si>
  <si>
    <t xml:space="preserve">Producto Original. 
SKU: 45722. 
OEM: 2080, 83350. 
Marca: GABRIEL.
Aplicación: AMORTIGUADOR, TRAS.F-100 70-79 F-250 70-79 E-100 70-77 E-150 70-77 ECONOLINE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</si>
  <si>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2080, 83350</t>
  </si>
  <si>
    <t>AMORTIGUADOR DELANTERO LUV 97-02 4X2 1 6</t>
  </si>
  <si>
    <t>https://http2.mlstatic.com/D_738215-MLV111209899191_052026-O.jpg,https://http2.mlstatic.com/D_625490-MLV111209839585_052026-O.jpg</t>
  </si>
  <si>
    <t>46063</t>
  </si>
  <si>
    <t xml:space="preserve">Producto Original. 
SKU: 46063. 
OEM: 22123, 46063, 46068, 22178. 
Marca: GABRIEL.
Aplicación: AMORTIGUADOR, DELT.LUV 97-02 4X2 1.6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</si>
  <si>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LUV 97-02 4X2 4X4 1 6 DONGFENG 12-16 4X</t>
  </si>
  <si>
    <t>https://http2.mlstatic.com/D_662852-MLV111209899221_052026-O.jpg</t>
  </si>
  <si>
    <t>46064</t>
  </si>
  <si>
    <t xml:space="preserve">Producto Original. 
SKU: 46064. 
OEM: N/A. 
Marca: GABRIEL.
Aplicación: AMORTIGUADOR, TRAS.LUV 97-02 4X2 4X4 1.6 DONGFENG 12-16 4X2 4X4 PICK-UP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</si>
  <si>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LUV 98-99 4X4 1 6 DONGFENG 12-16 4X2</t>
  </si>
  <si>
    <t>https://http2.mlstatic.com/D_972112-MLV111211270317_052026-O.jpg</t>
  </si>
  <si>
    <t>46066</t>
  </si>
  <si>
    <t xml:space="preserve">Producto Original. 
SKU: 46066. 
OEM: N/A. 
Marca: GABRIEL.
Aplicación: AMORTIGUADOR, DELT.LUV 98-99 4X4 1.6 DONGFENG 12-16 4X2 PICK-UP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</si>
  <si>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LUV 96-04 4X2 2 3 DONGFENG 12-16 4X4</t>
  </si>
  <si>
    <t>https://http2.mlstatic.com/D_645195-MLV111211270333_052026-O.jpg</t>
  </si>
  <si>
    <t>46068</t>
  </si>
  <si>
    <t xml:space="preserve">Producto Original. 
SKU: 46068. 
OEM: 22123, 46063, 46068, 22178. 
Marca: GABRIEL.
Aplicación: AMORTIGUADOR, DELT.LUV 96-04 4X2 2.3 DONGFENG 12-16 4X4 PICK-UP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</si>
  <si>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LUV 97-02 4X4 1 6 2 3</t>
  </si>
  <si>
    <t>46069</t>
  </si>
  <si>
    <t xml:space="preserve">Producto Original. 
SKU: 46069. 
OEM: N/A. 
Marca: GABRIEL.
Aplicación: AMORTIGUADOR, DELT.LUV 97-02 4X4 1.6 2.3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</si>
  <si>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46075T</t>
  </si>
  <si>
    <t xml:space="preserve">Producto Original. 
SKU: 46075T. 
OEM: 443214. 
Marca: GABRIEL.
Aplicación: AMORTIGUADOR, DELT.TOYOTA HILUX 92-05 4X2 GREAT WALL DEER 05-09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</si>
  <si>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LUV 97-02 4X2 4X4 1 6 2 3 DONGFENG 12-1</t>
  </si>
  <si>
    <t>46076</t>
  </si>
  <si>
    <t xml:space="preserve">Producto Original. 
SKU: 46076. 
OEM: N/A. 
Marca: GABRIEL.
Aplicación: AMORTIGUADOR, TRAS.LUV 97-02 4X2 4X4 1.6 2.3 DONGFENG 12-16 4X2 4X4 PICK-UP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</si>
  <si>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https://http2.mlstatic.com/D_861935-MLV111209869487_052026-O.jpg</t>
  </si>
  <si>
    <t>46078</t>
  </si>
  <si>
    <t xml:space="preserve">Producto Original. 
SKU: 46078. 
OEM: G-23131. 
Marca: GABRIEL.
Aplicación: AMORTIGUADOR DELT.MITSUBISHI MONTERO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</si>
  <si>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G-23131</t>
  </si>
  <si>
    <t>AMORTIGUADOR DELANTERO MITSUBISHI DAKAR 94-09 HYUNDAI H-100</t>
  </si>
  <si>
    <t xml:space="preserve">Producto Original. 
SKU: 46078. 
OEM: G-23131. 
Marca: GABRIEL.
Aplicación: AMORTIGUADOR DELT.MITSUBISHI DAKAR 94-09 HYUNDAI H-100 95-99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</si>
  <si>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MONTERO</t>
  </si>
  <si>
    <t>46079</t>
  </si>
  <si>
    <t xml:space="preserve">Producto Original. 
SKU: 46079. 
OEM: G-23132, 46079. 
Marca: GABRIEL.
Aplicación: AMORTIGUADOR TRAS.MITSUBISHI MONTERO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</si>
  <si>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G-23132, 46079</t>
  </si>
  <si>
    <t>AMORTIGUADOR TRASERO MITSUBISHI DAKAR 94-09 OJO Y OJO</t>
  </si>
  <si>
    <t xml:space="preserve">Producto Original. 
SKU: 46079. 
OEM: G-23132, 46079. 
Marca: GABRIEL.
Aplicación: AMORTIGUADOR TRAS.MITSUBISHI DAKAR 94-09 OJO Y OJO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</si>
  <si>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F-100-F-250 70-79</t>
  </si>
  <si>
    <t>5047N</t>
  </si>
  <si>
    <t xml:space="preserve">Producto Original. 
SKU: 5047N. 
OEM: 83350. 
Marca: GABRIEL.
Aplicación: AMORTIGUADOR, TRAS.F-100-F-250 70-79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</si>
  <si>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83350</t>
  </si>
  <si>
    <t>5049N</t>
  </si>
  <si>
    <t xml:space="preserve">Producto Original. 
SKU: 5049N. 
OEM: G-23110, 32228, 34927, GR75927. 
Marca: MONROE NACIONAL.
Aplicación: AMORTIGUADOR, TRAS.F-150 80-84 4X2 BRONCO 80-96 F-100 80-83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</si>
  <si>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G-23110, 32228, 34927, GR75927</t>
  </si>
  <si>
    <t>5097N</t>
  </si>
  <si>
    <t xml:space="preserve">Producto Original. 
SKU: 5097N. 
OEM: N/A. 
Marca: MONROE NACIONAL.
Aplicación: AMORTIGUADOR, DELT.F-150 80-96 BRONCO 80-96 (INTERNO) 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</si>
  <si>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5191275AE</t>
  </si>
  <si>
    <t xml:space="preserve">Producto Original. 
SKU: 5191275AE. 
OEM: 71377ST, G-551006, GR55377, 930084. 
Marca: MOPAR.
Aplicación: AMORTIGUADOR DELT.GRAND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</si>
  <si>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71377ST, G-551006, GR55377, 930084</t>
  </si>
  <si>
    <t xml:space="preserve">Producto Original. 
SKU: 5191275AE. 
OEM: 71377ST, G-551006, GR55377, 930084. 
Marca: MOPAR.
Aplicación: AMORTIGUADOR DELT.GRAND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</si>
  <si>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52088578</t>
  </si>
  <si>
    <t xml:space="preserve">Producto Original. 
SKU: 52088578. 
OEM: 37081ST, 32252. 
Marca: MOPAR.
Aplicación: AMORTIGUADOR DELT.GRAND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</si>
  <si>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37081ST, 32252</t>
  </si>
  <si>
    <t xml:space="preserve">Producto Original. 
SKU: 52088578. 
OEM: 37081ST, 32252. 
Marca: MOPAR.
Aplicación: AMORTIGUADOR DELT.GRAND CHEROKEE 91-01 XJ COMANCHE 91-92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</si>
  <si>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https://http2.mlstatic.com/D_787650-MLV111185636517_052026-O.jpg</t>
  </si>
  <si>
    <t>52125094AE</t>
  </si>
  <si>
    <t xml:space="preserve">Producto Original. 
SKU: 52125094AE. 
OEM: 37203ST, GR75203, 930011. 
Marca: MOPAR.
Aplicación: AMORTIGUADOR, TRAS.LIBERTY 02-14 KJ KK NITRO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</si>
  <si>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37203ST, GR75203, 930011</t>
  </si>
  <si>
    <t>530-158</t>
  </si>
  <si>
    <t xml:space="preserve">Producto Original. 
SKU: 530-158. 
OEM: 88945326, 32194, G-22156, G-23114E, GR25194. 
Marca: ACDELCO.
Aplicación: AMORTIGUADOR, DELT.BLAZER 91-94 4X4 BLAZER 95-05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</si>
  <si>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88945326, 32194, G-22156, G-23114E, GR25194</t>
  </si>
  <si>
    <t>https://http2.mlstatic.com/D_988977-MLV111185638609_052026-O.jpg</t>
  </si>
  <si>
    <t>530-189</t>
  </si>
  <si>
    <t xml:space="preserve">Producto Original. 
SKU: 530-189. 
OEM: 34985, 32225, 23100E, 53100, 88945357. 
Marca: ACDELCO.
Aplicación: AMORTIGUADOR, TRAS.C-1500 88-99 C-3500 88-00 K-1500 91-99 K-3500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</si>
  <si>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34985, 32225, 23100E, 53100, 88945357</t>
  </si>
  <si>
    <t>https://http2.mlstatic.com/D_666245-MLV111184867029_052026-O.jpg</t>
  </si>
  <si>
    <t>53063</t>
  </si>
  <si>
    <t xml:space="preserve">Producto Original. 
SKU: 53063. 
OEM: 23063. 
Marca: GABRIEL.
Aplicación: AMORTIGUADOR, DELT.F-150 80-94 F-350 80-94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</si>
  <si>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GRAND WAGONEER 82-87</t>
  </si>
  <si>
    <t>53082</t>
  </si>
  <si>
    <t xml:space="preserve">Producto Original. 
SKU: 53082. 
OEM: 23082. 
Marca: GABRIEL.
Aplicación: AMORTIGUADOR, TRAS.GRAND WAGONEER 82-87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</si>
  <si>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23082</t>
  </si>
  <si>
    <t>53092</t>
  </si>
  <si>
    <t xml:space="preserve">Producto Original. 
SKU: 53092. 
OEM: 31196, 37026ST, 23092. 
Marca: GABRIEL.
Aplicación: AMORTIGUADOR DELT.CHEROKEE 84-90 XJ COMANCHE 86-90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</si>
  <si>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31196, 37026ST, 23092</t>
  </si>
  <si>
    <t xml:space="preserve">Producto Original. 
SKU: 53092. 
OEM: 31196, 37026ST, 23092. 
Marca: GABRIEL.
Aplicación: AMORTIGUADOR DELT.CHEROKEE 84-90 XJ COMANCHE 86-90 WRANGLER 97-06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</si>
  <si>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53093</t>
  </si>
  <si>
    <t xml:space="preserve">Producto Original. 
SKU: 53093. 
OEM: 32197, 37027ST. 
Marca: GABRIEL.
Aplicación: AMORTIGUADOR, TRAS.CHEROKEE 84-01 XJ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</si>
  <si>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53094</t>
  </si>
  <si>
    <t xml:space="preserve">Producto Original. 
SKU: 53094. 
OEM: 31094, 37029ST. 
Marca: GABRIEL.
Aplicación: AMORTIGUADOR, TRAS.COMANCHE 87-91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</si>
  <si>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53100</t>
  </si>
  <si>
    <t xml:space="preserve">Producto Original. 
SKU: 53100. 
OEM: 32225, 34985, 23100E, 835092, 37044ST, G-23100E, G-23104E. 
Marca: GABRIEL.
Aplicación: AMORTIGUADOR, TRAS.C-1500 88-99 C-3500 88-00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</si>
  <si>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53101</t>
  </si>
  <si>
    <t xml:space="preserve">Producto Original. 
SKU: 53101. 
OEM: 23101. 
Marca: GABRIEL.
Aplicación: AMORTIGUADOR, DELT.GRAND BLAZER 93-99 4X4 K-1500 92-99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</si>
  <si>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23101</t>
  </si>
  <si>
    <t>https://http2.mlstatic.com/D_723450-MLV111184368991_052026-O.jpg</t>
  </si>
  <si>
    <t>53106</t>
  </si>
  <si>
    <t xml:space="preserve">Producto Original. 
SKU: 53106. 
OEM: 23106-E. 
Marca: GABRIEL.
Aplicación: AMORTIGUADOR TRAS.GRAND BLAZER 93-99 4X2 4 PUERTAS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</si>
  <si>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53106. 
OEM: 23106-E. 
Marca: GABRIEL.
Aplicación: AMORTIGUADOR TRAS.GRAND EXPRESS 1500 96-14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</si>
  <si>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53108</t>
  </si>
  <si>
    <t xml:space="preserve">Producto Original. 
SKU: 53108. 
OEM: 23108. 
Marca: GABRIEL.
Aplicación: AMORTIGUADOR, DELT.F-150 80-96 BRONCO 80-96 (FRONT FORWARD)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</si>
  <si>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23108</t>
  </si>
  <si>
    <t>AMORTIGUADOR DELANTERO F-150 80-96 BRONCO 80-96 FRONT REARWA</t>
  </si>
  <si>
    <t>53109</t>
  </si>
  <si>
    <t xml:space="preserve">Producto Original. 
SKU: 53109. 
OEM: 23109. 
Marca: GABRIEL.
Aplicación: AMORTIGUADOR, DELT.F-150 80-96 BRONCO 80-96 (FRONT REARWARD)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</si>
  <si>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23109</t>
  </si>
  <si>
    <t>53111</t>
  </si>
  <si>
    <t xml:space="preserve">Producto Original. 
SKU: 53111. 
OEM: 23111. 
Marca: GABRIEL.
Aplicación: AMORTIGUADOR DELT.EXPLORER 95-01 4X4 EXPLORER SPORT 01-03 4X4 SPORT TRAC 01-05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</si>
  <si>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23111</t>
  </si>
  <si>
    <t xml:space="preserve">Producto Original. 
SKU: 53111. 
OEM: 23111. 
Marca: GABRIEL.
Aplicación: AMORTIGUADOR DELT.EXPLORER 95-01 4X4 RANGER 98-11 BARRA TORSION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</si>
  <si>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https://http2.mlstatic.com/D_847521-MLV111184867107_052026-O.jpg</t>
  </si>
  <si>
    <t>53112</t>
  </si>
  <si>
    <t xml:space="preserve">Producto Original. 
SKU: 53112. 
OEM: 23112, 32253, 37035ST, G-23112, GR75035. 
Marca: GABRIEL.
Aplicación: AMORTIGUADOR, TRAS.EXPLORER 91-03 EXPLORER SPORT 01-03 SPORT TRAC 01-05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</si>
  <si>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23112, 32253, 37035ST, G-23112, GR75035</t>
  </si>
  <si>
    <t>53114</t>
  </si>
  <si>
    <t xml:space="preserve">Producto Original. 
SKU: 53114. 
OEM: 32194, G-22156, G-23114E, GR25194. 
Marca: GABRIEL.
Aplicación: AMORTIGUADOR, DELT.BLAZER 91-94 4X4 BLAZER 95-05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</si>
  <si>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GRAND CHEROKEE 95-98 ZJ</t>
  </si>
  <si>
    <t>https://http2.mlstatic.com/D_725415-MLV111184249101_052026-O.jpg</t>
  </si>
  <si>
    <t>53120</t>
  </si>
  <si>
    <t xml:space="preserve">Producto Original. 
SKU: 53120. 
OEM: 32269, 37082ST. 
Marca: GABRIEL.
Aplicación: AMORTIGUADOR, TRAS.GRAND CHEROKEE 95-98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</si>
  <si>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32269, 37082ST</t>
  </si>
  <si>
    <t>53126</t>
  </si>
  <si>
    <t xml:space="preserve">Producto Original. 
SKU: 53126. 
OEM: 32252, 37081ST. 
Marca: GABRIEL.
Aplicación: AMORTIGUADOR DELT.GRAND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</si>
  <si>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53126. 
OEM: 32252, 37081ST. 
Marca: GABRIEL.
Aplicación: AMORTIGUADOR DELT.GRAND CHEROKEE 91-01 XJ COMANCHE 91-92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</si>
  <si>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53129</t>
  </si>
  <si>
    <t xml:space="preserve">Producto Original. 
SKU: 53129. 
OEM: 23129. 
Marca: GABRIEL.
Aplicación: AMORTIGUADOR, DELT.GRAND BLAZER 93-99 4X2 (4 PUERTAS) 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</si>
  <si>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23129</t>
  </si>
  <si>
    <t>53133</t>
  </si>
  <si>
    <t xml:space="preserve">Producto Original. 
SKU: 53133. 
OEM: 32252, 37081ST. 
Marca: GABRIEL.
Aplicación: AMORTIGUADOR DELT.GRAND CHEROKEE 93-98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</si>
  <si>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53133. 
OEM: 32252, 37081ST. 
Marca: GABRIEL.
Aplicación: AMORTIGUADOR DELT.GRAND CHEROKEE 91-01 XJ COMANCHE 91-92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</si>
  <si>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53134</t>
  </si>
  <si>
    <t xml:space="preserve">Producto Original. 
SKU: 53134. 
OEM: 32269, 37082ST. 
Marca: GABRIEL.
Aplicación: AMORTIGUADOR, TRAS.GRAND CHEROKEE 95-98 ZJ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</si>
  <si>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CHEROKEE 84-01 XJ WAGONEER 84-90 OJO Y</t>
  </si>
  <si>
    <t>https://http2.mlstatic.com/D_763558-MLV111185610547_052026-O.jpg,https://http2.mlstatic.com/D_710919-MLV111185640691_052026-O.jpg</t>
  </si>
  <si>
    <t>53136</t>
  </si>
  <si>
    <t xml:space="preserve">Producto Original. 
SKU: 53136. 
OEM: 32197, 37027ST. 
Marca: GABRIEL.
Aplicación: AMORTIGUADOR, TRAS.CHEROKEE 84-01 XJ WAGONEER 84-90 (OJO Y CORBATA)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</si>
  <si>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F-150 98-07 4X2</t>
  </si>
  <si>
    <t>53139</t>
  </si>
  <si>
    <t xml:space="preserve">Producto Original. 
SKU: 53139. 
OEM: 23139. 
Marca: GABRIEL.
Aplicación: AMORTIGUADOR, DELT.F-150 98-07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</si>
  <si>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23139</t>
  </si>
  <si>
    <t>AMORTIGUADOR TRASERO F-150 98-07 4X2</t>
  </si>
  <si>
    <t>53140</t>
  </si>
  <si>
    <t xml:space="preserve">Producto Original. 
SKU: 53140. 
OEM: 23140. 
Marca: GABRIEL.
Aplicación: AMORTIGUADOR, TRAS.F-150 98-07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</si>
  <si>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23140</t>
  </si>
  <si>
    <t>AMORTIGUADOR TRASERO F-150 98-99 4X4</t>
  </si>
  <si>
    <t>53142</t>
  </si>
  <si>
    <t xml:space="preserve">Producto Original. 
SKU: 53142. 
OEM: 23142. 
Marca: GABRIEL.
Aplicación: AMORTIGUADOR, TRAS.F-150 98-99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</si>
  <si>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23142</t>
  </si>
  <si>
    <t>AMORTIGUADOR TRASERO RANGER 99-04 DOBLE CABINA</t>
  </si>
  <si>
    <t>53145</t>
  </si>
  <si>
    <t xml:space="preserve">Producto Original. 
SKU: 53145. 
OEM: 23145. 
Marca: GABRIEL.
Aplicación: AMORTIGUADOR, TRAS.RANGER 99-04 DOBLE CABINA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</si>
  <si>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23145</t>
  </si>
  <si>
    <t>AMORTIGUADOR DELANTERO F-350 99-10 4X2 OJO Y PULLA</t>
  </si>
  <si>
    <t>53149</t>
  </si>
  <si>
    <t xml:space="preserve">Producto Original. 
SKU: 53149. 
OEM: 23149. 
Marca: GABRIEL.
Aplicación: AMORTIGUADOR, DELT.F-350 99-10 4X2 (OJO Y PULLA)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</si>
  <si>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23149</t>
  </si>
  <si>
    <t>53150</t>
  </si>
  <si>
    <t xml:space="preserve">Producto Original. 
SKU: 53150. 
OEM: 34686, G-23150, GR75686. 
Marca: GABRIEL.
Aplicación: AMORTIGUADOR, DELT.F-350 99-10 4X4 TRAS.F-350 99-10 4X2 (OJO Y OJO) (CORTO 62CM)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</si>
  <si>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34686, G-23150, GR75686</t>
  </si>
  <si>
    <t>AMORTIGUADOR TRASERO F-350 99-10 4X2 OJO Y OJO LARGO 82 5CM</t>
  </si>
  <si>
    <t>53152</t>
  </si>
  <si>
    <t xml:space="preserve">Producto Original. 
SKU: 53152. 
OEM: 23152. 
Marca: GABRIEL.
Aplicación: AMORTIGUADOR, TRAS.F-350 99-10 4X2 (OJO Y OJO) (LARGO 82.5CM)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</si>
  <si>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23152</t>
  </si>
  <si>
    <t>https://http2.mlstatic.com/D_601954-MLV111185640699_052026-O.jpg</t>
  </si>
  <si>
    <t>53153</t>
  </si>
  <si>
    <t xml:space="preserve">Producto Original. 
SKU: 53153. 
OEM: 23153. 
Marca: GABRIEL.
Aplicación: AMORTIGUADOR, TRAS.SILVERADO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</si>
  <si>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23153</t>
  </si>
  <si>
    <t>AMORTIGUADOR DELANTERO SILVERADO 1500 99-06 4X2 GRAND BLAZER</t>
  </si>
  <si>
    <t>https://http2.mlstatic.com/D_776917-MLV110258552808_052026-O.jpg</t>
  </si>
  <si>
    <t>53154</t>
  </si>
  <si>
    <t xml:space="preserve">Producto Original. 
SKU: 53154. 
OEM: 53154, 32326, 34675, 37149ST, GR75675, G-23154. 
Marca: GABRIEL.
Aplicación: AMORTIGUADOR, DELT.SILVERADO 1500 99-06 4X2 GRAND BLAZER-1999-2007-TAHOE 2000-2006-AVALANCHE C1500 2002-2006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</si>
  <si>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53154, 32326, 34675, 37149ST, GR75675, G-23154</t>
  </si>
  <si>
    <t>53157</t>
  </si>
  <si>
    <t xml:space="preserve">Producto Original. 
SKU: 53157. 
OEM: 32339, 34769, 37162ST, GR75162. 
Marca: GABRIEL.
Aplicación: AMORTIGUADOR, TRAS.GRAND CHEROKEE 99-05 WJ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</si>
  <si>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53158</t>
  </si>
  <si>
    <t xml:space="preserve">Producto Original. 
SKU: 53158. 
OEM: 32338, 34766, 37161ST. 
Marca: GABRIEL.
Aplicación: AMORTIGUADOR, DELT.GRAND CHEROKEE 99-05 WJ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</si>
  <si>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32338, 34766, 37161ST</t>
  </si>
  <si>
    <t>https://http2.mlstatic.com/D_677735-MLV111184837289_052026-O.jpg</t>
  </si>
  <si>
    <t>53171</t>
  </si>
  <si>
    <t xml:space="preserve">Producto Original. 
SKU: 53171. 
OEM: 32186, G-22155, G-22157, G-22173E, G-22157. 
Marca: GABRIEL.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</si>
  <si>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32186, G-22155, G-22157, G-22173E, G-22157</t>
  </si>
  <si>
    <t>AMORTIGUADOR DELANTERO F-100 65-79 F-250 65-79 F-350 65-79</t>
  </si>
  <si>
    <t>53341</t>
  </si>
  <si>
    <t xml:space="preserve">Producto Original. 
SKU: 53341. 
OEM: 83341. 
Marca: GABRIEL.
Aplicación: AMORTIGUADOR, DELT.F-100 65-79 F-250 65-79 F-350 65-79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</si>
  <si>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83341</t>
  </si>
  <si>
    <t>AMORTIGUADOR TRASERO C-10 60-89 C-20 60-89 C-30 60-89</t>
  </si>
  <si>
    <t>53348</t>
  </si>
  <si>
    <t xml:space="preserve">Producto Original. 
SKU: 53348. 
OEM: 45663, 3084N, 33084, 34824. 
Marca: GABRIEL.
Aplicación: AMORTIGUADOR, TRAS.C-10 60-89 C-20 60-89 C-30 60-89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</si>
  <si>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45663, 3084N, 33084, 34824</t>
  </si>
  <si>
    <t>AMORTIGUADOR TRASERO F-100 70-79 F-250 70-79</t>
  </si>
  <si>
    <t>53350</t>
  </si>
  <si>
    <t xml:space="preserve">Producto Original. 
SKU: 53350. 
OEM: N/A. 
Marca: GABRIEL.
Aplicación: AMORTIGUADOR, TRAS.F-100 70-79 F-250 70-79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</si>
  <si>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https://http2.mlstatic.com/D_736026-MLV111184308997_052026-O.jpg</t>
  </si>
  <si>
    <t>53355</t>
  </si>
  <si>
    <t xml:space="preserve">Producto Original. 
SKU: 53355. 
OEM: 45236, 33033, 34817. GR75817. 
Marca: GABRIEL.
Aplicación: AMORTIGUADOR, DELT.C-10 63-86 C-20 63-86 C-30 63-89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</si>
  <si>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53366</t>
  </si>
  <si>
    <t xml:space="preserve">Producto Original. 
SKU: 53366. 
OEM: 45676, 34960, 6085N. 
Marca: GABRIEL.
Aplicación: AMORTIGUADOR, TRAS.C-30 73-89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</si>
  <si>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45676, 34960, 6085N</t>
  </si>
  <si>
    <t>AMORTIGUADOR</t>
  </si>
  <si>
    <t>540-143</t>
  </si>
  <si>
    <t xml:space="preserve">Producto Original. 
SKU: 540-143. 
OEM: 15206892, G-21148E. 
Marca: ACDELCO.
Aplicación: AMORTIGUADOR,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</si>
  <si>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15206892, G-21148E</t>
  </si>
  <si>
    <t>AMORTIGUADOR DELANTERO DERECHO HYUNDAI ACCENT</t>
  </si>
  <si>
    <t>https://http2.mlstatic.com/D_613215-MLV111184280231_052026-O.jpg</t>
  </si>
  <si>
    <t>54651-22102</t>
  </si>
  <si>
    <t xml:space="preserve">Producto Original. 
SKU: 54651-22102. 
OEM: G-55939H. 
Marca: KYB.
Aplicación: AMORTIGUADOR, DELT.DER.HYUNDAI ACCENT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</si>
  <si>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G-55939H</t>
  </si>
  <si>
    <t>54661-22102</t>
  </si>
  <si>
    <t xml:space="preserve">Producto Original. 
SKU: 54661-22102. 
OEM: G-55939H. 
Marca: JAPON.
Aplicación: AMORTIGUADOR, DELT.DER.HYUNDAI ACCENT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</si>
  <si>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JAPON</t>
  </si>
  <si>
    <t>AMORTIGUADOR TRASERO HONDA CIVIC 06-11</t>
  </si>
  <si>
    <t>5504ST</t>
  </si>
  <si>
    <t xml:space="preserve">Producto Original. 
SKU: 5504ST. 
OEM: N/A. 
Marca: MONROE.
Aplicación: AMORTIGUADOR, TRAS.HONDA CIVIC 06-11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</si>
  <si>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10-20</t>
  </si>
  <si>
    <t>5510017</t>
  </si>
  <si>
    <t xml:space="preserve">Producto Original. 
SKU: 5510017. 
OEM: N/A. 
Marca: KYB.
Aplicación: AMORTIGUADOR, DELT.TOYOTA 4RUNNER 10-20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</si>
  <si>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PRADO</t>
  </si>
  <si>
    <t>551083</t>
  </si>
  <si>
    <t xml:space="preserve">Producto Original. 
SKU: 551083. 
OEM: N/A. 
Marca: KYB.
Aplicación: AMORTIGUADOR DELT.TOYOTA PRADO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</si>
  <si>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MERU 4RUNNER 95-02 GAS A JUST</t>
  </si>
  <si>
    <t xml:space="preserve">Producto Original. 
SKU: 551083. 
OEM: N/A. 
Marca: KYB.
Aplicación: AMORTIGUADOR DELT.TOYOTA MERU 4RUNNER 95-02 GAS A JUST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</si>
  <si>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FZJ79 MACHITO 4 0</t>
  </si>
  <si>
    <t>554123</t>
  </si>
  <si>
    <t xml:space="preserve">Producto Original. 
SKU: 554123. 
OEM: N/A. 
Marca: KYB.
Aplicación: AMORTIGUADOR, DELT.TOYOTA FZJ79 MACHITO 4.0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</si>
  <si>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CAMRY 18-24 AVALON 19-22</t>
  </si>
  <si>
    <t>5555ST</t>
  </si>
  <si>
    <t xml:space="preserve">Producto Original. 
SKU: 5555ST. 
OEM: N/A. 
Marca: MONROE.
Aplicación: AMORTIGUADOR TRAS.TOYOTA CAMRY 18-24 AVALON 19-22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</si>
  <si>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19-24 PRIUS 19-24</t>
  </si>
  <si>
    <t xml:space="preserve">Producto Original. 
SKU: 5555ST. 
OEM: N/A. 
Marca: MONROE.
Aplicación: AMORTIGUADOR TRAS.TOYOTA COROLLA 19-24 PRIUS 19-24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</si>
  <si>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ACCORD 18-23</t>
  </si>
  <si>
    <t>5559ST</t>
  </si>
  <si>
    <t xml:space="preserve">Producto Original. 
SKU: 5559ST. 
OEM: N/A. 
Marca: MONROE.
Aplicación: AMORTIGUADOR, TRAS.HONDA ACCORD 18-23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</si>
  <si>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MF MX GALAN 4 CILINDRO 198</t>
  </si>
  <si>
    <t>55609</t>
  </si>
  <si>
    <t xml:space="preserve">Producto Original. 
SKU: 55609. 
OEM: N/A. 
Marca: GABRIEL.
Aplicación: AMORTIGUADOR, DELT.MITSUBISHI MF MX GALAN 4 CIL 1987-1995 SPACE WAGON 1991-1997 (ACEITE)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</si>
  <si>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5609ST</t>
  </si>
  <si>
    <t xml:space="preserve">Producto Original. 
SKU: 5609ST. 
OEM: 33185, 343479, GR35479. 
Marca: VARIOS.
Aplicación: AMORTIGUADOR, TRAS.HONDA CIVIC 06-11 EMOTION (SEDAN BUJE)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</si>
  <si>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33185, 343479, GR35479</t>
  </si>
  <si>
    <t>AMORTIGUADOR TRASERO HYUNDAI ACCENT 06-11 KIA</t>
  </si>
  <si>
    <t>5621ST</t>
  </si>
  <si>
    <t xml:space="preserve">Producto Original. 
SKU: 5621ST. 
OEM: N/A. 
Marca: MONROE.
Aplicación: AMORTIGUADOR TRAS.HYUNDAI ACCENT 06-11 KIA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</si>
  <si>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HYUNDAI RIO 06-11</t>
  </si>
  <si>
    <t xml:space="preserve">Producto Original. 
SKU: 5621ST. 
OEM: N/A. 
Marca: MONROE.
Aplicación: AMORTIGUADOR TRAS.HYUNDAI RIO 06-11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</si>
  <si>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5624ST</t>
  </si>
  <si>
    <t xml:space="preserve">Producto Original. 
SKU: 5624ST. 
OEM: N/A. 
Marca: MONROE.
Aplicación: AMORTIGUADOR, TRAS. TOYOTA YARIS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</si>
  <si>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PRADO</t>
  </si>
  <si>
    <t>5640000</t>
  </si>
  <si>
    <t xml:space="preserve">Producto Original. 
SKU: 5640000. 
OEM: N/A. 
Marca: KYB.
Aplicación: AMORTIGUADOR DELT.TOYOTA 4RUNNER PRADO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</si>
  <si>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MERU MONOMAX REFORZADO</t>
  </si>
  <si>
    <t xml:space="preserve">Producto Original. 
SKU: 5640000. 
OEM: N/A. 
Marca: KYB.
Aplicación: AMORTIGUADOR DELT.TOYOTA 4RUNNER MERU MONOMAX REFORZADO MONOTUBO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</si>
  <si>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FOCUS 12-17</t>
  </si>
  <si>
    <t>5645ST</t>
  </si>
  <si>
    <t xml:space="preserve">Producto Original. 
SKU: 5645ST. 
OEM: N/A. 
Marca: VARIOS.
Aplicación: AMORTIGUADOR, TRAS.FOCUS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</si>
  <si>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TUNDRA 07+ MONOMAX REFORZADO</t>
  </si>
  <si>
    <t>565133</t>
  </si>
  <si>
    <t xml:space="preserve">Producto Original. 
SKU: 565133. 
OEM: N/A. 
Marca: KYB.
Aplicación: AMORTIGUADOR, TRAS.TOYOTA TUNDRA 07+ (MONOMAX ) REFORZADO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</si>
  <si>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CRUZE 11-16</t>
  </si>
  <si>
    <t>5663ST</t>
  </si>
  <si>
    <t xml:space="preserve">Producto Original. 
SKU: 5663ST. 
OEM: N/A. 
Marca: VARIOS.
Aplicación: AMORTIGUADOR, TRAS.CRUZE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</si>
  <si>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FORD MUSTANG 05-14</t>
  </si>
  <si>
    <t>5783ST</t>
  </si>
  <si>
    <t xml:space="preserve">Producto Original. 
SKU: 5783ST. 
OEM: GR25783. 
Marca: MONROE.
Aplicación: AMORTIGUADOR, TRAS.FORD MUSTANG 05-14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</si>
  <si>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GR25783</t>
  </si>
  <si>
    <t>5784ST</t>
  </si>
  <si>
    <t xml:space="preserve">Producto Original. 
SKU: 5784ST. 
OEM: N/A. 
Marca: VARIOS.
Aplicación: AMORTIGUADOR, TRAS.FUSION 06-12 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</si>
  <si>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MERIVA 03-08 MONTANA 06-09</t>
  </si>
  <si>
    <t>https://http2.mlstatic.com/D_866706-MLV111184254327_052026-O.jpg,https://http2.mlstatic.com/D_919726-MLV110259975900_052026-O.jpg,https://http2.mlstatic.com/D_904369-MLV111184872243_052026-O.jpg</t>
  </si>
  <si>
    <t>5785ST</t>
  </si>
  <si>
    <t xml:space="preserve">Producto Original. 
SKU: 5785ST. 
OEM: G-23189T, GR25337, 832511. 
Marca: MONROE.
Aplicación: AMORTIGUADOR TRAS.MERIVA 03-08 MONTANA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</si>
  <si>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G-23189T, GR25337, 832511</t>
  </si>
  <si>
    <t>AMORTIGUADOR TRASERO MERIVA 03-08 CORSA 10-11 1 8</t>
  </si>
  <si>
    <t xml:space="preserve">Producto Original. 
SKU: 5785ST. 
OEM: G-23189T, GR25337, 832511. 
Marca: MONROE.
Aplicación: AMORTIGUADOR TRAS.MERIVA 03-08 CORSA 10-11 1.8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</si>
  <si>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5794ST</t>
  </si>
  <si>
    <t xml:space="preserve">Producto Original. 
SKU: 5794ST. 
OEM: 96408735, 802502, 5794ST, 2716N, 343423, G-21153E, GR25716. 
Marca: MONROE.
Aplicación: AMORTIGUADOR, TRAS.AVEO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</si>
  <si>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58010</t>
  </si>
  <si>
    <t xml:space="preserve">Producto Original. 
SKU: 58010. 
OEM: N/A. 
Marca: GABRIEL.
Aplicación: AMORTIGUADOR, TRAS.TOYOTA HILUX 92-05 4X2 GREAT WALL DEER 05-09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</si>
  <si>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58010T</t>
  </si>
  <si>
    <t xml:space="preserve">Producto Original. 
SKU: 58010T. 
OEM: N/A. 
Marca: GABRIEL.
Aplicación: AMORTIGUADOR, TRAS.TOYOTA HILUX 92-05 4X2 GREAT WALL DEER 05-09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</si>
  <si>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LEBARON 89-94 SPIRIT 90-95</t>
  </si>
  <si>
    <t>5959ST</t>
  </si>
  <si>
    <t xml:space="preserve">Producto Original. 
SKU: 5959ST. 
OEM: 69632, 33095. 
Marca: MONROE.
Aplicación: AMORTIGUADOR, TRAS.LEBARON 89-94 SPIRIT 90-95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</si>
  <si>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69632, 33095</t>
  </si>
  <si>
    <t>AMORTIGUADOR TRASERO FOCUS 00-11</t>
  </si>
  <si>
    <t>5985N</t>
  </si>
  <si>
    <t xml:space="preserve">Producto Original. 
SKU: 5985N. 
OEM: 5796ST, G-69464T, GR25796, 832154. 
Marca: MONROE NACIONAL.
Aplicación: AMORTIGUADOR, TRAS.FOCUS 00-11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</si>
  <si>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5796ST, G-69464T, GR25796, 832154</t>
  </si>
  <si>
    <t>63078</t>
  </si>
  <si>
    <t xml:space="preserve">Producto Original. 
SKU: 63078. 
OEM: GR25017. 
Marca: KYB.
Aplicación: AMORTIGUADOR, TRAS.TOYOTA FORTUNER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</si>
  <si>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HYUNDAI ACCENT 97-00</t>
  </si>
  <si>
    <t>632112</t>
  </si>
  <si>
    <t xml:space="preserve">Producto Original. 
SKU: 632112. 
OEM: 15060. 
Marca: KYB.
Aplicación: AMORTIGUADOR, TRAS.DER.HYUNDAI ACCENT 97-00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</si>
  <si>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15060</t>
  </si>
  <si>
    <t>AMORTIGUADOR TRASERO IZQUIERDO HYUNDAI ACCENT 97-00</t>
  </si>
  <si>
    <t>632113</t>
  </si>
  <si>
    <t xml:space="preserve">Producto Original. 
SKU: 632113. 
OEM: 15061. 
Marca: KYB.
Aplicación: AMORTIGUADOR, TRAS.IZQ.HYUNDAI ACCENT 97-00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</si>
  <si>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15061</t>
  </si>
  <si>
    <t>AMORTIGUADOR DELANTERO HYUNDAI EXCEL 97-99 SCOUPE 91-99 ACEI</t>
  </si>
  <si>
    <t>https://http2.mlstatic.com/D_938343-MLV111186687445_052026-O.jpg</t>
  </si>
  <si>
    <t>633150</t>
  </si>
  <si>
    <t xml:space="preserve">Producto Original. 
SKU: 633150. 
OEM: 55923, GR55902, 801902. 
Marca: KYB.
Aplicación: AMORTIGUADOR, DELT.HYUNDAI EXCEL 97-99 SCOUPE 91-99 (ACEITE)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</si>
  <si>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55923, GR55902, 801902</t>
  </si>
  <si>
    <t>633151</t>
  </si>
  <si>
    <t xml:space="preserve">Producto Original. 
SKU: 633151. 
OEM: G-55924, GR55069, 713069-CN, MP-8148. 
Marca: KYB.
Aplicación: AMORTIGUADOR, DELT.CORSA 96-06 CHEVY C2 07-09 CONFORT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</si>
  <si>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6512N. 
OEM: 23065E. 
Marca: MONROE NACIONAL.
Aplicación: AMORTIGUADOR, DELT.CORCEL DEL REY 81-87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</si>
  <si>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F-150 80-89 4X4 F-350 4X4 80-97 F-450 0</t>
  </si>
  <si>
    <t>https://http2.mlstatic.com/D_622173-MLV111185650869_052026-O.jpg</t>
  </si>
  <si>
    <t>65168</t>
  </si>
  <si>
    <t xml:space="preserve">Producto Original. 
SKU: 65168. 
OEM: N/A. 
Marca: MONROE.
Aplicación: AMORTIGUADOR, TRAS.F-150 80-89 4X4 F-350 4X4 80-97 F-450 07-15 F-550 07-16 SUPER DUTY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</si>
  <si>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FOD F-450 08-16 SUPER DUTY</t>
  </si>
  <si>
    <t>65174ST</t>
  </si>
  <si>
    <t xml:space="preserve">Producto Original. 
SKU: 65174ST. 
OEM: N/A. 
Marca: MONROE.
Aplicación: AMORTIGUADOR, TRAS.FOD F-450 08-16 SUPER DUTY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</si>
  <si>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AMORTIGUADOR CABINA MACK OJO ARRIBA Y PUYA ABAJ</t>
  </si>
  <si>
    <t>66117</t>
  </si>
  <si>
    <t xml:space="preserve">Producto Original. 
SKU: 66117. 
OEM: N/A. 
Marca: VARIOS.
Aplicación: AMORTIGUADOR, AMORT. CABINA MACK OJO (ARRIBA Y PUYA (ABAJO)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</si>
  <si>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14QK391AM AMORTIGUADOR CABINA MACK MOD: CH/GRAN</t>
  </si>
  <si>
    <t>66189</t>
  </si>
  <si>
    <t xml:space="preserve">Producto Original. 
SKU: 66189. 
OEM: N/A. 
Marca: VARIOS.
Aplicación: AMORTIGUADOR, 14QK391AM AMORT. CABINA MACK MOD: CH/GRANITE, VISSION   96-&gt;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</si>
  <si>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KODIAK</t>
  </si>
  <si>
    <t>https://http2.mlstatic.com/D_877694-MLV111185651005_052026-O.jpg</t>
  </si>
  <si>
    <t>66628</t>
  </si>
  <si>
    <t xml:space="preserve">Producto Original. 
SKU: 66628. 
OEM: N/A. 
Marca: MONROE.
Aplicación: AMORTIGUADOR, DELT.KODIAK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</si>
  <si>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BLUE BIRD / ENCAVA 48 PUESTO TODOS</t>
  </si>
  <si>
    <t>66684</t>
  </si>
  <si>
    <t xml:space="preserve">Producto Original. 
SKU: 66684. 
OEM: N/A. 
Marca: VARIOS.
Aplicación: AMORTIGUADOR, DELT.BLUE BIRD / ENCAVA 48 PUESTO                     TODOS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</si>
  <si>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FORD F-600/F-750 80/94</t>
  </si>
  <si>
    <t>66861</t>
  </si>
  <si>
    <t xml:space="preserve">Producto Original. 
SKU: 66861. 
OEM: N/A. 
Marca: VARIOS.
Aplicación: AMORTIGUADOR, DELT.FORD F-600/F-750                      80/94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</si>
  <si>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MACK / ENCAVA NAC 48 PUESTOS</t>
  </si>
  <si>
    <t>66878</t>
  </si>
  <si>
    <t xml:space="preserve">Producto Original. 
SKU: 66878. 
OEM: N/A. 
Marca: VARIOS.
Aplicación: AMORTIGUADOR, DELT.MACK / ENCAVA NAC. 48 PUESTOS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</si>
  <si>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C-60 79-91</t>
  </si>
  <si>
    <t>66913</t>
  </si>
  <si>
    <t xml:space="preserve">Producto Original. 
SKU: 66913. 
OEM: N/A. 
Marca: VARIOS.
Aplicación: AMORTIGUADOR, DELT.C-60 79-91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</si>
  <si>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GRAND CHEROKEE 11-16 WK2 4G DURANGO 1</t>
  </si>
  <si>
    <t>https://http2.mlstatic.com/D_671364-MLV111185651753_052026-O.jpg</t>
  </si>
  <si>
    <t>68029502AD</t>
  </si>
  <si>
    <t xml:space="preserve">Producto Original. 
SKU: 68029502AD. 
OEM: GR55270, 68029502AD, 72546ST, G-551068. 
Marca: MOPAR.
Aplicación: AMORTIGUADOR, DELT.GRAND CHEROKEE 11-16 WK2 4G DURANGO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</si>
  <si>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https://http2.mlstatic.com/D_861349-MLV111185651901_052026-O.jpg</t>
  </si>
  <si>
    <t>68029552AE</t>
  </si>
  <si>
    <t xml:space="preserve">Producto Original. 
SKU: 68029552AE. 
OEM: 911304, GR55271, G-511000,  68069671AC. 
Marca: MOPAR.
Aplicación: AMORTIGUADOR, TRAS.GRAND CHEROKEE 11-19 4G DURANGO 11-19 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</si>
  <si>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911304, GR55271, G-511000,  68069671AC</t>
  </si>
  <si>
    <t>AMORTIGUADOR TRASERO DAKOTA 05-11</t>
  </si>
  <si>
    <t>68056330AA</t>
  </si>
  <si>
    <t xml:space="preserve">Producto Original. 
SKU: 68056330AA. 
OEM: GR75277, G-63890, 911277. 
Marca: MOPAR.
Aplicación: AMORTIGUADOR, TRAS.DAKOTA 05-11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</si>
  <si>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GR75277, G-63890, 911277</t>
  </si>
  <si>
    <t>68069671AC</t>
  </si>
  <si>
    <t xml:space="preserve">Producto Original. 
SKU: 68069671AC. 
OEM: 911304, GR55271, G-511000, 68029552AE. 
Marca: MOPAR.
Aplicación: AMORTIGUADOR, TRAS.GRAND CHEROKEE 11-19 4G DURANGO 11-19 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</si>
  <si>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911304, GR55271, G-511000, 68029552AE</t>
  </si>
  <si>
    <t>AMORTIGUADOR TRASERO RENAULT SYMBOL 01-11</t>
  </si>
  <si>
    <t>https://http2.mlstatic.com/D_935717-MLV111184911091_052026-O.jpg</t>
  </si>
  <si>
    <t>69065T</t>
  </si>
  <si>
    <t xml:space="preserve">Producto Original. 
SKU: 69065T. 
OEM: N/A. 
Marca: GABRIEL.
Aplicación: AMORTIGUADOR TRAS.RENAULT SYMBOL 01-11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</si>
  <si>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RENAULT CLIO II 04-09</t>
  </si>
  <si>
    <t xml:space="preserve">Producto Original. 
SKU: 69065T. 
OEM: N/A. 
Marca: GABRIEL.
Aplicación: AMORTIGUADOR TRAS.RENAULT CLIO II 04-09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</si>
  <si>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https://http2.mlstatic.com/D_814361-MLV111184851219_052026-O.jpg</t>
  </si>
  <si>
    <t>69068</t>
  </si>
  <si>
    <t xml:space="preserve">Producto Original. 
SKU: 69068. 
OEM: 37308ST, 41700-65J00. 
Marca: GABRIEL.
Aplicación: AMORTIGUADOR, TRAS.GRAND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</si>
  <si>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37308ST, 41700-65J00</t>
  </si>
  <si>
    <t>AMORTIGUADOR TRASERO MAZDA 3 04-09 MZ3 MAZDA 5 06-15 MZ5</t>
  </si>
  <si>
    <t>https://http2.mlstatic.com/D_883759-MLV110260103264_052026-O.jpg</t>
  </si>
  <si>
    <t>69439T</t>
  </si>
  <si>
    <t xml:space="preserve">Producto Original. 
SKU: 69439T. 
OEM: 5607, 69439, GR25992. 
Marca: GABRIEL.
Aplicación: AMORTIGUADOR, TRAS.MAZDA 3 04-09 MZ3 MAZDA 5 06-15 MZ5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</si>
  <si>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5607, 69439, GR25992</t>
  </si>
  <si>
    <t>69440</t>
  </si>
  <si>
    <t xml:space="preserve">Producto Original. 
SKU: 69440. 
OEM: 5784, G-22218T, GR25784. 
Marca: GABRIEL.
Aplicación: AMORTIGUADOR, TRAS.FUSION 06-12 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</si>
  <si>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https://http2.mlstatic.com/D_853363-MLV111185624095_052026-O.jpg</t>
  </si>
  <si>
    <t>69584</t>
  </si>
  <si>
    <t xml:space="preserve">Producto Original. 
SKU: 69584. 
OEM: N/A. 
Marca: GABRIEL.
Aplicación: AMORTIGUADOR TRAS.MERIVA 03-08 MONTANA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</si>
  <si>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MERIVA 03-08 CORSA 1 8 10-11</t>
  </si>
  <si>
    <t xml:space="preserve">Producto Original. 
SKU: 69584. 
OEM: N/A. 
Marca: GABRIEL.
Aplicación: AMORTIGUADOR TRAS.MERIVA 03-08 CORSA 1.8 10-11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</si>
  <si>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69632</t>
  </si>
  <si>
    <t xml:space="preserve">Producto Original. 
SKU: 69632. 
OEM: 5959ST, 33095. 
Marca: GABRIEL.
Aplicación: AMORTIGUADOR, TRAS.LEBARON 89-94 SPIRIT 90-95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</si>
  <si>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5959ST, 33095</t>
  </si>
  <si>
    <t>AMORTIGUADOR TRASERO CAMARO 93-02</t>
  </si>
  <si>
    <t>69676</t>
  </si>
  <si>
    <t xml:space="preserve">Producto Original. 
SKU: 69676. 
OEM: N/A. 
Marca: GABRIEL.
Aplicación: AMORTIGUADOR, TRAS.CAMARO 93-02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</si>
  <si>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HYUNDAI ATOS 06-08</t>
  </si>
  <si>
    <t>706081</t>
  </si>
  <si>
    <t xml:space="preserve">Producto Original. 
SKU: 706081. 
OEM: N/A. 
Marca: GABRIEL.
Aplicación: AMORTIGUADOR, DELT.HYUNDAI ATOS 06-08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</si>
  <si>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MERIVA 03-08 MONTANA 06-09</t>
  </si>
  <si>
    <t>https://http2.mlstatic.com/D_801264-MLV110260164866_052026-O.jpg</t>
  </si>
  <si>
    <t>71026</t>
  </si>
  <si>
    <t xml:space="preserve">Producto Original. 
SKU: 71026. 
OEM: G-56978, GR55026, MP-8334, G-551046T, 713076N. 
Marca: MONROE.
Aplicación: AMORTIGUADOR DELT.DER.MERIVA 03-08 MONTANA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</si>
  <si>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G-56978, GR55026, MP-8334, G-551046T, 713076N</t>
  </si>
  <si>
    <t>AMORTIGUADOR DELANTERO DERECHO MERIVA 03-08 CORSA 10-11 1 8</t>
  </si>
  <si>
    <t xml:space="preserve">Producto Original. 
SKU: 71026. 
OEM: G-56978, GR55026, MP-8334, G-551046T, 713076N. 
Marca: MONROE.
Aplicación: AMORTIGUADOR DELT.DER.MERIVA 03-08 CORSA 10-11 1.8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</si>
  <si>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MERIVA 03-08 MONTANA 06-09</t>
  </si>
  <si>
    <t>https://http2.mlstatic.com/D_609051-MLV111185626447_052026-O.jpg</t>
  </si>
  <si>
    <t>71027</t>
  </si>
  <si>
    <t xml:space="preserve">Producto Original. 
SKU: 71027. 
OEM: G-56979, GR55027, MP-8335, G-551046T, 713076N. 
Marca: MONROE.
Aplicación: AMORTIGUADOR DELT.IZQ.MERIVA 03-08 MONTANA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</si>
  <si>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G-56979, GR55027, MP-8335, G-551046T, 713076N</t>
  </si>
  <si>
    <t>AMORTIGUADOR DELANTERO IZQUIERDO MERIVA 03-08 CORSA 1 8 10-U</t>
  </si>
  <si>
    <t xml:space="preserve">Producto Original. 
SKU: 71027. 
OEM: G-56979, GR55027, MP-8335, G-551046T, 713076N. 
Marca: MONROE.
Aplicación: AMORTIGUADOR DELT.IZQ.MERIVA 03-08 CORSA 1.8 10-UP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</si>
  <si>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DAKOTA 05-09</t>
  </si>
  <si>
    <t>https://http2.mlstatic.com/D_911633-MLV110260135486_052026-O.jpg</t>
  </si>
  <si>
    <t>71100ST</t>
  </si>
  <si>
    <t xml:space="preserve">Producto Original. 
SKU: 71100ST. 
OEM: GR55100, G-51815. 
Marca: MONROE.
Aplicación: AMORTIGUADOR, DELT.DAKOTA 05-09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</si>
  <si>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GR55100, G-51815</t>
  </si>
  <si>
    <t>AMORTIGUADOR DELANTERO NISSAN FRONTIER 05-19</t>
  </si>
  <si>
    <t>71102ST</t>
  </si>
  <si>
    <t xml:space="preserve">Producto Original. 
SKU: 71102ST. 
OEM: N/A. 
Marca: VARIOS.
Aplicación: AMORTIGUADOR, DELT.NISSAN FRONTIER 05-19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</si>
  <si>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EXPLORER 06-11 SPORT TRAC 07-10</t>
  </si>
  <si>
    <t>https://http2.mlstatic.com/D_649690-MLV111184854133_052026-O.jpg</t>
  </si>
  <si>
    <t>71124ST</t>
  </si>
  <si>
    <t xml:space="preserve">Producto Original. 
SKU: 71124ST. 
OEM: GR55124, G-86312E, ASH-24478. 
Marca: MONROE.
Aplicación: AMORTIGUADOR, DELT.EXPLORER 06-11 SPORT TRAC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</si>
  <si>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GR55124, G-86312E, ASH-24478</t>
  </si>
  <si>
    <t>AMORTIGUADOR TRASERO EXPLORER 06-11 SPORT TRAC 07-10</t>
  </si>
  <si>
    <t>https://http2.mlstatic.com/D_816323-MLV111184913917_052026-O.jpg</t>
  </si>
  <si>
    <t>71125ST</t>
  </si>
  <si>
    <t xml:space="preserve">Producto Original. 
SKU: 71125ST. 
OEM: G-86313E, GR55125. 
Marca: MONROE.
Aplicación: AMORTIGUADOR, TRAS.EXPLORER 06-11 SPORT TRAC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</si>
  <si>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G-86313E, GR55125</t>
  </si>
  <si>
    <t>AMORTIGUADOR TRASERO SEBRING 07-10</t>
  </si>
  <si>
    <t>71126ST</t>
  </si>
  <si>
    <t xml:space="preserve">Producto Original. 
SKU: 71126ST. 
OEM: N/A. 
Marca: VARIOS.
Aplicación: AMORTIGUADOR, TRAS.SEBRING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</si>
  <si>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SEBRING 07-10</t>
  </si>
  <si>
    <t>71130ST</t>
  </si>
  <si>
    <t xml:space="preserve">Producto Original. 
SKU: 71130ST. 
OEM: N/A. 
Marca: MONROE.
Aplicación: AMORTIGUADOR, DELT.DER.SEBRING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</si>
  <si>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SEBRING 07-10</t>
  </si>
  <si>
    <t>71131ST</t>
  </si>
  <si>
    <t xml:space="preserve">Producto Original. 
SKU: 71131ST. 
OEM: N/A. 
Marca: MONROE.
Aplicación: AMORTIGUADOR, DELT.IZQ.SEBRING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</si>
  <si>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SEQUOIA 08-20</t>
  </si>
  <si>
    <t>71137ST</t>
  </si>
  <si>
    <t xml:space="preserve">Producto Original. 
SKU: 71137ST. 
OEM: N/A. 
Marca: VARIOS.
Aplicación: AMORTIGUADOR, DELT.TOYOTA SEQUOIA 08-20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</si>
  <si>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EXPEDITION 07-13 NAVIGATOR 07-13</t>
  </si>
  <si>
    <t>71138ST</t>
  </si>
  <si>
    <t xml:space="preserve">Producto Original. 
SKU: 71138ST. 
OEM: G-51860, 340071, 341671, 345691. 
Marca: MONROE.
Aplicación: AMORTIGUADOR, DELT.EXPEDITION 07-13 NAVIGATOR 07-13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</si>
  <si>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G-51860, 340071, 341671, 345691</t>
  </si>
  <si>
    <t>AMORTIGUADOR TRASERO EXPEDITION 07-17 NAVIGATOR 07-17</t>
  </si>
  <si>
    <t>71139ST</t>
  </si>
  <si>
    <t xml:space="preserve">Producto Original. 
SKU: 71139ST. 
OEM: G-51861. 
Marca: MONROE.
Aplicación: AMORTIGUADOR, TRAS.EXPEDITION 07-17 NAVIGATOR 07-17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</si>
  <si>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G-51861</t>
  </si>
  <si>
    <t>AMORTIGUADOR DELANTERO FORD F-150 09-13 RWD</t>
  </si>
  <si>
    <t>71140ST</t>
  </si>
  <si>
    <t xml:space="preserve">Producto Original. 
SKU: 71140ST. 
OEM: N/A. 
Marca: MONROE.
Aplicación: AMORTIGUADOR, DELT.FORD F-150 09-13 RWD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</si>
  <si>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FORD F-150 09-13 4WD</t>
  </si>
  <si>
    <t>71141ST</t>
  </si>
  <si>
    <t xml:space="preserve">Producto Original. 
SKU: 71141ST. 
OEM: N/A. 
Marca: MONROE.
Aplicación: AMORTIGUADOR, DELT.FORD F-150 09-13 4WD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</si>
  <si>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https://http2.mlstatic.com/D_983096-MLV110260075662_052026-O.jpg</t>
  </si>
  <si>
    <t>71266ST</t>
  </si>
  <si>
    <t xml:space="preserve">Producto Original. 
SKU: 71266ST. 
OEM: GR55266, 341094. 
Marca: MONROE.
Aplicación: AMORTIGUADOR TRAS.HONDA CIVIC 92-95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</si>
  <si>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GR55266, 341094</t>
  </si>
  <si>
    <t xml:space="preserve">Producto Original. 
SKU: 71266ST. 
OEM: GR55266, 341094. 
Marca: MONROE.
Aplicación: AMORTIGUADOR TRAS.HONDA CIVIC DEL SOL 93-97 INTEGRA 94-01 HORQUILLA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</si>
  <si>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https://http2.mlstatic.com/D_926519-MLV110260105962_052026-O.jpg</t>
  </si>
  <si>
    <t>71278ST</t>
  </si>
  <si>
    <t xml:space="preserve">Producto Original. 
SKU: 71278ST. 
OEM: 801278, G-51230, 341194. 
Marca: MONROE.
Aplicación: AMORTIGUADOR, TRAS.NISSAN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</si>
  <si>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801278, G-51230, 341194</t>
  </si>
  <si>
    <t>713069-CN</t>
  </si>
  <si>
    <t xml:space="preserve">Producto Original. 
SKU: 713069-CN. 
OEM: G-55924, GR55069, MP-8148. 
Marca: MONROE NACIONAL.
Aplicación: AMORTIGUADOR, DELT.CORSA 96-06 CHEVY C2 07-09 CONFORT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</si>
  <si>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G-55924, GR55069, MP-8148</t>
  </si>
  <si>
    <t>AMORTIGUADOR DELANTERO MERIVA 03-08 MONTANA 06-09</t>
  </si>
  <si>
    <t>https://http2.mlstatic.com/D_770441-MLV111187195773_052026-O.jpg</t>
  </si>
  <si>
    <t>713076N</t>
  </si>
  <si>
    <t xml:space="preserve">Producto Original. 
SKU: 713076N. 
OEM: G-551046T, 71026, 71027, GR55026, GR55027. 
Marca: MONROE NACIONAL.
Aplicación: AMORTIGUADOR DELT.MERIVA 03-08 MONTANA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</si>
  <si>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G-551046T, 71026, 71027, GR55026, GR55027</t>
  </si>
  <si>
    <t>AMORTIGUADOR DELANTERO MERIVA 03-08 CORSA 1 8 10-UP AMBOS LA</t>
  </si>
  <si>
    <t xml:space="preserve">Producto Original. 
SKU: 713076N. 
OEM: G-551046T, 71026, 71027, GR55026, GR55027. 
Marca: MONROE NACIONAL.
Aplicación: AMORTIGUADOR DELT.MERIVA 03-08 CORSA 1.8 10-UP AMBOS LADOS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</si>
  <si>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713080N</t>
  </si>
  <si>
    <t xml:space="preserve">Producto Original. 
SKU: 713080N. 
OEM: N/A. 
Marca: MONROE NACIONAL.
Aplicación: DESCONTINUADO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</si>
  <si>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IZQUIERDO OPTRA 1 8 04-13 APL</t>
  </si>
  <si>
    <t>713094N</t>
  </si>
  <si>
    <t xml:space="preserve">Producto Original. 
SKU: 713094N. 
OEM: G-55985T, G-55986T, GR55094, 803501, 803502, 339029, 339030. 
Marca: MONROE NACIONAL.
Aplicación: AMORTIGUADOR, DELT.DER.IZQ.OPTRA 1.8 04-13 (APLICA AMBOS LADOS)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</si>
  <si>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G-55985T, G-55986T, GR55094, 803501, 803502, 339029, 339030</t>
  </si>
  <si>
    <t>DESCONTINUADO USE G-55987TH</t>
  </si>
  <si>
    <t>713096N</t>
  </si>
  <si>
    <t xml:space="preserve">Producto Original. 
SKU: 713096N. 
OEM: N/A. 
Marca: MONROE NACIONAL.
Aplicación: DESCONTINUADO USE G-55987TH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</si>
  <si>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EXPLORER 02-03 4 PUERTAS</t>
  </si>
  <si>
    <t>71321ST</t>
  </si>
  <si>
    <t xml:space="preserve">Producto Original. 
SKU: 71321ST. 
OEM: GR55321, 71321, G-86304E, ASH-228. 
Marca: MONROE.
Aplicación: AMORTIGUADOR, DELT.EXPLORER 02-03 (4 PUERTAS)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</si>
  <si>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GR55321, 71321, G-86304E, ASH-228</t>
  </si>
  <si>
    <t>AMORTIGUADOR TRASERO EXPLORER 02-05 4 PUERTAS</t>
  </si>
  <si>
    <t>71322ST</t>
  </si>
  <si>
    <t xml:space="preserve">Producto Original. 
SKU: 71322ST. 
OEM: GR55322, 71322, G-86305E, G-86311E, 931322. 
Marca: MONROE.
Aplicación: AMORTIGUADOR, TRAS.EXPLORER 02-05 (4 PUERTAS)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</si>
  <si>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GR55322, 71322, G-86305E, G-86311E, 931322</t>
  </si>
  <si>
    <t>AMORTIGUADOR TRASERO HONDA CIVIC 01-05 ACURA 01-03</t>
  </si>
  <si>
    <t>71340ST</t>
  </si>
  <si>
    <t xml:space="preserve">Producto Original. 
SKU: 71340ST. 
OEM: N/A. 
Marca: MONROE.
Aplicación: AMORTIGUADOR, TRAS.HONDA CIVIC 01-05 ACURA EL 01-03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</si>
  <si>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https://http2.mlstatic.com/D_712412-MLV111184854389_052026-O.jpg</t>
  </si>
  <si>
    <t>71341ST</t>
  </si>
  <si>
    <t xml:space="preserve">Producto Original. 
SKU: 71341ST. 
OEM: G-35883, GR55341, 331016. 
Marca: MONROE.
Aplicación: AMORTIGUADOR, DELT.TRAILBLAZER 02-09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</si>
  <si>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G-35883, GR55341, 331016</t>
  </si>
  <si>
    <t>71352ST</t>
  </si>
  <si>
    <t xml:space="preserve">Producto Original. 
SKU: 71352ST. 
OEM: 71284ST. 
Marca: VARIOS.
Aplicación: AMORTIGUADOR DELT.TOYOTA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</si>
  <si>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71284ST</t>
  </si>
  <si>
    <t xml:space="preserve">Producto Original. 
SKU: 71352ST. 
OEM: 71284ST. 
Marca: VARIOS.
Aplicación: AMORTIGUADOR DELT.TOYOTA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</si>
  <si>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COLORADO 04-12 4X2 LUV D-MAX 08-</t>
  </si>
  <si>
    <t>https://http2.mlstatic.com/D_602567-MLV110259987746_052026-O.jpg</t>
  </si>
  <si>
    <t>71353ST</t>
  </si>
  <si>
    <t xml:space="preserve">Producto Original. 
SKU: 71353ST. 
OEM: G-51850, 342008, 344465, 341593, 345455. 
Marca: VARIOS.
Aplicación: AMORTIGUADOR, DELT.COLORADO 04-12 4X2 LUV D-MAX 08-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</si>
  <si>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G-51850, 342008, 344465, 341593, 345455</t>
  </si>
  <si>
    <t>AMORTIGUADOR DELANTERO NISSAN PATHFINDER 04-05 ARMADA 05-15</t>
  </si>
  <si>
    <t>71358ST</t>
  </si>
  <si>
    <t xml:space="preserve">Producto Original. 
SKU: 71358ST. 
OEM: N/A. 
Marca: VARIOS.
Aplicación: AMORTIGUADOR, DELT.NISSAN PATHFINDER 04-05 ARMADA 05-15 TITAN 04-19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</si>
  <si>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F-150 04-08 FX4 4X4</t>
  </si>
  <si>
    <t>71361ST</t>
  </si>
  <si>
    <t xml:space="preserve">Producto Original. 
SKU: 71361ST. 
OEM: GR55361, G-86314E, 71361, G-86317E. 
Marca: MONROE.
Aplicación: AMORTIGUADOR, DELT.F-150 04-08 FX4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</si>
  <si>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GR55361, G-86314E, 71361, G-86317E</t>
  </si>
  <si>
    <t>AMORTIGUADOR DELANTERO F-150 04-08 4X2</t>
  </si>
  <si>
    <t>71362ST</t>
  </si>
  <si>
    <t xml:space="preserve">Producto Original. 
SKU: 71362ST. 
OEM: G-51703, 341602, 345447, G-86315E. 
Marca: MONROE.
Aplicación: AMORTIGUADOR, DELT.F-150 04-08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</si>
  <si>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G-51703, 341602, 345447, G-86315E</t>
  </si>
  <si>
    <t>AMORTIGUADOR DELANTERO EXPEDITION 03-06</t>
  </si>
  <si>
    <t>71369ST</t>
  </si>
  <si>
    <t xml:space="preserve">Producto Original. 
SKU: 71369ST. 
OEM: G-51719, G-51720, 341605, 341606, 345443, 345444. 
Marca: MONROE.
Aplicación: AMORTIGUADOR, DELT.EXPEDITION 03-06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</si>
  <si>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G-51719, G-51720, 341605, 341606, 345443, 345444</t>
  </si>
  <si>
    <t>AMORTIGUADOR TRASERO EXPEDITION 03-06</t>
  </si>
  <si>
    <t>https://http2.mlstatic.com/D_953799-MLV111185687137_052026-O.jpg</t>
  </si>
  <si>
    <t>71370ST</t>
  </si>
  <si>
    <t xml:space="preserve">Producto Original. 
SKU: 71370ST. 
OEM: N/A. 
Marca: MONROE.
Aplicación: AMORTIGUADOR, TRAS.EXPEDITION 03-06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</si>
  <si>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https://http2.mlstatic.com/D_646452-MLV111184854429_052026-O.jpg,https://http2.mlstatic.com/D_699730-MLV110259221340_052026-O.jpg,https://http2.mlstatic.com/D_900189-MLV110259987800_052026-O.jpg</t>
  </si>
  <si>
    <t>71371ST</t>
  </si>
  <si>
    <t xml:space="preserve">Producto Original. 
SKU: 71371ST. 
OEM: GR55371, G-35898T, 341340. 
Marca: MONROE.
Aplicación: AMORTIGUADOR DELT.TOYOTA 4RUNNER 03-20 FJ CRUISER 07-14 TACOMA 05-18 FORTUNER 05-15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</si>
  <si>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GR55371, G-35898T, 341340</t>
  </si>
  <si>
    <t xml:space="preserve">Producto Original. 
SKU: 71371ST. 
OEM: GR55371, G-35898T, 341340. 
Marca: MONROE.
Aplicación: AMORTIGUADOR DELT.TOYOTA 4RUNNER 03-20 FJ CRUISER 07-14 TACOMA 05-18 HILUX KAVAK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</si>
  <si>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03-08 NEW SENSATION</t>
  </si>
  <si>
    <t>71373ST</t>
  </si>
  <si>
    <t xml:space="preserve">Producto Original. 
SKU: 71373ST. 
OEM: GR35373, G-35875. 
Marca: MONROE.
Aplicación: AMORTIGUADOR, TRAS.TOYOTA COROLLA 03-08 (NEW SENSATION)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</si>
  <si>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GR35373, G-35875</t>
  </si>
  <si>
    <t>71377ST</t>
  </si>
  <si>
    <t xml:space="preserve">Producto Original. 
SKU: 71377ST. 
OEM: G-551006, GR55377, 930084, 5191275AE. 
Marca: MONROE.
Aplicación: AMORTIGUADOR DELT.GRAND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</si>
  <si>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G-551006, GR55377, 930084, 5191275AE</t>
  </si>
  <si>
    <t xml:space="preserve">Producto Original. 
SKU: 71377ST. 
OEM: G-551006, GR55377, 930084, 5191275AE. 
Marca: MONROE.
Aplicación: AMORTIGUADOR DELT.GRAND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</si>
  <si>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LANCER 02-07</t>
  </si>
  <si>
    <t>71379ST</t>
  </si>
  <si>
    <t xml:space="preserve">Producto Original. 
SKU: 71379ST. 
OEM: N/A. 
Marca: MONROE.
Aplicación: AMORTIGUADOR, TRAS.MITSUBISHI LANCER 02-07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</si>
  <si>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CAMRY 02-03 LEXUS ES30</t>
  </si>
  <si>
    <t>71490ST</t>
  </si>
  <si>
    <t xml:space="preserve">Producto Original. 
SKU: 71490ST. 
OEM: G-56674. 
Marca: VARIOS.
Aplicación: AMORTIGUADOR, DELT.DER.TOYOTA CAMRY 02-03 LEXUS ES300 02-03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</si>
  <si>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G-56674</t>
  </si>
  <si>
    <t>AMORTIGUADOR DELANTERO IZQUIERDO TOYOTA CAMRY 02-03 LEXUS ES</t>
  </si>
  <si>
    <t>71491ST</t>
  </si>
  <si>
    <t xml:space="preserve">Producto Original. 
SKU: 71491ST. 
OEM: G-56673. 
Marca: VARIOS.
Aplicación: AMORTIGUADOR, DELT.IZQ.TOYOTA CAMRY 02-03 LEXUS ES300 02-03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</si>
  <si>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G-56673</t>
  </si>
  <si>
    <t>71572ST</t>
  </si>
  <si>
    <t xml:space="preserve">Producto Original. 
SKU: 71572ST. 
OEM: GR55572, G-56620, 71572. 
Marca: MONROE.
Aplicación: AMORTIGUADOR, DELT.CARAVAN 01-07 GRAND CARAVAN 01-07 TOWN &amp; COUNTRY 01-07 VOYAGER 01-07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</si>
  <si>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GR55572, G-56620, 71572</t>
  </si>
  <si>
    <t>https://http2.mlstatic.com/D_855608-MLV111185597313_052026-O.jpg</t>
  </si>
  <si>
    <t>71577ST</t>
  </si>
  <si>
    <t xml:space="preserve">Producto Original. 
SKU: 71577ST. 
OEM: G-86306T, GR55577, 331017. 
Marca: MONROE.
Aplicación: AMORTIGUADOR, DELT.LIBERTY 02-14 KJ KK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</si>
  <si>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GRAND VITARA 99-08</t>
  </si>
  <si>
    <t>71590ST</t>
  </si>
  <si>
    <t xml:space="preserve">Producto Original. 
SKU: 71590ST. 
OEM: G-55963, 334195, GR55590. 
Marca: MONROE.
Aplicación: AMORTIGUADOR, DELT.DER.GRAND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</si>
  <si>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G-55963, 334195, GR55590</t>
  </si>
  <si>
    <t>AMORTIGUADOR DELANTERO IZQUIERDO GRAND VITARA 99-08</t>
  </si>
  <si>
    <t>71591ST</t>
  </si>
  <si>
    <t xml:space="preserve">Producto Original. 
SKU: 71591ST. 
OEM: G-55964, 334196, GR55590. 
Marca: MONROE.
Aplicación: AMORTIGUADOR, DELT.IZQ.GRAND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</si>
  <si>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G-55964, 334196, GR55590</t>
  </si>
  <si>
    <t>AMORTIGUADOR DELANTERO IZQUIERDO ESCAPE 01-12</t>
  </si>
  <si>
    <t>https://http2.mlstatic.com/D_922629-MLV111186724345_052026-O.jpg</t>
  </si>
  <si>
    <t>71593ST</t>
  </si>
  <si>
    <t xml:space="preserve">Producto Original. 
SKU: 71593ST. 
OEM: G-56601, GR55593. 
Marca: MONROE.
Aplicación: AMORTIGUADOR, DELT.IZQ.ESCAPE 01-12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</si>
  <si>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G-56601, GR55593</t>
  </si>
  <si>
    <t>AMORTIGUADOR DELANTERO DERECHO ESCAPE 01-12</t>
  </si>
  <si>
    <t>https://http2.mlstatic.com/D_690008-MLV111187255827_052026-O.jpg</t>
  </si>
  <si>
    <t>71594ST</t>
  </si>
  <si>
    <t xml:space="preserve">Producto Original. 
SKU: 71594ST. 
OEM: G-56568, GR55594. 
Marca: MONROE.
Aplicación: AMORTIGUADOR, DELT.DER.ESCAPE 01-12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</si>
  <si>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G-56568, GR55594</t>
  </si>
  <si>
    <t>AMORTIGUADOR TRASERO DERECHO HYUNDAI ACCENT 97-06 PLATO PEQU</t>
  </si>
  <si>
    <t>71646N</t>
  </si>
  <si>
    <t xml:space="preserve">Producto Original. 
SKU: 71646N. 
OEM: G-55940H. 
Marca: MONROE NACIONAL.
Aplicación: AMORTIGUADOR, TRAS.DER.HYUNDAI ACCENT 97-06 PLATO PEQUEÑO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</si>
  <si>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G-55940H</t>
  </si>
  <si>
    <t>https://http2.mlstatic.com/D_785842-MLV110259987938_052026-O.jpg</t>
  </si>
  <si>
    <t>71646ST</t>
  </si>
  <si>
    <t xml:space="preserve">Producto Original. 
SKU: 71646ST. 
OEM: G-55940H. 
Marca: MONROE.
Aplicación: AMORTIGUADOR, TRAS.DER.HYUNDAI ACCENT 97-06 PLATO PEQUEÑO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</si>
  <si>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HYUNDAI ACCENT 97-06 PLATO PE</t>
  </si>
  <si>
    <t>71647ST</t>
  </si>
  <si>
    <t xml:space="preserve">Producto Original. 
SKU: 71647ST. 
OEM: G-55940H. 
Marca: MONROE.
Aplicación: AMORTIGUADOR, TRAS.IZQ.HYUNDAI ACCENT 97-06 PLATO PEQUEÑO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</si>
  <si>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ESTEEM 97-03 POCA PRESION</t>
  </si>
  <si>
    <t>https://http2.mlstatic.com/D_876133-MLV111186724383_052026-O.jpg</t>
  </si>
  <si>
    <t>71650ST</t>
  </si>
  <si>
    <t xml:space="preserve">Producto Original. 
SKU: 71650ST. 
OEM: G-55947. 
Marca: MONROE.
Aplicación: AMORTIGUADOR, TRAS.DER.ESTEEM 97-03 (POCA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</si>
  <si>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G-55947</t>
  </si>
  <si>
    <t>AMORTIGUADOR DELANTERO CENTURY 97-05 IMPALA 00-05</t>
  </si>
  <si>
    <t>https://http2.mlstatic.com/D_819363-MLV111184883851_052026-O.jpg,https://http2.mlstatic.com/D_787491-MLV111187049603_052026-O.jpg,https://http2.mlstatic.com/D_971488-MLV111185329945_052026-O.jpg</t>
  </si>
  <si>
    <t>71661ST</t>
  </si>
  <si>
    <t xml:space="preserve">Producto Original. 
SKU: 71661ST. 
OEM: GR55661, 71661, 801661, MP8274. 
Marca: MONROE.
Aplicación: AMORTIGUADOR DELT.CENTURY 97-05 IMPALA 00-05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</si>
  <si>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GR55661, 71661, 801661, MP8274</t>
  </si>
  <si>
    <t>AMORTIGUADOR DELANTERO CENTURY 97-05 MONTE CARLO 00-07</t>
  </si>
  <si>
    <t xml:space="preserve">Producto Original. 
SKU: 71661ST. 
OEM: GR55661, 71661, 801661, MP8274. 
Marca: MONROE.
Aplicación: AMORTIGUADOR DELT.CENTURY 97-05 MONTE CARLO 00-07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</si>
  <si>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CENTURY 97-05 IMPALA 00-09</t>
  </si>
  <si>
    <t>https://http2.mlstatic.com/D_715888-MLV111186724429_052026-O.jpg</t>
  </si>
  <si>
    <t>71662ST</t>
  </si>
  <si>
    <t xml:space="preserve">Producto Original. 
SKU: 71662ST. 
OEM: GR55662, MP-8273. 
Marca: MONROE.
Aplicación: AMORTIGUADOR TRAS.CENTURY 97-05 IMPALA 00-09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</si>
  <si>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GR55662, MP-8273</t>
  </si>
  <si>
    <t>AMORTIGUADOR TRASERO CENTURY 97-05 MONTE CARLO 00-07</t>
  </si>
  <si>
    <t xml:space="preserve">Producto Original. 
SKU: 71662ST. 
OEM: GR55662, MP-8273. 
Marca: MONROE.
Aplicación: AMORTIGUADOR TRAS.CENTURY 97-05 MONTE CARLO 00-07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</si>
  <si>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CAMRY 97-01</t>
  </si>
  <si>
    <t>71678ST</t>
  </si>
  <si>
    <t xml:space="preserve">Producto Original. 
SKU: 71678ST. 
OEM: N/A. 
Marca: MONROE.
Aplicación: AMORTIGUADOR, DELT.DER.TOYOTA CAMRY 97-01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</si>
  <si>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CAMRY 97-01</t>
  </si>
  <si>
    <t>71679ST</t>
  </si>
  <si>
    <t xml:space="preserve">Producto Original. 
SKU: 71679ST. 
OEM: N/A. 
Marca: MONROE.
Aplicación: AMORTIGUADOR, DELT.IZQ.TOYOTA CAMRY 97-01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</si>
  <si>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CAMRY 92-01 AVALON 95-03</t>
  </si>
  <si>
    <t>71680ST</t>
  </si>
  <si>
    <t xml:space="preserve">Producto Original. 
SKU: 71680ST. 
OEM: N/A. 
Marca: VARIOS.
Aplicación: AMORTIGUADOR, TRAS.DER.TOYOTA CAMRY 92-01 AVALON 95-03 SOLARA 99-03 LEXUS ES300 92-01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</si>
  <si>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TOYOTA CAMRY 92-01 AVALON 95-</t>
  </si>
  <si>
    <t>71681ST</t>
  </si>
  <si>
    <t xml:space="preserve">Producto Original. 
SKU: 71681ST. 
OEM: N/A. 
Marca: VARIOS.
Aplicación: AMORTIGUADOR, TRAS.IZQ.TOYOTA CAMRY 92-01 AVALON 95-03 SOLARA 99-03 LEXUS ES300 92-01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</si>
  <si>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MX MF 94-98 GALANT 94-98 S</t>
  </si>
  <si>
    <t>71698ST</t>
  </si>
  <si>
    <t xml:space="preserve">Producto Original. 
SKU: 71698ST. 
OEM: N/A. 
Marca: MONROE.
Aplicación: AMORTIGUADOR, DELT.MITSUBISHI MX MF 94-98 GALANT 94-98 SEBRING 95-00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</si>
  <si>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MAZDA 626 93-97</t>
  </si>
  <si>
    <t>71935ST</t>
  </si>
  <si>
    <t xml:space="preserve">Producto Original. 
SKU: 71935ST. 
OEM: N/A. 
Marca: MONROE.
Aplicación: AMORTIGUADOR, DELT.DER.MAZDA 626 93-97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</si>
  <si>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71951ST</t>
  </si>
  <si>
    <t xml:space="preserve">Producto Original. 
SKU: 71951ST. 
OEM: G-55908T, GR55951. 
Marca: MONROE.
Aplicación: AMORTIGUADOR DELT.DER.TOYOTA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</si>
  <si>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G-55908T, GR55951</t>
  </si>
  <si>
    <t xml:space="preserve">Producto Original. 
SKU: 71951ST. 
OEM: G-55908T, GR55951. 
Marca: MONROE.
Aplicación: AMORTIGUADOR DELT.DER.TOYOTA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</si>
  <si>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COROLLA 94-02 BABY</t>
  </si>
  <si>
    <t>71952ST</t>
  </si>
  <si>
    <t xml:space="preserve">Producto Original. 
SKU: 71952ST. 
OEM: 71952ST, G-55908T. 
Marca: MONROE.
Aplicación: AMORTIGUADOR DELT.IZQ.TOYOTA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</si>
  <si>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71952ST, G-55908T</t>
  </si>
  <si>
    <t>AMORTIGUADOR DELANTERO IZQUIERDO TOYOTA CAMRY SAPITO PANTALL</t>
  </si>
  <si>
    <t xml:space="preserve">Producto Original. 
SKU: 71952ST. 
OEM: 71952ST, G-55908T. 
Marca: MONROE.
Aplicación: AMORTIGUADOR DELT.IZQ.TOYOTA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</si>
  <si>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COROLLA 94-02 BABY</t>
  </si>
  <si>
    <t>71953ST</t>
  </si>
  <si>
    <t xml:space="preserve">Producto Original. 
SKU: 71953ST. 
OEM: GR55953, GR55954, G-55910H. 
Marca: MONROE.
Aplicación: AMORTIGUADOR TRAS.DER.TOYOTA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</si>
  <si>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GR55953, GR55954, G-55910H</t>
  </si>
  <si>
    <t>AMORTIGUADOR TRASERO DERECHO TOYOTA CAMRY SAPITO PANTALLITA</t>
  </si>
  <si>
    <t xml:space="preserve">Producto Original. 
SKU: 71953ST. 
OEM: GR55953, GR55954, G-55910H. 
Marca: MONROE.
Aplicación: AMORTIGUADOR TRAS.DER.TOYOTA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</si>
  <si>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COROLLA 90-93 AE92 ARAYA</t>
  </si>
  <si>
    <t xml:space="preserve">Producto Original. 
SKU: 71953ST. 
OEM: GR55953, GR55954, G-55910H. 
Marca: MONROE.
Aplicación: AMORTIGUADOR TRAS.DER.TOYOTA COROLLA 90-93 AE92 ARAYA SKY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</si>
  <si>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TOYOTA COROLLA 94-02 BABY</t>
  </si>
  <si>
    <t>71954ST</t>
  </si>
  <si>
    <t xml:space="preserve">Producto Original. 
SKU: 71954ST. 
OEM: GR55954, GR55953, G-55910H. 
Marca: MONROE.
Aplicación: AMORTIGUADOR TRAS.IZQ.TOYOTA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</si>
  <si>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GR55954, GR55953, G-55910H</t>
  </si>
  <si>
    <t>AMORTIGUADOR TRASERO IZQUIERDO TOYOTA CAMRY SAPITO PANTALLIT</t>
  </si>
  <si>
    <t xml:space="preserve">Producto Original. 
SKU: 71954ST. 
OEM: GR55954, GR55953, G-55910H. 
Marca: MONROE.
Aplicación: AMORTIGUADOR TRAS.IZQ.TOYOTA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</si>
  <si>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TOYOTA COROLLA 90-93 AE92 ARA</t>
  </si>
  <si>
    <t xml:space="preserve">Producto Original. 
SKU: 71954ST. 
OEM: GR55954, GR55953, G-55910H. 
Marca: MONROE.
Aplicación: AMORTIGUADOR TRAS.IZQ.TOYOTA COROLLA 90-93 AE92 ARAYA SKY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</si>
  <si>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NEON 95-99 PL</t>
  </si>
  <si>
    <t>https://http2.mlstatic.com/D_883867-MLV111187196181_052026-O.jpg</t>
  </si>
  <si>
    <t>71959N</t>
  </si>
  <si>
    <t xml:space="preserve">Producto Original. 
SKU: 71959N. 
OEM: G-55921, MP-8139. 
Marca: MONROE NACIONAL.
Aplicación: AMORTIGUADOR, DELT.NEON 95-99 PL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</si>
  <si>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G-55921, MP-8139</t>
  </si>
  <si>
    <t>AMORTIGUADOR TRASERO NEON 95-99 PL</t>
  </si>
  <si>
    <t>71960ST</t>
  </si>
  <si>
    <t xml:space="preserve">Producto Original. 
SKU: 71960ST. 
OEM: G-55922, MP-8140, 235615. 
Marca: MONROE.
Aplicación: AMORTIGUADOR, TRAS.NEON 95-99 PL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</si>
  <si>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G-55922, MP-8140, 235615</t>
  </si>
  <si>
    <t>https://http2.mlstatic.com/D_682185-MLV111185330033_052026-O.jpg</t>
  </si>
  <si>
    <t>71968ST</t>
  </si>
  <si>
    <t xml:space="preserve">Producto Original. 
SKU: 71968ST. 
OEM: 801968, 333192. 
Marca: MONROE.
Aplicación: AMORTIGUADOR, DELT.DER.NISSAN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</si>
  <si>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801968, 333192</t>
  </si>
  <si>
    <t>https://http2.mlstatic.com/D_700574-MLV111185597461_052026-O.jpg</t>
  </si>
  <si>
    <t>71969ST</t>
  </si>
  <si>
    <t xml:space="preserve">Producto Original. 
SKU: 71969ST. 
OEM: 801969, 333193. 
Marca: MONROE.
Aplicación: AMORTIGUADOR, DELT.IZQ.NISSAN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</si>
  <si>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801969, 333193</t>
  </si>
  <si>
    <t>72114ST</t>
  </si>
  <si>
    <t xml:space="preserve">Producto Original. 
SKU: 72114ST. 
OEM: G-35873, 802115N. 
Marca: MONROE.
Aplicación: AMORTIGUADOR, DELT.DER.TOYOTA COROLLA 03-08 (NEW SENSATION)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</si>
  <si>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G-35873, 802115N</t>
  </si>
  <si>
    <t>72115ST</t>
  </si>
  <si>
    <t xml:space="preserve">Producto Original. 
SKU: 72115ST. 
OEM: G-35874,. 
Marca: VARIOS.
Aplicación: AMORTIGUADOR, DELT.IZQ.TOYOTA COROLLA 03-08 (NEW SENSATION)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</si>
  <si>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G-35874,</t>
  </si>
  <si>
    <t>AMORTIGUADOR DELANTERO HONDA ACCORD 03-07</t>
  </si>
  <si>
    <t>72123ST</t>
  </si>
  <si>
    <t xml:space="preserve">Producto Original. 
SKU: 72123ST. 
OEM: N/A. 
Marca: MONROE.
Aplicación: AMORTIGUADOR, DELT.HONDA ACCORD 03-07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</si>
  <si>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MUSTANG 05-10</t>
  </si>
  <si>
    <t>72138ST</t>
  </si>
  <si>
    <t xml:space="preserve">Producto Original. 
SKU: 72138ST. 
OEM: N/A. 
Marca: MONROE.
Aplicación: AMORTIGUADOR, DELT.MUSTANG 05-10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</si>
  <si>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CR-V 02-06</t>
  </si>
  <si>
    <t>72143ST</t>
  </si>
  <si>
    <t xml:space="preserve">Producto Original. 
SKU: 72143ST. 
OEM: G-56799, 808166. 
Marca: VARIOS.
Aplicación: AMORTIGUADOR, DELT.DER.HONDA CR-V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</si>
  <si>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G-56799, 808166</t>
  </si>
  <si>
    <t>AMORTIGUADOR DELANTERO IZQUIERDO HONDA CR-V 02-06</t>
  </si>
  <si>
    <t>72144ST</t>
  </si>
  <si>
    <t xml:space="preserve">Producto Original. 
SKU: 72144ST. 
OEM: G-56800, 808167. 
Marca: VARIOS.
Aplicación: AMORTIGUADOR, DELT.IZQ.HONDA CR-V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</si>
  <si>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G-56800, 808167</t>
  </si>
  <si>
    <t>72205ST</t>
  </si>
  <si>
    <t xml:space="preserve">Producto Original. 
SKU: 72205ST. 
OEM: G-56722, 334386. 
Marca: VARIOS.
Aplicación: AMORTIGUADOR, DELT.DER.TOYOTA CAMRY LUMIERE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</si>
  <si>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G-56722, 334386</t>
  </si>
  <si>
    <t>72206ST</t>
  </si>
  <si>
    <t xml:space="preserve">Producto Original. 
SKU: 72206ST. 
OEM: G-56721. 
Marca: VARIOS.
Aplicación: AMORTIGUADOR, DELT.IZQ.TOYOTA CAMRY LUMIERE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</si>
  <si>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G-56721</t>
  </si>
  <si>
    <t>72208ST</t>
  </si>
  <si>
    <t xml:space="preserve">Producto Original. 
SKU: 72208ST. 
OEM: 334389, G-56729. 
Marca: VARIOS.
Aplicación: AMORTIGUADOR, TRAS.IZQ.TOYOTA CAMRY LUMIERE 04-06 AVALON 05-06 SOLARA 04-06 LEXUS ES330 04-06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</si>
  <si>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334389, G-56729</t>
  </si>
  <si>
    <t>AMORTIGUADOR DELANTERO DERECHO FOCUS 06-11</t>
  </si>
  <si>
    <t>72257ST</t>
  </si>
  <si>
    <t xml:space="preserve">Producto Original. 
SKU: 72257ST. 
OEM: G-56837, 338013, 335779R. 
Marca: MONROE.
Aplicación: AMORTIGUADOR, DELT.DER.FOCUS 06-11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</si>
  <si>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G-56837, 338013, 335779R</t>
  </si>
  <si>
    <t>AMORTIGUADOR DELANTERO IZQUIERDO FOCUS 06-11</t>
  </si>
  <si>
    <t>72258ST</t>
  </si>
  <si>
    <t xml:space="preserve">Producto Original. 
SKU: 72258ST. 
OEM: G-56836, 338014, 335779L. 
Marca: MONROE.
Aplicación: AMORTIGUADOR, DELT.IZQ.FOCUS 06-11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</si>
  <si>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G-56836, 338014, 335779L</t>
  </si>
  <si>
    <t>AMORTIGUADOR DELANTERO DERECHO MAZDA 3 04-13 MAZDA 5 06-10</t>
  </si>
  <si>
    <t>72263ST</t>
  </si>
  <si>
    <t xml:space="preserve">Producto Original. 
SKU: 72263ST. 
OEM: 802263, G-52006, 344700, 336311R. 
Marca: VARIOS.
Aplicación: AMORTIGUADOR, DELT.DER.MAZDA 3 04-13 MAZDA 5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</si>
  <si>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802263, G-52006, 344700, 336311R</t>
  </si>
  <si>
    <t>72264ST</t>
  </si>
  <si>
    <t xml:space="preserve">Producto Original. 
SKU: 72264ST. 
OEM: 802264, G-52006, 344701, 336311L. 
Marca: VARIOS.
Aplicación: AMORTIGUADOR, DELT.IZQ.MAZDA 3 04-13 MAZDA 5 06-15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</si>
  <si>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802264, G-52006, 344701, 336311L</t>
  </si>
  <si>
    <t>AMORTIGUADOR DELANTERO HYUNDAI SONATA 06-10</t>
  </si>
  <si>
    <t>72281ST</t>
  </si>
  <si>
    <t xml:space="preserve">Producto Original. 
SKU: 72281ST. 
OEM: N/A. 
Marca: MONROE.
Aplicación: AMORTIGUADOR, DELT.HYUNDAI SONATA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</si>
  <si>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CIVIC 06-11 COUPE VA 72</t>
  </si>
  <si>
    <t>72284ST</t>
  </si>
  <si>
    <t xml:space="preserve">Producto Original. 
SKU: 72284ST. 
OEM: N/A. 
Marca: VARIOS.
Aplicación: AMORTIGUADOR, DELT.DER.HONDA CIVIC 06-11 (COUPE) VA CON EL 72285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</si>
  <si>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CIVIC 06-11 COUPE VA</t>
  </si>
  <si>
    <t>72285ST</t>
  </si>
  <si>
    <t xml:space="preserve">Producto Original. 
SKU: 72285ST. 
OEM: N/A. 
Marca: VARIOS.
Aplicación: AMORTIGUADOR, DELT.IZQ.HONDA CIVIC 06-11 (COUPE) VA CON EL 72284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</si>
  <si>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CIVIC 06-11 SEDAN EMOTI</t>
  </si>
  <si>
    <t>72286ST</t>
  </si>
  <si>
    <t xml:space="preserve">Producto Original. 
SKU: 72286ST. 
OEM: G-52039, GR55074, 339074. 
Marca: VARIOS.
Aplicación: AMORTIGUADOR, DELT.DER.HONDA CIVIC 06-11 (SEDAN) EMOTION VA CON EL 72287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</si>
  <si>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G-52039, GR55074, 339074</t>
  </si>
  <si>
    <t>AMORTIGUADOR DELANTERO IZQUIERDO HONDA CIVIC 06-11 EMOTION S</t>
  </si>
  <si>
    <t>72287ST</t>
  </si>
  <si>
    <t xml:space="preserve">Producto Original. 
SKU: 72287ST. 
OEM: G-52038, GR55075, 339075. 
Marca: VARIOS.
Aplicación: AMORTIGUADOR, DELT.IZQ.HONDA CIVIC 06-11 EMOTION (SEDAN) VA CON EL 72286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</si>
  <si>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G-52038, GR55075, 339075</t>
  </si>
  <si>
    <t>AMORTIGUADOR DELANTERO DERECHO TOYOTA YARIS 06-12 BELTA SPOR</t>
  </si>
  <si>
    <t>72288ST</t>
  </si>
  <si>
    <t xml:space="preserve">Producto Original. 
SKU: 72288ST. 
OEM: GR55954. 
Marca: MONROE.
Aplicación: AMORTIGUADOR, DELT.DER.TOYOTA YARIS 06-12 BELTA SPORT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</si>
  <si>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GR55954</t>
  </si>
  <si>
    <t>AMORTIGUADOR DELANTERO IZQUIERDO TOYOTA YARIS 06-12 BELTA SP</t>
  </si>
  <si>
    <t>72289ST</t>
  </si>
  <si>
    <t xml:space="preserve">Producto Original. 
SKU: 72289ST. 
OEM: GR55954. 
Marca: MONROE.
Aplicación: AMORTIGUADOR, DELT.IZQ.TOYOTA YARIS 06-12 BELTA SPORT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</si>
  <si>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72295ST</t>
  </si>
  <si>
    <t xml:space="preserve">Producto Original. 
SKU: 72295ST. 
OEM: GR55080, G-35896T, G-35897T, 333417, 333418. 
Marca: MONROE.
Aplicación: AMORTIGUADOR, DELT.DER.AVEO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</si>
  <si>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GR55080, G-35896T, G-35897T, 333417, 333418</t>
  </si>
  <si>
    <t>72296ST</t>
  </si>
  <si>
    <t xml:space="preserve">Producto Original. 
SKU: 72296ST. 
OEM: GR55080, G-35896T, G-35897T, 333417, 333418. 
Marca: MONROE.
Aplicación: AMORTIGUADOR, DELT.IZQ.AVEO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</si>
  <si>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HYUNDAI ACCENTE 1 6 06-11 KIA</t>
  </si>
  <si>
    <t>72297ST</t>
  </si>
  <si>
    <t xml:space="preserve">Producto Original. 
SKU: 72297ST. 
OEM: N/A. 
Marca: MONROE.
Aplicación: AMORTIGUADOR, DELT.DER.HYUNDAI ACCENTE 1.6 06-11 KIA RIO 06-11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</si>
  <si>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HYUNDAI ACCENTE 1 6 06-11 K</t>
  </si>
  <si>
    <t>72298ST</t>
  </si>
  <si>
    <t xml:space="preserve">Producto Original. 
SKU: 72298ST. 
OEM: N/A. 
Marca: MONROE.
Aplicación: AMORTIGUADOR, DELT.IZQ.HYUNDAI ACCENTE 1.6 06-11 KIA RIO 06-11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</si>
  <si>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72307ST</t>
  </si>
  <si>
    <t xml:space="preserve">Producto Original. 
SKU: 72307ST. 
OEM: G-55888, 339023, GR55307. 
Marca: MONROE.
Aplicación: AMORTIGUADOR, DELT.DER.TOYOTA CAMRY LUMIERE 07-11 AVALON 06-11 LEXUS ES350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</si>
  <si>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G-55888, 339023, GR55307</t>
  </si>
  <si>
    <t>72308ST</t>
  </si>
  <si>
    <t xml:space="preserve">Producto Original. 
SKU: 72308ST. 
OEM: G-55889, 339024, GR55308. 
Marca: VARIOS.
Aplicación: AMORTIGUADOR, DELT.IZQ.TOYOTA CAMRY LUMIERE 07-11 AVALON 06-11 LEXUS ES350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</si>
  <si>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G-55889, 339024, GR55308</t>
  </si>
  <si>
    <t>72309ST</t>
  </si>
  <si>
    <t xml:space="preserve">Producto Original. 
SKU: 72309ST. 
OEM: 339025, GR55309. 
Marca: VARIOS.
Aplicación: AMORTIGUADOR, TRAS.DER.TOYOTA CAMRY LUMIERE 07-11 AVALON 08-12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</si>
  <si>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339025, GR55309</t>
  </si>
  <si>
    <t>72310ST</t>
  </si>
  <si>
    <t xml:space="preserve">Producto Original. 
SKU: 72310ST. 
OEM: 339026, GR55310. 
Marca: VARIOS.
Aplicación: AMORTIGUADOR, TRAS.IZQ.TOYOTA CAMRY LUMIERE 07-11 AVALON 08-12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</si>
  <si>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339026, GR55310</t>
  </si>
  <si>
    <t>https://http2.mlstatic.com/D_866271-MLV111184914465_052026-O.jpg,https://http2.mlstatic.com/D_725357-MLV111186784617_052026-O.jpg,https://http2.mlstatic.com/D_994026-MLV111185687479_052026-O.jpg</t>
  </si>
  <si>
    <t>72367ST</t>
  </si>
  <si>
    <t xml:space="preserve">Producto Original. 
SKU: 72367ST. 
OEM: G-551058T, GR55367, 334642, 331789R, G-52082. 
Marca: MONROE.
Aplicación: AMORTIGUADOR, DELT.DER.CALIBER 06-12 COMPASS 07-10 PATRIOT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</si>
  <si>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G-551058T, GR55367, 334642, 331789R, G-52082</t>
  </si>
  <si>
    <t>https://http2.mlstatic.com/D_786520-MLV111185657773_052026-O.jpg</t>
  </si>
  <si>
    <t>72368ST</t>
  </si>
  <si>
    <t xml:space="preserve">Producto Original. 
SKU: 72368ST. 
OEM: G-551057T, 72368ST, GR55368, 05105171AH, 334643, 331789L, G-. 
Marca: MONROE.
Aplicación: AMORTIGUADOR, DELT.IZQ.CALIBER 06-12 COMPASS 07-10 PATRIOT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</si>
  <si>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G-551057T, 72368ST, GR55368, 05105171AH, 334643, 331789L, G-</t>
  </si>
  <si>
    <t>https://http2.mlstatic.com/D_946138-MLV111187166203_052026-O.jpg,https://http2.mlstatic.com/D_945165-MLV110259221724_052026-O.jpg,https://http2.mlstatic.com/D_742777-MLV111187166217_052026-O.jpg</t>
  </si>
  <si>
    <t>72401ST</t>
  </si>
  <si>
    <t xml:space="preserve">Producto Original. 
SKU: 72401ST. 
OEM: G-551022T, GR35401, 05272706AH. 
Marca: MONROE.
Aplicación: AMORTIGUADOR, TRAS.CALIBER 06-12 COMPASS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</si>
  <si>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G-551022T, GR35401, 05272706AH</t>
  </si>
  <si>
    <t>https://http2.mlstatic.com/D_847458-MLV111185657825_052026-O.jpg</t>
  </si>
  <si>
    <t>72423</t>
  </si>
  <si>
    <t xml:space="preserve">Producto Original. 
SKU: 72423. 
OEM: G-706096, GR55423. 
Marca: MONROE.
Aplicación: AMORTIGUADOR, DELT.DER.GRAND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</si>
  <si>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G-706096, GR55423</t>
  </si>
  <si>
    <t>https://http2.mlstatic.com/D_869084-MLV111185627477_052026-O.jpg</t>
  </si>
  <si>
    <t>72424</t>
  </si>
  <si>
    <t xml:space="preserve">Producto Original. 
SKU: 72424. 
OEM: G-706097, GR55424. 
Marca: MONROE.
Aplicación: AMORTIGUADOR, DELT.IZQ.GRAND VITARA 08-13 JIII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</si>
  <si>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G-706097, GR55424</t>
  </si>
  <si>
    <t>AMORTIGUADOR DELANTERO SILVERADO 3500 HD 11-16 SILVERADO 250</t>
  </si>
  <si>
    <t>https://http2.mlstatic.com/D_749459-MLV111185687577_052026-O.jpg</t>
  </si>
  <si>
    <t>72447ST</t>
  </si>
  <si>
    <t xml:space="preserve">Producto Original. 
SKU: 72447ST. 
OEM: GR35447. 
Marca: MONROE.
Aplicación: AMORTIGUADOR, DELT.SILVERADO 3500 HD 11-16 SILVERADO 2500 HD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</si>
  <si>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GR35447</t>
  </si>
  <si>
    <t>AMORTIGUADOR DELANTERO DERECHO HONDA CR-V 07-14 ACURA RDX 07</t>
  </si>
  <si>
    <t>72491ST</t>
  </si>
  <si>
    <t xml:space="preserve">Producto Original. 
SKU: 72491ST. 
OEM: N/A. 
Marca: MONROE.
Aplicación: AMORTIGUADOR, DELT.DER.HONDA CR-V 07-14 ACURA RDX 07-12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</si>
  <si>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CR-V 07-14 ACURA RDX</t>
  </si>
  <si>
    <t>72492ST</t>
  </si>
  <si>
    <t xml:space="preserve">Producto Original. 
SKU: 72492ST. 
OEM: N/A. 
Marca: MONROE.
Aplicación: AMORTIGUADOR, DELT.IZQ.HONDA CR-V 07-14 ACURA RDX 07-12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</si>
  <si>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CR-V 07-11</t>
  </si>
  <si>
    <t>72497ST</t>
  </si>
  <si>
    <t xml:space="preserve">Producto Original. 
SKU: 72497ST. 
OEM: N/A. 
Marca: VARIOS.
Aplicación: AMORTIGUADOR, TRAS.HONDA CR-V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</si>
  <si>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FIESTA 11-13</t>
  </si>
  <si>
    <t>72524ST</t>
  </si>
  <si>
    <t xml:space="preserve">Producto Original. 
SKU: 72524ST. 
OEM: BE8Z18124A, BE8Z18125A. 
Marca: MONROE.
Aplicación: AMORTIGUADOR, DELT.DER.FIESTA 11-13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</si>
  <si>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BE8Z18124A, BE8Z18125A</t>
  </si>
  <si>
    <t>AMORTIGUADOR DELANTERO IZQUIERDO FIESTA 10-13</t>
  </si>
  <si>
    <t>72525ST</t>
  </si>
  <si>
    <t xml:space="preserve">Producto Original. 
SKU: 72525ST. 
OEM: BE8Z18124A, BE8Z18125A. 
Marca: MONROE.
Aplicación: AMORTIGUADOR, DELT.IZQ.FIESTA 10-13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</si>
  <si>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ODYSSEY 05-07</t>
  </si>
  <si>
    <t>72536ST</t>
  </si>
  <si>
    <t xml:space="preserve">Producto Original. 
SKU: 72536ST. 
OEM: N/A. 
Marca: VARIOS.
Aplicación: AMORTIGUADOR, DELT.DER.HONDA ODYSSEY 05-07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</si>
  <si>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ODYSSEY 05-07</t>
  </si>
  <si>
    <t>72537ST</t>
  </si>
  <si>
    <t xml:space="preserve">Producto Original. 
SKU: 72537ST. 
OEM: N/A. 
Marca: VARIOS.
Aplicación: AMORTIGUADOR, DELT.IZQ.HONDA ODYSSEY 05-07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</si>
  <si>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ODYSSEY 08-10</t>
  </si>
  <si>
    <t>72541ST</t>
  </si>
  <si>
    <t xml:space="preserve">Producto Original. 
SKU: 72541ST. 
OEM: N/A. 
Marca: VARIOS.
Aplicación: AMORTIGUADOR, DELT.DER.HONDA ODYSSEY 08-10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</si>
  <si>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ODYSSEY 08-10</t>
  </si>
  <si>
    <t>72542ST</t>
  </si>
  <si>
    <t xml:space="preserve">Producto Original. 
SKU: 72542ST. 
OEM: N/A. 
Marca: VARIOS.
Aplicación: AMORTIGUADOR, DELT.IZQ.HONDA ODYSSEY 08-10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</si>
  <si>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https://http2.mlstatic.com/D_848726-MLV111186724689_052026-O.jpg</t>
  </si>
  <si>
    <t>72546ST</t>
  </si>
  <si>
    <t xml:space="preserve">Producto Original. 
SKU: 72546ST. 
OEM: GR55270, 68029502AD, 72546ST, G-551068. 
Marca: MONROE.
Aplicación: AMORTIGUADOR, DELT.GRAND CHEROKEE 11-16 WK2 4G DURANGO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</si>
  <si>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HONDA ACCORD 08-12</t>
  </si>
  <si>
    <t>72562ST</t>
  </si>
  <si>
    <t xml:space="preserve">Producto Original. 
SKU: 72562ST. 
OEM: N/A. 
Marca: MONROE.
Aplicación: AMORTIGUADOR, DELT.HONDA ACCORD 08-12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</si>
  <si>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ACCORD 08-12</t>
  </si>
  <si>
    <t>72563ST</t>
  </si>
  <si>
    <t xml:space="preserve">Producto Original. 
SKU: 72563ST. 
OEM: N/A. 
Marca: MONROE.
Aplicación: AMORTIGUADOR, TRAS.HONDA ACCORD 08-12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</si>
  <si>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72597ST</t>
  </si>
  <si>
    <t xml:space="preserve">Producto Original. 
SKU: 72597ST. 
OEM: G-551020T, GR55597, 339114. 
Marca: VARIOS.
Aplicación: AMORTIGUADOR, DELT.DER.TOYOTA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</si>
  <si>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G-551020T, GR55597, 339114</t>
  </si>
  <si>
    <t>72598ST</t>
  </si>
  <si>
    <t xml:space="preserve">Producto Original. 
SKU: 72598ST. 
OEM: G-551021T, GR55598, 339115. 
Marca: MONROE.
Aplicación: AMORTIGUADOR, DELT.IZQ.TOYOTA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</si>
  <si>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G-551021T, GR55598, 339115</t>
  </si>
  <si>
    <t>72599ST</t>
  </si>
  <si>
    <t xml:space="preserve">Producto Original. 
SKU: 72599ST. 
OEM: G-551019T, GR35599, 334328. 
Marca: VARIOS.
Aplicación: AMORTIGUADOR, TRAS.TOYOTA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</si>
  <si>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G-551019T, GR35599, 334328</t>
  </si>
  <si>
    <t>AMORTIGUADOR DELANTERO DERECHO EXPLORER 11-13</t>
  </si>
  <si>
    <t>72620ST</t>
  </si>
  <si>
    <t xml:space="preserve">Producto Original. 
SKU: 72620ST. 
OEM: ASH-12242, ASH-12243, DB53-18045. 
Marca: VARIOS.
Aplicación: AMORTIGUADOR, DELT.DER.EXPLORER 11-13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</si>
  <si>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ASH-12242, ASH-12243, DB53-18045</t>
  </si>
  <si>
    <t>AMORTIGUADOR DELANTERO IZQUIERDO EXPLORER 11-13</t>
  </si>
  <si>
    <t>72621ST</t>
  </si>
  <si>
    <t xml:space="preserve">Producto Original. 
SKU: 72621ST. 
OEM: ASH-12240, ASH-12241, DB53-18K001. 
Marca: VARIOS.
Aplicación: AMORTIGUADOR, DELT.IZQ.EXPLORER 11-13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</si>
  <si>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ASH-12240, ASH-12241, DB53-18K001</t>
  </si>
  <si>
    <t>AMORTIGUADOR DELANTERO IZQUIERDO CRUZE 11-16</t>
  </si>
  <si>
    <t>72664ST</t>
  </si>
  <si>
    <t xml:space="preserve">Producto Original. 
SKU: 72664ST. 
OEM: G-551061T, GR55664, 13331988, 13374236. 
Marca: MONROE.
Aplicación: AMORTIGUADOR, DELT.IZQ.CRUZE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</si>
  <si>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G-551061T, GR55664, 13331988, 13374236</t>
  </si>
  <si>
    <t>AMORTIGUADOR DELANTERO DERECHO EXPLORER 13-19</t>
  </si>
  <si>
    <t>72729ST</t>
  </si>
  <si>
    <t xml:space="preserve">Producto Original. 
SKU: 72729ST. 
OEM: ASH-12242, ASH-12243, DB53-18045. 
Marca: VARIOS.
Aplicación: AMORTIGUADOR, DELT.DER.EXPLORER 13-19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</si>
  <si>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EXPLORER 13-19</t>
  </si>
  <si>
    <t>72730ST</t>
  </si>
  <si>
    <t xml:space="preserve">Producto Original. 
SKU: 72730ST. 
OEM: ASH-12240, ASH-12241, DB53-18K001. 
Marca: VARIOS.
Aplicación: AMORTIGUADOR, DELT.IZQ.EXPLORER 13-19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</si>
  <si>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FIESTA 14-19 TITANIUM</t>
  </si>
  <si>
    <t>72778ST</t>
  </si>
  <si>
    <t xml:space="preserve">Producto Original. 
SKU: 72778ST. 
OEM: GR55778, 72778. 
Marca: MONROE.
Aplicación: AMORTIGUADOR, DELT.DER.FIESTA 14-19 TITANIUM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</si>
  <si>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GR55778, 72778</t>
  </si>
  <si>
    <t>AMORTIGUADOR DELANTERO IZQUIERDO FIESTA 14-19 TITANIUM</t>
  </si>
  <si>
    <t>72779ST</t>
  </si>
  <si>
    <t xml:space="preserve">Producto Original. 
SKU: 72779ST. 
OEM: GR55779, 72779. 
Marca: MONROE.
Aplicación: AMORTIGUADOR, DELT.IZQ.FIESTA 14-19 TITANIUM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</si>
  <si>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GR55779, 72779</t>
  </si>
  <si>
    <t>72940ST</t>
  </si>
  <si>
    <t xml:space="preserve">Producto Original. 
SKU: 72940ST. 
OEM: N/A. 
Marca: MONROE.
Aplicación: AMORTIGUADOR, DELT.DER.TOYOTA CAMRY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</si>
  <si>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72941ST</t>
  </si>
  <si>
    <t xml:space="preserve">Producto Original. 
SKU: 72941ST. 
OEM: N/A. 
Marca: MONROE.
Aplicación: AMORTIGUADOR, DELT.IZQ.TOYOTA CAMRY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</si>
  <si>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HONDA ACCORD 13-17 ACURA TLX</t>
  </si>
  <si>
    <t>72970ST</t>
  </si>
  <si>
    <t xml:space="preserve">Producto Original. 
SKU: 72970ST. 
OEM: N/A. 
Marca: MONROE.
Aplicación: AMORTIGUADOR, DELT.DER.HONDA ACCORD 13-17 ACURA TLX 15-20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</si>
  <si>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ACCORD 13-17 ACURA TL</t>
  </si>
  <si>
    <t>72971ST</t>
  </si>
  <si>
    <t xml:space="preserve">Producto Original. 
SKU: 72971ST. 
OEM: N/A. 
Marca: MONROE.
Aplicación: AMORTIGUADOR, DELT.IZQ.HONDA ACCORD 13-17 ACURA TLX 15-20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</si>
  <si>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ACCORD 13-17</t>
  </si>
  <si>
    <t>72984ST</t>
  </si>
  <si>
    <t xml:space="preserve">Producto Original. 
SKU: 72984ST. 
OEM: N/A. 
Marca: MONROE.
Aplicación: AMORTIGUADOR, TRAS.HONDA ACCORD 13-17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</si>
  <si>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COROLLA 15-19</t>
  </si>
  <si>
    <t>72989ST</t>
  </si>
  <si>
    <t xml:space="preserve">Producto Original. 
SKU: 72989ST. 
OEM: G-551064T. 
Marca: MONROE.
Aplicación: AMORTIGUADOR, DELT.DER.TOYOTA COROLLA 15-19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</si>
  <si>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G-551064T</t>
  </si>
  <si>
    <t>AMORTIGUADOR DELANTERO IZQUIERDO TOYOTA COROLLA 15-19</t>
  </si>
  <si>
    <t>72990ST</t>
  </si>
  <si>
    <t xml:space="preserve">Producto Original. 
SKU: 72990ST. 
OEM: G-551063T. 
Marca: VARIOS.
Aplicación: AMORTIGUADOR, DELT.IZQ.TOYOTA COROLLA 15-19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</si>
  <si>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G-551063T</t>
  </si>
  <si>
    <t>AMORTIGUADOR TRASERO TOYOTA COROLLA 15-19</t>
  </si>
  <si>
    <t>72991ST</t>
  </si>
  <si>
    <t xml:space="preserve">Producto Original. 
SKU: 72991ST. 
OEM: G-551065T. 
Marca: VARIOS.
Aplicación: AMORTIGUADOR, TRAS.TOYOTA COROLLA 15-19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</si>
  <si>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G-551065T</t>
  </si>
  <si>
    <t>72992ST</t>
  </si>
  <si>
    <t xml:space="preserve">Producto Original. 
SKU: 72992ST. 
OEM: N/A. 
Marca: MONROE.
Aplicación: AMORTIGUADOR, DELT.DER.TOYOTA CAMRY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</si>
  <si>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72993ST</t>
  </si>
  <si>
    <t xml:space="preserve">Producto Original. 
SKU: 72993ST. 
OEM: N/A. 
Marca: MONROE.
Aplicación: AMORTIGUADOR, DELT.IZQ.TOYOTA CAMRY 12-17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</si>
  <si>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HYUNDAI SANTA FE 07-09</t>
  </si>
  <si>
    <t>73047ST</t>
  </si>
  <si>
    <t xml:space="preserve">Producto Original. 
SKU: 73047ST. 
OEM: N/A. 
Marca: MONROE.
Aplicación: AMORTIGUADOR, DELT.HYUNDAI SANTA FE 07-09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</si>
  <si>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73064</t>
  </si>
  <si>
    <t xml:space="preserve">Producto Original. 
SKU: 73064. 
OEM: G-23110, 32228, 34927, 5049N, GR75927. 
Marca: GABRIEL.
Aplicación: AMORTIGUADOR, TRAS.F-150 80-84 4X2 BRONCO 80-96 F-100 80-83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</si>
  <si>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GRAND CHEROKEE 16-22 WK2 4G D</t>
  </si>
  <si>
    <t>73077ST</t>
  </si>
  <si>
    <t xml:space="preserve">Producto Original. 
SKU: 73077ST. 
OEM: 73077, GR55077. 
Marca: MONROE.
Aplicación: AMORTIGUADOR, DELT.DER.GRAND CHEROKEE 16-22 WK2 4G DURANGO 16-23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</si>
  <si>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73077, GR55077</t>
  </si>
  <si>
    <t>AMORTIGUADOR DELANTERO IZQUIERDO GRAND CHEROKEE 16-22 WK2 4G</t>
  </si>
  <si>
    <t>73078ST</t>
  </si>
  <si>
    <t xml:space="preserve">Producto Original. 
SKU: 73078ST. 
OEM: 73078, GR55078. 
Marca: MONROE.
Aplicación: AMORTIGUADOR, DELT.IZQ.GRAND CHEROKEE 16-22 WK2 4G DURANGO 16-23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</si>
  <si>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73078, GR55078</t>
  </si>
  <si>
    <t>AMORTIGUADOR DELANTERO DERECHO TOYOTA CAMRY 2 4 18-24</t>
  </si>
  <si>
    <t>73149ST</t>
  </si>
  <si>
    <t xml:space="preserve">Producto Original. 
SKU: 73149ST. 
OEM: N/A. 
Marca: MONROE.
Aplicación: AMORTIGUADOR, DELT.DER.TOYOTA CAMRY 2.4 18-24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</si>
  <si>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CAMRY 2 4 18-24</t>
  </si>
  <si>
    <t>73150ST</t>
  </si>
  <si>
    <t xml:space="preserve">Producto Original. 
SKU: 73150ST. 
OEM: N/A. 
Marca: MONROE.
Aplicación: AMORTIGUADOR, DELT.IZQ.TOYOTA CAMRY 2.4 18-24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</si>
  <si>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CAMRY 3 5 18-24</t>
  </si>
  <si>
    <t>73151ST</t>
  </si>
  <si>
    <t xml:space="preserve">Producto Original. 
SKU: 73151ST. 
OEM: N/A. 
Marca: MONROE.
Aplicación: AMORTIGUADOR, DELT.DER.TOYOTA CAMRY 3.5 18-24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</si>
  <si>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CAMRY 3 5 18-24</t>
  </si>
  <si>
    <t>73152ST</t>
  </si>
  <si>
    <t xml:space="preserve">Producto Original. 
SKU: 73152ST. 
OEM: N/A. 
Marca: MONROE.
Aplicación: AMORTIGUADOR, DELT.IZQ.TOYOTA CAMRY 3.5 18-24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</si>
  <si>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HONDA ACCORD 18-22</t>
  </si>
  <si>
    <t>73153ST</t>
  </si>
  <si>
    <t xml:space="preserve">Producto Original. 
SKU: 73153ST. 
OEM: N/A. 
Marca: MONROE.
Aplicación: AMORTIGUADOR, DELT.IZQ.HONDA ACCORD 18-22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</si>
  <si>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73154ST</t>
  </si>
  <si>
    <t xml:space="preserve">Producto Original. 
SKU: 73154ST. 
OEM: N/A. 
Marca: MONROE.
Aplicación: AMORTIGUADOR, DELT.IZQ.HONDA ACCORD 18-22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</si>
  <si>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LUMINA 95-01 MONTE CARLO 95-99 CARTUC</t>
  </si>
  <si>
    <t>https://http2.mlstatic.com/D_951141-MLV110260106966_052026-O.jpg</t>
  </si>
  <si>
    <t>73267ST</t>
  </si>
  <si>
    <t xml:space="preserve">Producto Original. 
SKU: 73267ST. 
OEM: N/A. 
Marca: MONROE.
Aplicación: AMORTIGUADOR, DELT.LUMINA 95-01 MONTE CARLO 95-99 (CARTUCHO)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</si>
  <si>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BLUE BIRD ENCAVA 48 PUESTOS</t>
  </si>
  <si>
    <t>74001</t>
  </si>
  <si>
    <t xml:space="preserve">Producto Original. 
SKU: 74001. 
OEM: 74471. 
Marca: VARIOS.
Aplicación: AMORTIGUADOR, DELT.BLUE BIRD ENCAVA 48 PUESTOS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</si>
  <si>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74471</t>
  </si>
  <si>
    <t>AMORTIGUADOR TRASERO BLUE BIRD ENCAVA 48 PUESTOS</t>
  </si>
  <si>
    <t>74003</t>
  </si>
  <si>
    <t xml:space="preserve">Producto Original. 
SKU: 74003. 
OEM: 74454. 
Marca: VARIOS.
Aplicación: AMORTIGUADOR, TRAS.BLUE BIRD ENCAVA 48 PUESTOS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</si>
  <si>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74454</t>
  </si>
  <si>
    <t>AMORTIGUADOR DELANTERO FORD F700-F750-F800-F850-F950-F-1000-</t>
  </si>
  <si>
    <t>76122</t>
  </si>
  <si>
    <t xml:space="preserve">Producto Original. 
SKU: 76122. 
OEM: N/A. 
Marca: GABRIEL.
Aplicación: AMORTIGUADOR, DELT.FORD F700-F750-F800-F850-F950-F-1000-F1100 57-60-F6000-F7000 62-69-INTERNATIONAL HARVESTER 56-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</si>
  <si>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FORD F-600 F-750 70-79</t>
  </si>
  <si>
    <t>76614</t>
  </si>
  <si>
    <t xml:space="preserve">Producto Original. 
SKU: 76614. 
OEM: N/A. 
Marca: GABRIEL.
Aplicación: AMORTIGUADOR, DELT.FORD F-600 F-750 70-79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</si>
  <si>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ECOSPORT 03-09</t>
  </si>
  <si>
    <t>https://http2.mlstatic.com/D_752720-MLV110260168256_052026-O.jpg</t>
  </si>
  <si>
    <t>7N15-18097-AB</t>
  </si>
  <si>
    <t xml:space="preserve">Producto Original. 
SKU: 7N15-18097-AB. 
OEM: G-22208T, 32717N, GR25207. 
Marca: FORD.
Aplicación: AMORTIGUADOR, TRAS.ECOSPORT 03-09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</si>
  <si>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FORD</t>
  </si>
  <si>
    <t>G-22208T, 32717N, GR25207</t>
  </si>
  <si>
    <t>AMORTIGUADOR TRASERO CHEVROLET LUV D-MAX 4X4</t>
  </si>
  <si>
    <t>801230N</t>
  </si>
  <si>
    <t xml:space="preserve">Producto Original. 
SKU: 801230N. 
OEM: 34802. 
Marca: MONROE NACIONAL.
Aplicación: AMORTIGUADOR, TRAS.CHEV LUV D-MAX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</si>
  <si>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HONDA ACCORD 90-93</t>
  </si>
  <si>
    <t>https://http2.mlstatic.com/D_680083-MLV111187055591_052026-O.jpg</t>
  </si>
  <si>
    <t>801241</t>
  </si>
  <si>
    <t xml:space="preserve">Producto Original. 
SKU: 801241. 
OEM: N/A. 
Marca: MONROE.
Aplicación: AMORTIGUADOR, TRAS.HONDA ACCORD 90-93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</si>
  <si>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96-02 TACOMA 01-04 PRA</t>
  </si>
  <si>
    <t>801351</t>
  </si>
  <si>
    <t xml:space="preserve">Producto Original. 
SKU: 801351. 
OEM: N/A. 
Marca: VARIOS.
Aplicación: AMORTIGUADOR DELT.TOYOTA 4RUNNER 96-02 TACOMA 01-04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</si>
  <si>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4RUNNER 96-02 TACOMA 01-04 MER</t>
  </si>
  <si>
    <t xml:space="preserve">Producto Original. 
SKU: 801351. 
OEM: N/A. 
Marca: VARIOS.
Aplicación: AMORTIGUADOR DELT.TOYOTA 4RUNNER 96-02 TACOMA 01-04 MERU 04-09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</si>
  <si>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801662</t>
  </si>
  <si>
    <t xml:space="preserve">Producto Original. 
SKU: 801662. 
OEM: 71662ST, GR55662, MP-8273. 
Marca: VARIOS.
Aplicación: AMORTIGUADOR TRAS.CENTURY 97-05 IMPALA 00-09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</si>
  <si>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71662ST, GR55662, MP-8273</t>
  </si>
  <si>
    <t xml:space="preserve">Producto Original. 
SKU: 801662. 
OEM: 71662ST, GR55662, MP-8273. 
Marca: VARIOS.
Aplicación: AMORTIGUADOR TRAS.CENTURY 97-05 MONTE CARLO 00-07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</si>
  <si>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LUMINA 97-01 MONTE CARLO 97-99</t>
  </si>
  <si>
    <t>801663</t>
  </si>
  <si>
    <t xml:space="preserve">Producto Original. 
SKU: 801663. 
OEM: 71663. 
Marca: VARIOS.
Aplicación: AMORTIGUADOR, TRAS.LUMINA 97-01 MONTE CARLO 97-99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</si>
  <si>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71663</t>
  </si>
  <si>
    <t>AMORTIGUADOR DELANTERO MALIBU 97-03</t>
  </si>
  <si>
    <t>801672</t>
  </si>
  <si>
    <t xml:space="preserve">Producto Original. 
SKU: 801672. 
OEM: N/A. 
Marca: VARIOS.
Aplicación: AMORTIGUADOR, DELT.MALIBU 97-03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</si>
  <si>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801680</t>
  </si>
  <si>
    <t xml:space="preserve">Producto Original. 
SKU: 801680. 
OEM: N/A. 
Marca: VARIOS.
Aplicación: AMORTIGUADOR, TRAS.DER.TOYOTA CAMRY 92-01 AVALON 95-03 SOLARA 99-03 LEXUS ES300 92-01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</si>
  <si>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801681</t>
  </si>
  <si>
    <t xml:space="preserve">Producto Original. 
SKU: 801681. 
OEM: N/A. 
Marca: VARIOS.
Aplicación: AMORTIGUADOR, TRAS.IZQ.TOYOTA CAMRY 92-01 AVALON 95-03 SOLARA 99-03 LEXUS ES300 92-01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</si>
  <si>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CENTURY 82-84 CELEBRITY 82-84</t>
  </si>
  <si>
    <t>https://http2.mlstatic.com/D_962668-MLV111185633423_052026-O.jpg</t>
  </si>
  <si>
    <t>801708</t>
  </si>
  <si>
    <t xml:space="preserve">Producto Original. 
SKU: 801708. 
OEM: 71708. 
Marca: MONROE.
Aplicación: AMORTIGUADOR, DELT.CENTURY 82-84 CELEBRITY 82-84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</si>
  <si>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71708</t>
  </si>
  <si>
    <t>AMORTIGUADOR DELANTERO CAMARO 82-92 FIREBIRD 82-92</t>
  </si>
  <si>
    <t>801728</t>
  </si>
  <si>
    <t xml:space="preserve">Producto Original. 
SKU: 801728. 
OEM: N/A. 
Marca: MONROE.
Aplicación: AMORTIGUADOR, DELT.CAMARO 82-92 FIREBIRD 82-92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</si>
  <si>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CENTURY 84-96 CELEBRITY 84-90</t>
  </si>
  <si>
    <t>https://http2.mlstatic.com/D_601048-MLV110261089870_052026-O.jpg</t>
  </si>
  <si>
    <t>801771</t>
  </si>
  <si>
    <t xml:space="preserve">Producto Original. 
SKU: 801771. 
OEM: G-35808H, MP-8008, GR55708. 
Marca: VARIOS.
Aplicación: AMORTIGUADOR, DELT.CENTURY 84-96 CELEBRITY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</si>
  <si>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G-35808H, MP-8008, GR55708</t>
  </si>
  <si>
    <t>AMORTIGUADOR DELANTERO IZQUIERDO TOYOTA COROLLA 84-89 AE82 A</t>
  </si>
  <si>
    <t>https://http2.mlstatic.com/D_621662-MLV110259994094_052026-O.jpg</t>
  </si>
  <si>
    <t>801776</t>
  </si>
  <si>
    <t xml:space="preserve">Producto Original. 
SKU: 801776. 
OEM: 71776ST, G-55900. 
Marca: MONROE.
Aplicación: AMORTIGUADOR, DELT.IZQ.TOYOTA COROLLA 84-89 (AE82 AVILA)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</si>
  <si>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71776ST, G-55900</t>
  </si>
  <si>
    <t>AMORTIGUADOR DELANTERO CARAVAN 86-95 GRAND CARAVAN 87-95 TOW</t>
  </si>
  <si>
    <t>https://http2.mlstatic.com/D_775939-MLV111187202099_052026-O.jpg</t>
  </si>
  <si>
    <t>801833</t>
  </si>
  <si>
    <t xml:space="preserve">Producto Original. 
SKU: 801833. 
OEM: 802591, G-55525. 
Marca: MONROE.
Aplicación: AMORTIGUADOR, DELT.CARAVAN 86-95 GRAND CARAVAN 87-95 TOWN &amp; COUNTRY 90-95 GRAND VOYAGER 87-95 (POCA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</si>
  <si>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802591, G-55525</t>
  </si>
  <si>
    <t>AMORTIGUADOR DELANTERO DERECHO TOYOTA COROLLA 90-93 AE92 ARA</t>
  </si>
  <si>
    <t>801857</t>
  </si>
  <si>
    <t xml:space="preserve">Producto Original. 
SKU: 801857. 
OEM: G-55904T. 
Marca: MONROE.
Aplicación: AMORTIGUADOR, DELT.DER.TOYOTA COROLLA 90-93 (AE92 ARAYA SKY)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</si>
  <si>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G-55904T</t>
  </si>
  <si>
    <t>AMORTIGUADOR DELANTERO IZQUIERDO TOYOTA COROLLA 90-93 AE92 A</t>
  </si>
  <si>
    <t>801858</t>
  </si>
  <si>
    <t xml:space="preserve">Producto Original. 
SKU: 801858. 
OEM: N/A. 
Marca: VARIOS.
Aplicación: AMORTIGUADOR, DELT.IZQ.TOYOTA COROLLA 90-93 (AE92 ARAYA SKY)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</si>
  <si>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https://http2.mlstatic.com/D_921276-MLV110260141988_052026-O.jpg</t>
  </si>
  <si>
    <t>801871</t>
  </si>
  <si>
    <t xml:space="preserve">Producto Original. 
SKU: 801871. 
OEM: GR55871, MP8104, 333089, G-55658. 
Marca: MONROE.
Aplicación: AMORTIGUADOR, DELT.DER.NISSAN SENTRA 91-95 B13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</si>
  <si>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GR55871, MP8104, 333089, G-55658</t>
  </si>
  <si>
    <t>https://http2.mlstatic.com/D_873115-MLV111186790699_052026-O.jpg</t>
  </si>
  <si>
    <t>801872</t>
  </si>
  <si>
    <t xml:space="preserve">Producto Original. 
SKU: 801872. 
OEM: GR55872, MP8105, 333090, G-55657. 
Marca: MONROE.
Aplicación: AMORTIGUADOR, DELT.IZQ.NISSAN SENTRA 91-95 B13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</si>
  <si>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GR55872, MP8105, 333090, G-55657</t>
  </si>
  <si>
    <t>AMORTIGUADOR DELANTERO MAZDA 323 COLOMB 90-94 ESCORT MERCURY</t>
  </si>
  <si>
    <t>https://http2.mlstatic.com/D_638296-MLV111185633469_052026-O.jpg</t>
  </si>
  <si>
    <t>801878</t>
  </si>
  <si>
    <t xml:space="preserve">Producto Original. 
SKU: 801878. 
OEM: 746718. 
Marca: VARIOS.
Aplicación: AMORTIGUADOR, DELT.MAZDA 323 COLOMB 90-94 ESCORT MERCURY TRACER 91-96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</si>
  <si>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746718</t>
  </si>
  <si>
    <t>AMORTIGUADOR TRASERO MAZDA 323 90-94 PROTEGE 80-94 TRACER 91</t>
  </si>
  <si>
    <t>801880</t>
  </si>
  <si>
    <t xml:space="preserve">Producto Original. 
SKU: 801880. 
OEM: N/A. 
Marca: MONROE.
Aplicación: AMORTIGUADOR, TRAS.MAZDA 323 90-94 PROTEGE 80-94 TRACER 91-96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</si>
  <si>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CAVALIER 92-94</t>
  </si>
  <si>
    <t>https://http2.mlstatic.com/D_812877-MLV110259994148_052026-O.jpg,https://http2.mlstatic.com/D_935787-MLV110260082118_052026-O.jpg</t>
  </si>
  <si>
    <t>801927</t>
  </si>
  <si>
    <t xml:space="preserve">Producto Original. 
SKU: 801927. 
OEM: G-56705, 801927. 
Marca: MONROE.
Aplicación: AMORTIGUADOR, DELT.IZQ.CAVALIER 92-94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</si>
  <si>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G-56705, 801927</t>
  </si>
  <si>
    <t>801951</t>
  </si>
  <si>
    <t xml:space="preserve">Producto Original. 
SKU: 801951. 
OEM: N/A. 
Marca: VARIOS.
Aplicación: AMORTIGUADOR DELT.DER.TOYOTA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</si>
  <si>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801951. 
OEM: N/A. 
Marca: VARIOS.
Aplicación: AMORTIGUADOR DELT.DER.TOYOTA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</si>
  <si>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https://http2.mlstatic.com/D_909363-MLV111185603417_052026-O.jpg</t>
  </si>
  <si>
    <t>801952</t>
  </si>
  <si>
    <t xml:space="preserve">Producto Original. 
SKU: 801952. 
OEM: 71952ST, G-55908T. 
Marca: MONROE.
Aplicación: AMORTIGUADOR DELT.IZQ.TOYOTA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</si>
  <si>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801952. 
OEM: 71952ST, G-55908T. 
Marca: MONROE.
Aplicación: AMORTIGUADOR DELT.IZQ.TOYOTA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</si>
  <si>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801953</t>
  </si>
  <si>
    <t xml:space="preserve">Producto Original. 
SKU: 801953. 
OEM: N/A. 
Marca: VARIOS.
Aplicación: AMORTIGUADOR TRAS.DER.TOYOTA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</si>
  <si>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801953. 
OEM: N/A. 
Marca: VARIOS.
Aplicación: AMORTIGUADOR TRAS.DER.TOYOTA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</si>
  <si>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https://http2.mlstatic.com/D_919346-MLV111187262119_052026-O.jpg</t>
  </si>
  <si>
    <t>801954</t>
  </si>
  <si>
    <t xml:space="preserve">Producto Original. 
SKU: 801954. 
OEM: 71954ST, G-55910H. 
Marca: MONROE.
Aplicación: AMORTIGUADOR TRAS.IZQ.TOYOTA COROLLA 94-02 BABY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</si>
  <si>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71954ST, G-55910H</t>
  </si>
  <si>
    <t xml:space="preserve">Producto Original. 
SKU: 801954. 
OEM: 71954ST, G-55910H. 
Marca: MONROE.
Aplicación: AMORTIGUADOR TRAS.IZQ.TOYOTA CAMRY SAPITO PANTALLITA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</si>
  <si>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CARAVAN 96-00 GRAND CARAVAN 96-00 TOW</t>
  </si>
  <si>
    <t>https://http2.mlstatic.com/D_672929-MLV111185693535_052026-O.jpg</t>
  </si>
  <si>
    <t>801964</t>
  </si>
  <si>
    <t xml:space="preserve">Producto Original. 
SKU: 801964. 
OEM: G-55697. 
Marca: MONROE.
Aplicación: AMORTIGUADOR, DELT.CARAVAN 96-00 GRAND CARAVAN 96-00 TOWN &amp; COUNTRY 96-00 GRAND VOYAGER 96-00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</si>
  <si>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G-55697</t>
  </si>
  <si>
    <t>https://http2.mlstatic.com/D_988578-MLV111186700593_052026-O.jpg</t>
  </si>
  <si>
    <t>801968</t>
  </si>
  <si>
    <t xml:space="preserve">Producto Original. 
SKU: 801968. 
OEM: 71968ST, 333192. 
Marca: MONROE.
Aplicación: AMORTIGUADOR, DELT.DER.NISSAN SENTRA 95-99 B14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</si>
  <si>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71968ST, 333192</t>
  </si>
  <si>
    <t>802115N</t>
  </si>
  <si>
    <t xml:space="preserve">Producto Original. 
SKU: 802115N. 
OEM: G-35873, 72114ST. 
Marca: MONROE NACIONAL.
Aplicación: AMORTIGUADOR, DELT.DER.TOYOTA COROLLA 03-08 (NEW SENSATION)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</si>
  <si>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G-35873, 72114ST</t>
  </si>
  <si>
    <t>https://http2.mlstatic.com/D_800549-MLV110261060656_052026-O.jpg</t>
  </si>
  <si>
    <t>802368</t>
  </si>
  <si>
    <t xml:space="preserve">Producto Original. 
SKU: 802368. 
OEM: G-551057T, 72368ST, GR55368, 05105171AH, 334643, 331789L, G-. 
Marca: VARIOS.
Aplicación: AMORTIGUADOR, DELT.IZQ.CALIBER 06-12 COMPASS 07-10 PATRIOT 07-10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</si>
  <si>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803503</t>
  </si>
  <si>
    <t xml:space="preserve">Producto Original. 
SKU: 803503. 
OEM: N/A. 
Marca: MONROE.
Aplicación: DESCONTINUADO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</si>
  <si>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803504</t>
  </si>
  <si>
    <t xml:space="preserve">Producto Original. 
SKU: 803504. 
OEM: G-55987T, 713096N, GR55096. 
Marca: MONROE.
Aplicación: AMORTIGUADOR, TRAS.IZQ.OPTRA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</si>
  <si>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KIA RIO 05-11</t>
  </si>
  <si>
    <t>808044</t>
  </si>
  <si>
    <t xml:space="preserve">Producto Original. 
SKU: 808044. 
OEM: 72246, 0K32B28700, 0K32B34700, 0K32B34900. 
Marca: VARIOS.
Aplicación: AMORTIGUADOR, DELT.DER.KIA RIO 05-11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</si>
  <si>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72246, 0K32B28700, 0K32B34700, 0K32B34900</t>
  </si>
  <si>
    <t>AMORTIGUADOR DELANTERO IZQUIERDO KIA RIO 05-11</t>
  </si>
  <si>
    <t>808045</t>
  </si>
  <si>
    <t xml:space="preserve">Producto Original. 
SKU: 808045. 
OEM: 72247, 0K32B28700, 0K32B34700, 0K32B34900. 
Marca: VARIOS.
Aplicación: AMORTIGUADOR, DELT.IZQ.KIA RIO 05-11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</si>
  <si>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72247, 0K32B28700, 0K32B34700, 0K32B34900</t>
  </si>
  <si>
    <t>AMORTIGUADOR DELANTERO MERCEDES SPRINTER</t>
  </si>
  <si>
    <t>808121</t>
  </si>
  <si>
    <t xml:space="preserve">Producto Original. 
SKU: 808121. 
OEM: LA95201. 
Marca: VARIOS.
Aplicación: AMORTIGUADOR, DELT.MERCEDES SPRINTER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</si>
  <si>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LA95201</t>
  </si>
  <si>
    <t>AMORTIGUADOR DELANTERO DERECHO HYUNDAI ELANTRA 96-12 TIBURON</t>
  </si>
  <si>
    <t>808124</t>
  </si>
  <si>
    <t xml:space="preserve">Producto Original. 
SKU: 808124. 
OEM: LAG16351. 
Marca: VARIOS.
Aplicación: AMORTIGUADOR, DELT.DER.HYUNDAI ELANTRA 96-12 TIBURON 97-02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</si>
  <si>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LAG16351</t>
  </si>
  <si>
    <t>AMORTIGUADOR DELANTERO DERECHO KIA PICANTO 04-11</t>
  </si>
  <si>
    <t>808126</t>
  </si>
  <si>
    <t xml:space="preserve">Producto Original. 
SKU: 808126. 
OEM: G-551030, 54660-07100, LAG7025. 
Marca: VARIOS.
Aplicación: AMORTIGUADOR, DELT.DER.KIA PICANTO 04-11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</si>
  <si>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G-551030, 54660-07100, LAG7025</t>
  </si>
  <si>
    <t>AMORTIGUADOR DELANTERO IZQUIERDO KIA PICANTO 04-11</t>
  </si>
  <si>
    <t>808127</t>
  </si>
  <si>
    <t xml:space="preserve">Producto Original. 
SKU: 808127. 
OEM: G-551030, 54650-07100, LAG7026. 
Marca: VARIOS.
Aplicación: AMORTIGUADOR, DELT.IZQ.KIA PICANTO 04-11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</si>
  <si>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G-551030, 54650-07100, LAG7026</t>
  </si>
  <si>
    <t>808167</t>
  </si>
  <si>
    <t xml:space="preserve">Producto Original. 
SKU: 808167. 
OEM: G-56800, 72144ST. 
Marca: VARIOS.
Aplicación: AMORTIGUADOR, DELT.IZQ.HONDA CR-V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</si>
  <si>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G-56800, 72144ST</t>
  </si>
  <si>
    <t>AMORTIGUADOR DELANTERO IZQUIERDO HONDA CR-V 07-14</t>
  </si>
  <si>
    <t>808204</t>
  </si>
  <si>
    <t xml:space="preserve">Producto Original. 
SKU: 808204. 
OEM: 72492ST. 
Marca: VARIOS.
Aplicación: AMORTIGUADOR, DELT.IZQ.HONDA CR-V 07-14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</si>
  <si>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HYUNDAI ACCENT 99-03</t>
  </si>
  <si>
    <t>808205</t>
  </si>
  <si>
    <t xml:space="preserve">Producto Original. 
SKU: 808205. 
OEM: LA11339. 
Marca: VARIOS.
Aplicación: AMORTIGUADOR, DELT.DER.HYUNDAI ACCENT 99-03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</si>
  <si>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LA11339</t>
  </si>
  <si>
    <t>AMORTIGUADOR DELANTERO IZQUIERDO HYUNDAI ACCENT 99-03</t>
  </si>
  <si>
    <t>808206</t>
  </si>
  <si>
    <t xml:space="preserve">Producto Original. 
SKU: 808206. 
OEM: LA11340. 
Marca: VARIOS.
Aplicación: AMORTIGUADOR, DELT.IZQ.HYUNDAI ACCENT 99-03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</si>
  <si>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LA11340</t>
  </si>
  <si>
    <t>AMORTIGUADOR TRASERO DERECHO HYUNDAI ELANTRA XD- TIBURON 00/</t>
  </si>
  <si>
    <t>808207</t>
  </si>
  <si>
    <t xml:space="preserve">Producto Original. 
SKU: 808207. 
OEM: LA71406ST. 
Marca: VARIOS.
Aplicación: AMORTIGUADOR, TRAS.DER.HYUNDAI ELANTRA XD- TIBURON          00/06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</si>
  <si>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LA71406ST</t>
  </si>
  <si>
    <t>AMORTIGUADOR TRASERO IZQUIERDO MAZDA ALLEGRO</t>
  </si>
  <si>
    <t>808217</t>
  </si>
  <si>
    <t xml:space="preserve">Producto Original. 
SKU: 808217. 
OEM: LA16321. 
Marca: VARIOS.
Aplicación: AMORTIGUADOR, TRAS.IZQ.MAZDA ALLEGRO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</si>
  <si>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LA16321</t>
  </si>
  <si>
    <t>AMORTIGUADOR DELANTERO IZQUIERDO FOCUS 12-13</t>
  </si>
  <si>
    <t>808395</t>
  </si>
  <si>
    <t xml:space="preserve">Producto Original. 
SKU: 808395. 
OEM: N/A. 
Marca: VARIOS.
Aplicación: AMORTIGUADOR, DELT.IZQ.FOCUS 12-13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</si>
  <si>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FOCUS 12-13</t>
  </si>
  <si>
    <t>808396</t>
  </si>
  <si>
    <t xml:space="preserve">Producto Original. 
SKU: 808396. 
OEM: N/A. 
Marca: VARIOS.
Aplicación: AMORTIGUADOR, DELT.DER.FOCUS 12-13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</si>
  <si>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808442</t>
  </si>
  <si>
    <t xml:space="preserve">Producto Original. 
SKU: 808442. 
OEM: G-551021T, GR55598, 72598ST, 339115. 
Marca: VARIOS.
Aplicación: AMORTIGUADOR, DELT.IZQ.TOYOTA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</si>
  <si>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G-551021T, GR55598, 72598ST, 339115</t>
  </si>
  <si>
    <t>AMORTIGUADOR DELANTERO DERECHO MAZDA 323 98-04</t>
  </si>
  <si>
    <t>808449</t>
  </si>
  <si>
    <t xml:space="preserve">Producto Original. 
SKU: 808449. 
OEM: N/A. 
Marca: VARIOS.
Aplicación: AMORTIGUADOR, DELT.DER.MAZDA 323 98-04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</si>
  <si>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MAZDA 323 98-04</t>
  </si>
  <si>
    <t>808450</t>
  </si>
  <si>
    <t xml:space="preserve">Producto Original. 
SKU: 808450. 
OEM: N/A. 
Marca: VARIOS.
Aplicación: AMORTIGUADOR, DELT.IZQ.MAZDA 323 98-04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</si>
  <si>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811229N</t>
  </si>
  <si>
    <t xml:space="preserve">Producto Original. 
SKU: 811229N. 
OEM: N/A. 
Marca: MONROE NACIONAL.
Aplicación: AMORTIGUADOR, DELT.F-150 80-96 BRONCO 80-96 (INTERNO) 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</si>
  <si>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MACK CX VISION GU-TD 713 GU 813 08-19 G</t>
  </si>
  <si>
    <t>https://http2.mlstatic.com/D_721569-MLV111185634205_052026-O.jpg</t>
  </si>
  <si>
    <t>83147</t>
  </si>
  <si>
    <t xml:space="preserve">Producto Original. 
SKU: 83147. 
OEM: 83136. 
Marca: GABRIEL.
Aplicación: AMORTIGUADOR, TRASERO MACK CX VISION GU-TD 713 GU 813 08-19 GRANITE 03-15 SERIE CHU613 CXN613 05-015 HENDRICKSON T USA 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</si>
  <si>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83136</t>
  </si>
  <si>
    <t>832154</t>
  </si>
  <si>
    <t xml:space="preserve">Producto Original. 
SKU: 832154. 
OEM: 5796ST, G-69464T, GR25796, 5985N. 
Marca: BOGE.
Aplicación: AMORTIGUADOR, TRAS.FOCUS 00-11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</si>
  <si>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BOGE</t>
  </si>
  <si>
    <t>5796ST, G-69464T, GR25796, 5985N</t>
  </si>
  <si>
    <t>AMORTIGUADOR TRASERO CAVALIER 95-05 SUNFIRE 95-05</t>
  </si>
  <si>
    <t>https://http2.mlstatic.com/D_652883-MLV110261090682_052026-O.jpg</t>
  </si>
  <si>
    <t>832295</t>
  </si>
  <si>
    <t xml:space="preserve">Producto Original. 
SKU: 832295. 
OEM: G-35848. 
Marca: BOGE.
Aplicación: AMORTIGUADOR, TRAS.CAVALIER 95-05 SUNFIRE 95-05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</si>
  <si>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G-35848</t>
  </si>
  <si>
    <t>https://http2.mlstatic.com/D_904865-MLV111186791549_052026-O.jpg</t>
  </si>
  <si>
    <t>832511</t>
  </si>
  <si>
    <t xml:space="preserve">Producto Original. 
SKU: 832511. 
OEM: G-23189T, GR25337, 5785ST. 
Marca: BOGE.
Aplicación: AMORTIGUADOR TRAS.MERIVA 03-08 MONTANA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</si>
  <si>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G-23189T, GR25337, 5785ST</t>
  </si>
  <si>
    <t xml:space="preserve">Producto Original. 
SKU: 832511. 
OEM: G-23189T, GR25337, 5785ST. 
Marca: BOGE.
Aplicación: AMORTIGUADOR TRAS.MERIVA 03-08 CORSA 10-11 1.8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</si>
  <si>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83359</t>
  </si>
  <si>
    <t xml:space="preserve">Producto Original. 
SKU: 83359. 
OEM: GR75750, 83359, 5079. 
Marca: GABRIEL.
Aplicación: AMORTIGUADOR, DELT.D-100 72-89 D-200 72-93 D-300 72-80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</si>
  <si>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GR75750, 83359, 5079</t>
  </si>
  <si>
    <t>83360</t>
  </si>
  <si>
    <t xml:space="preserve">Producto Original. 
SKU: 83360. 
OEM: 2127, 83360. 
Marca: GABRIEL.
Aplicación: AMORTIGUADOR, DELT.D-100 72-78 D-200 72-78 D-300 72-78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</si>
  <si>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GRAND BLAZER 92-98 4X2 C-1500 88-99 C</t>
  </si>
  <si>
    <t>https://http2.mlstatic.com/D_989065-MLV110260142884_052026-O.jpg</t>
  </si>
  <si>
    <t>835091</t>
  </si>
  <si>
    <t xml:space="preserve">Producto Original. 
SKU: 835091. 
OEM: G-23113E, 32224, 23129E, 37019ST, 835091, MM-6741. 
Marca: BOGE.
Aplicación: AMORTIGUADOR, DELT.GRAND BLAZER 92-98 4X2 C-1500 88-99 C-3500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</si>
  <si>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https://http2.mlstatic.com/D_987344-MLV110260172570_052026-O.jpg</t>
  </si>
  <si>
    <t>835092</t>
  </si>
  <si>
    <t xml:space="preserve">Producto Original. 
SKU: 835092. 
OEM: 32225, 34985. 
Marca: BOGE.
Aplicación: AMORTIGUADOR, TRAS.C-1500 88-99 C-3500 88-00 K-1500 91-99 K-3500 92-00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</si>
  <si>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32225, 34985</t>
  </si>
  <si>
    <t>https://http2.mlstatic.com/D_997895-MLV111186731317_052026-O.jpg</t>
  </si>
  <si>
    <t>835183</t>
  </si>
  <si>
    <t xml:space="preserve">Producto Original. 
SKU: 835183. 
OEM: 32253, 37035ST, G-23112, GR75035. 
Marca: BOGE.
Aplicación: AMORTIGUADOR, TRAS.EXPLORER 91-03 EXPLORER SPORT 01-03 SPORT TRAC 01-05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</si>
  <si>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835184</t>
  </si>
  <si>
    <t xml:space="preserve">Producto Original. 
SKU: 835184. 
OEM: 34655, 32302, G-23139E, 32340. 
Marca: BOGE.
Aplicación: AMORTIGUADOR, DELT.F-150 97-04 4X2 EXPEDITION 97-02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</si>
  <si>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34655, 32302, G-23139E, 32340</t>
  </si>
  <si>
    <t>https://http2.mlstatic.com/D_799712-MLV111185604241_052026-O.jpg</t>
  </si>
  <si>
    <t>835206</t>
  </si>
  <si>
    <t xml:space="preserve">Producto Original. 
SKU: 835206. 
OEM: 32326, 34675, G-23154E. 
Marca: BOGE.
Aplicación: AMORTIGUADOR, DELT.SILVERADO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</si>
  <si>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32326, 34675, G-23154E</t>
  </si>
  <si>
    <t>835207</t>
  </si>
  <si>
    <t xml:space="preserve">Producto Original. 
SKU: 835207. 
OEM: N/A. 
Marca: BOGE.
Aplicación: AMORTIGUADOR, TRAS.SILVERADO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</si>
  <si>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https://http2.mlstatic.com/D_603718-MLV111187232907_052026-O.jpg</t>
  </si>
  <si>
    <t>835241</t>
  </si>
  <si>
    <t xml:space="preserve">Producto Original. 
SKU: 835241. 
OEM: 32327, 34676, 53153, G-23153E. 
Marca: BOGE.
Aplicación: AMORTIGUADOR, TRAS.SILVERADO 1500 99-06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</si>
  <si>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32327, 34676, 53153, G-23153E</t>
  </si>
  <si>
    <t>83765N</t>
  </si>
  <si>
    <t xml:space="preserve">Producto Original. 
SKU: 83765N. 
OEM: 32316, G-21147E, GR75070, 37269ST. 
Marca: MONROE NACIONAL.
Aplicación: AMORTIGUADOR TRAS.GRAND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</si>
  <si>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83765N. 
OEM: 32316, G-21147E, GR75070, 37269ST. 
Marca: MONROE NACIONAL.
Aplicación: AMORTIGUADOR TRAS.GRAND VITARA 99-04 SIDEKICK 89-98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</si>
  <si>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ENCAVA 02-11 E-900 BLUEBIRD AUTOBUS 3</t>
  </si>
  <si>
    <t>85302</t>
  </si>
  <si>
    <t xml:space="preserve">Producto Original. 
SKU: 85302. 
OEM: N/A. 
Marca: GABRIEL.
Aplicación: AMORTIGUADOR, DELT.ENCAVA 02-11 E-900 BLUEBIRD AUTOBUS 3100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</si>
  <si>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88945357</t>
  </si>
  <si>
    <t xml:space="preserve">Producto Original. 
SKU: 88945357. 
OEM: 32225, 34985, 23100E, 835092, 37044ST, G-23100E, G-23104E. 
Marca: GENERAL MOTORS.
Aplicación: AMORTIGUADOR, TRAS.C-1500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</si>
  <si>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GENERAL MOTORS</t>
  </si>
  <si>
    <t>90002</t>
  </si>
  <si>
    <t xml:space="preserve">Producto Original. 
SKU: 90002. 
OEM: GR55371, G-35898T, 341340. 
Marca: MONROE.
Aplicación: AMORTIGUADOR DELT.TOYOTA 4RUNNER 03-20 FJ CRUISER 07-14 TACOMA 05-18 FORTUNER 05-15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</si>
  <si>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90002. 
OEM: GR55371, G-35898T, 341340. 
Marca: MONROE.
Aplicación: AMORTIGUADOR DELT.TOYOTA 4RUNNER 03-20 FJ CRUISER 07-14 TACOMA 05-18 HILUX KAVAK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</si>
  <si>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911173</t>
  </si>
  <si>
    <t xml:space="preserve">Producto Original. 
SKU: 911173. 
OEM: 34684, GR75684, G-23149E, ASH-23457. 
Marca: MONROE.
Aplicación: AMORTIGUADOR, DELT.FORD F-250 99-24 4X2 F-350 99-24 4X2 (SUPER DUTY) EXCURSION 00-05 4X2 RWD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</si>
  <si>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34684, GR75684, G-23149E, ASH-23457</t>
  </si>
  <si>
    <t>AMORTIGUADOR TRASERO MITSUBISHI MONTERO SPORT REFLEX 00-04</t>
  </si>
  <si>
    <t>911226</t>
  </si>
  <si>
    <t xml:space="preserve">Producto Original. 
SKU: 911226. 
OEM: 37226ST. 
Marca: VARIOS.
Aplicación: AMORTIGUADOR, TRAS.MITSUBISHI MONTERO SPORT REFLEX     00-04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</si>
  <si>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37226ST</t>
  </si>
  <si>
    <t>AMORTIGUADOR DELANTERO COLORADO 04-12</t>
  </si>
  <si>
    <t>https://http2.mlstatic.com/D_866095-MLV111187181465_052026-O.jpg</t>
  </si>
  <si>
    <t>911229</t>
  </si>
  <si>
    <t xml:space="preserve">Producto Original. 
SKU: 911229. 
OEM: N/A. 
Marca: MONROE.
Aplicación: AMORTIGUADOR, DELT.COLORADO 04-12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</si>
  <si>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COLORADO 04-12</t>
  </si>
  <si>
    <t>https://http2.mlstatic.com/D_689725-MLV111187241551_052026-O.jpg</t>
  </si>
  <si>
    <t>911230</t>
  </si>
  <si>
    <t xml:space="preserve">Producto Original. 
SKU: 911230. 
OEM: N/A. 
Marca: MONROE.
Aplicación: AMORTIGUADOR, TRAS.COLORADO 04-12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</si>
  <si>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EXPRESS 3500 03-18</t>
  </si>
  <si>
    <t>https://http2.mlstatic.com/D_676802-MLV111186800487_052026-O.jpg</t>
  </si>
  <si>
    <t>911257</t>
  </si>
  <si>
    <t xml:space="preserve">Producto Original. 
SKU: 911257. 
OEM: 32362, 34741, 911050, G-63489, 344265, 341596. 
Marca: MONROE.
Aplicación: AMORTIGUADOR, DELT.EXPRESS 3500 03-18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</si>
  <si>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32362, 34741, 911050, G-63489, 344265, 341596</t>
  </si>
  <si>
    <t>AMORTIGUADOR TRASERO F-150 04-08 4X2</t>
  </si>
  <si>
    <t>911261</t>
  </si>
  <si>
    <t xml:space="preserve">Producto Original. 
SKU: 911261. 
OEM: N/A. 
Marca: VARIOS.
Aplicación: AMORTIGUADOR, TRAS.F-150 04-08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</si>
  <si>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F-150 04-08 4X4 FX4</t>
  </si>
  <si>
    <t>911262</t>
  </si>
  <si>
    <t xml:space="preserve">Producto Original. 
SKU: 911262. 
OEM: G-63867, 344415, 342508, GR75262, 911262, G-63867, G-23174E. 
Marca: VARIOS.
Aplicación: AMORTIGUADOR, TRAS.F-150 04-08 4X4 FX4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</si>
  <si>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G-63867, 344415, 342508, GR75262, 911262, G-63867, G-23174E</t>
  </si>
  <si>
    <t>911277</t>
  </si>
  <si>
    <t xml:space="preserve">Producto Original. 
SKU: 911277. 
OEM: GR75277, G-63890. 
Marca: MONROE.
Aplicación: AMORTIGUADOR, TRAS.DAKOTA 05-11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</si>
  <si>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GR75277, G-63890</t>
  </si>
  <si>
    <t>https://http2.mlstatic.com/D_945809-MLV111186709925_052026-O.jpg</t>
  </si>
  <si>
    <t>911278</t>
  </si>
  <si>
    <t xml:space="preserve">Producto Original. 
SKU: 911278. 
OEM: 32407, G-23173T, GR75278, 344496. 
Marca: MONROE.
Aplicación: AMORTIGUADOR TRAS.GRAND CHEROKEE 05-10 WK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</si>
  <si>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32407, G-23173T, GR75278, 344496</t>
  </si>
  <si>
    <t xml:space="preserve">Producto Original. 
SKU: 911278. 
OEM: 32407, G-23173T, GR75278, 344496. 
Marca: MONROE.
Aplicación: AMORTIGUADOR TRAS.GRAND COMMANDER 06-10 XK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</si>
  <si>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FORD F-150 09-13 4X4 4WD F-150 10-12 4X</t>
  </si>
  <si>
    <t>911302</t>
  </si>
  <si>
    <t xml:space="preserve">Producto Original. 
SKU: 911302. 
OEM: N/A. 
Marca: MONROE.
Aplicación: AMORTIGUADOR, TRAS.FORD F-150 09-13 4X4 4WD F-150 10-12 4X2 AWD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</si>
  <si>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SILVERADO 3500 11-18 HD SILVERADO 2500</t>
  </si>
  <si>
    <t>911303</t>
  </si>
  <si>
    <t xml:space="preserve">Producto Original. 
SKU: 911303. 
OEM: N/A. 
Marca: MONROE.
Aplicación: AMORTIGUADOR, TRAS.SILVERADO 3500 11-18 HD SILVERADO 2500 11-18 HD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</si>
  <si>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https://http2.mlstatic.com/D_838250-MLV111186800523_052026-O.jpg</t>
  </si>
  <si>
    <t>911304</t>
  </si>
  <si>
    <t xml:space="preserve">Producto Original. 
SKU: 911304. 
OEM: GR55271, 68029552AE, 68069671AC. 
Marca: MONROE.
Aplicación: AMORTIGUADOR, TRAS.GRAND CHEROKEE 11-19 4G DURANGO 11-19 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</si>
  <si>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GR55271, 68029552AE, 68069671AC</t>
  </si>
  <si>
    <t>AMORTIGUADOR TRASERO EXPLORER 11-19</t>
  </si>
  <si>
    <t>911330</t>
  </si>
  <si>
    <t xml:space="preserve">Producto Original. 
SKU: 911330. 
OEM: G-51980. 
Marca: VARIOS.
Aplicación: AMORTIGUADOR, TRAS.EXPLORER 11-19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</si>
  <si>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G-51980</t>
  </si>
  <si>
    <t>AMORTIGUADOR TRASERO F-150 09-14 4X2 RWD</t>
  </si>
  <si>
    <t>911331</t>
  </si>
  <si>
    <t xml:space="preserve">Producto Original. 
SKU: 911331. 
OEM: N/A. 
Marca: MONROE.
Aplicación: AMORTIGUADOR, TRAS.F-150 09-14 4X2 RWD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</si>
  <si>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F-150 15-24 4X2 RWD</t>
  </si>
  <si>
    <t>911334</t>
  </si>
  <si>
    <t xml:space="preserve">Producto Original. 
SKU: 911334. 
OEM: N/A. 
Marca: MONROE.
Aplicación: AMORTIGUADOR, TRAS.F-150 15-24 4X2 RWD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</si>
  <si>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FORD F-150 15-20</t>
  </si>
  <si>
    <t>911335</t>
  </si>
  <si>
    <t xml:space="preserve">Producto Original. 
SKU: 911335. 
OEM: N/A. 
Marca: MONROE.
Aplicación: AMORTIGUADOR, TRAS.FORD F-150 15-20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</si>
  <si>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911505</t>
  </si>
  <si>
    <t xml:space="preserve">Producto Original. 
SKU: 911505. 
OEM: 34501, 37178ST. 
Marca: MONROE.
Aplicación: AMORTIGUADOR DELT.SILVERADO 1500 03-07 AVALANCHE 02-06 TAHOE 00-06 GRAND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</si>
  <si>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34501, 37178ST</t>
  </si>
  <si>
    <t xml:space="preserve">Producto Original. 
SKU: 911505. 
OEM: 34501, 37178ST. 
Marca: MONROE.
Aplicación: AMORTIGUADOR DELT.SILVERADO 1500 03-07 AVALANCHE 02-06 BLAZER Z71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</si>
  <si>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TAHOE 01-18 AVALANCHE 02-13</t>
  </si>
  <si>
    <t>https://http2.mlstatic.com/D_943325-MLV110261070260_052026-O.jpg</t>
  </si>
  <si>
    <t>911506</t>
  </si>
  <si>
    <t xml:space="preserve">Producto Original. 
SKU: 911506. 
OEM: 34962. 
Marca: MONROE.
Aplicación: AMORTIGUADOR, TRAS.TAHOE 01-18 AVALANCHE 02-13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</si>
  <si>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34962</t>
  </si>
  <si>
    <t>AMORTIGUADOR TRASERO SILVERADO 1500 07-16</t>
  </si>
  <si>
    <t>911533</t>
  </si>
  <si>
    <t xml:space="preserve">Producto Original. 
SKU: 911533. 
OEM: G-63959, 61690, 345074, 342779. 
Marca: MONROE.
Aplicación: AMORTIGUADOR, TRAS.SILVERADO 1500 07-16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</si>
  <si>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G-63959, 61690, 345074, 342779</t>
  </si>
  <si>
    <t>https://http2.mlstatic.com/D_888234-MLV110261606258_052026-O.jpg</t>
  </si>
  <si>
    <t>930011</t>
  </si>
  <si>
    <t xml:space="preserve">Producto Original. 
SKU: 930011. 
OEM: 37203, GR75203, 52125094AE. 
Marca: BOGE.
Aplicación: AMORTIGUADOR, TRAS.LIBERTY 02-14 KJ KK NITRO 07-11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</si>
  <si>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37203, GR75203, 52125094AE</t>
  </si>
  <si>
    <t>https://http2.mlstatic.com/D_832897-MLV111187068813_052026-O.jpg,https://http2.mlstatic.com/D_999302-MLV111187068827_052026-O.jpg</t>
  </si>
  <si>
    <t>931321</t>
  </si>
  <si>
    <t xml:space="preserve">Producto Original. 
SKU: 931321. 
OEM: GR55321, 71321ST, G-86304E, ASH-228. 
Marca: MONROE.
Aplicación: AMORTIGUADOR, DELT.EXPLORER 02-03 (4 PUERTAS)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</si>
  <si>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GR55321, 71321ST, G-86304E, ASH-228</t>
  </si>
  <si>
    <t>AMORTIGUADOR DELANTERO DERECHO TOYOTA COROLLA 95-02 KLASSIC</t>
  </si>
  <si>
    <t>9330000</t>
  </si>
  <si>
    <t xml:space="preserve">Producto Original. 
SKU: 9330000. 
OEM: N/A. 
Marca: KYB.
Aplicación: AMORTIGUADOR, DELT.DER.TOYOTA COROLLA 95-02 KLASSIC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</si>
  <si>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COROLLA 95-02 KLASSI</t>
  </si>
  <si>
    <t>9330001</t>
  </si>
  <si>
    <t xml:space="preserve">Producto Original. 
SKU: 9330001. 
OEM: N/A. 
Marca: KYB.
Aplicación: AMORTIGUADOR, DELT.IZQ.TOYOTA COROLLA 95-02 KLASSIC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</si>
  <si>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COROLLA 95-02 KLASSIC</t>
  </si>
  <si>
    <t>9330002</t>
  </si>
  <si>
    <t xml:space="preserve">Producto Original. 
SKU: 9330002. 
OEM: N/A. 
Marca: KYB.
Aplicación: AMORTIGUADOR, TRAS.DER.TOYOTA COROLLA 95-02 KLASSIC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</si>
  <si>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TOYOTA COROLLA 95-02 KLASSIC</t>
  </si>
  <si>
    <t>9330003</t>
  </si>
  <si>
    <t xml:space="preserve">Producto Original. 
SKU: 9330003. 
OEM: N/A. 
Marca: KYB.
Aplicación: AMORTIGUADOR, TRAS.IZQ.TOYOTA COROLLA 95-02 KLASSIC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</si>
  <si>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TOYOTA YARIS 99-05 NCP10 KLASSIC</t>
  </si>
  <si>
    <t>9330004</t>
  </si>
  <si>
    <t xml:space="preserve">Producto Original. 
SKU: 9330004. 
OEM: N/A. 
Marca: KYB.
Aplicación: AMORTIGUADOR, DELT.TOYOTA YARIS 99-05 NCP10 KLASSIC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</si>
  <si>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COROLLA 03-14 KLASSIC</t>
  </si>
  <si>
    <t>9410021</t>
  </si>
  <si>
    <t xml:space="preserve">Producto Original. 
SKU: 9410021. 
OEM: N/A. 
Marca: KYB.
Aplicación: AMORTIGUADOR, TRAS.TOYOTA COROLLA 03-14 KLASSIC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</si>
  <si>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DAMAS 96-01</t>
  </si>
  <si>
    <t>94583399</t>
  </si>
  <si>
    <t xml:space="preserve">Producto Original. 
SKU: 94583399. 
OEM: 41700A75D00. 
Marca: GENERAL MOTORS.
Aplicación: AMORTIGUADOR, TRAS.DAMAS 96-01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</si>
  <si>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41700A75D00</t>
  </si>
  <si>
    <t>94583399E</t>
  </si>
  <si>
    <t xml:space="preserve">Producto Original. 
SKU: 94583399E. 
OEM: 41700A75D00, V1077, 181018. 
Marca: KGS.
Aplicación: AMORTIGUADOR, TRAS.DAMAS 96-01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</si>
  <si>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KGS</t>
  </si>
  <si>
    <t>41700A75D00, V1077, 181018</t>
  </si>
  <si>
    <t>AMORTIGUADOR TRASERO DERECHO NUBIRA</t>
  </si>
  <si>
    <t>96289902</t>
  </si>
  <si>
    <t xml:space="preserve">Producto Original. 
SKU: 96289902. 
OEM: N/A. 
Marca: GENERICO.
Aplicación: AMORTIGUADOR, TRAS.DER.NUBIRA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</si>
  <si>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GENERICO</t>
  </si>
  <si>
    <t>AMORTIGUADOR TRASERO MATIZ 99-03 TICO 96-03</t>
  </si>
  <si>
    <t>96316781</t>
  </si>
  <si>
    <t xml:space="preserve">Producto Original. 
SKU: 96316781. 
OEM: N/A. 
Marca: GENERICO.
Aplicación: AMORTIGUADOR, TRAS.MATIZ 99-03 TICO 96-03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</si>
  <si>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https://http2.mlstatic.com/D_836219-MLV111188615939_052026-O.jpg</t>
  </si>
  <si>
    <t>96407819</t>
  </si>
  <si>
    <t xml:space="preserve">Producto Original. 
SKU: 96407819. 
OEM: G-55985T, 713094N, GR55094, 803502. 
Marca: GENERAL MOTORS.
Aplicación: AMORTIGUADOR, DELT.IZQ.OPTRA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</si>
  <si>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https://http2.mlstatic.com/D_987510-MLV110261112362_052026-O.jpg</t>
  </si>
  <si>
    <t>96407820</t>
  </si>
  <si>
    <t xml:space="preserve">Producto Original. 
SKU: 96407820. 
OEM: G-55986T, 713094N, GR55094, 803501. 
Marca: GENERAL MOTORS.
Aplicación: AMORTIGUADOR, DELT.DER.OPTRA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</si>
  <si>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96407821</t>
  </si>
  <si>
    <t xml:space="preserve">Producto Original. 
SKU: 96407821. 
OEM: G-55987T, 713096N, GR55096. 
Marca: GM EMPAQUE.
Aplicación: AMORTIGUADOR, TRAS.IZQ.OPTRA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</si>
  <si>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GM EMPAQUE</t>
  </si>
  <si>
    <t>AMORTIGUADOR TRASERO DERECHO OPTRA 1 8 04-13</t>
  </si>
  <si>
    <t>96407822</t>
  </si>
  <si>
    <t xml:space="preserve">Producto Original. 
SKU: 96407822. 
OEM: G-55988T, 713096N, GR55096, 333419, 803503. 
Marca: GM EMPAQUE.
Aplicación: AMORTIGUADOR, TRAS.DER.OPTRA 1.8 04-13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</si>
  <si>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G-55988T, 713096N, GR55096, 333419, 803503</t>
  </si>
  <si>
    <t>AMORTIGUADOR DELANTERO IZQUIERDO SPARK 06-14</t>
  </si>
  <si>
    <t>96424025</t>
  </si>
  <si>
    <t xml:space="preserve">Producto Original. 
SKU: 96424025. 
OEM: G-551001, GR55005, 713005N. 
Marca: GENERAL MOTORS.
Aplicación: AMORTIGUADOR, DELT.IZQ.SPARK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</si>
  <si>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G-551001, GR55005, 713005N</t>
  </si>
  <si>
    <t>AMORTIGUADOR DELANTERO DERECHO SPARK 06-14</t>
  </si>
  <si>
    <t>96424026</t>
  </si>
  <si>
    <t xml:space="preserve">Producto Original. 
SKU: 96424026. 
OEM: G-551001, GR55005, 713005N. 
Marca: GENERAL MOTORS.
Aplicación: AMORTIGUADOR, DELT.DER.SPARK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</si>
  <si>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https://http2.mlstatic.com/D_603861-MLV111188623573_052026-O.jpg,https://http2.mlstatic.com/D_820336-MLV111188653333_052026-O.jpg,https://http2.mlstatic.com/D_999780-MLV111189806737_052026-O.jpg,https://http2.mlstatic.com/D_975634-MLV111188892169_052026-O.jpg</t>
  </si>
  <si>
    <t>96586885</t>
  </si>
  <si>
    <t xml:space="preserve">Producto Original. 
SKU: 96586885. 
OEM: G-35896T, 713080N, 333417, 802503, 96980827, GR55080. 
Marca: GM EMPAQUE.
Aplicación: AMORTIGUADOR, DELT.DER.AVEO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</si>
  <si>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G-35896T, 713080N, 333417, 802503, 96980827, GR55080</t>
  </si>
  <si>
    <t>https://http2.mlstatic.com/D_627533-MLV111188892255_052026-O.jpg,https://http2.mlstatic.com/D_692205-MLV110261564298_052026-O.jpg</t>
  </si>
  <si>
    <t>96586887</t>
  </si>
  <si>
    <t xml:space="preserve">Producto Original. 
SKU: 96586887. 
OEM: G-35897T, 713080N, 333418, 96980826. 
Marca: GM EMPAQUE.
Aplicación: AMORTIGUADOR, DELT.IZQ.AVEO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</si>
  <si>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G-35897T, 713080N, 333418, 96980826</t>
  </si>
  <si>
    <t>96586888</t>
  </si>
  <si>
    <t xml:space="preserve">Producto Original. 
SKU: 96586888. 
OEM: G-35896T, 713080N, 333417, 802503. 
Marca: GM EMPAQUE.
Aplicación: AMORTIGUADOR, DELT.DER.AVEO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</si>
  <si>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G-35896T, 713080N, 333417, 802503</t>
  </si>
  <si>
    <t>AMORTIGUADOR TRASERO IZQUIERDO EPICA 07-09</t>
  </si>
  <si>
    <t>96943781</t>
  </si>
  <si>
    <t xml:space="preserve">Producto Original. 
SKU: 96943781. 
OEM: GR55214, 96639689. 
Marca: ACDELCO.
Aplicación: AMORTIGUADOR, TRAS.IZQ.EPICA 07-09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</si>
  <si>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GR55214, 96639689</t>
  </si>
  <si>
    <t>AMORTIGUADOR TRASERO DERECHO EPICA 07-09</t>
  </si>
  <si>
    <t>96943782</t>
  </si>
  <si>
    <t xml:space="preserve">Producto Original. 
SKU: 96943782. 
OEM: GR55213, 96639690. 
Marca: ACDELCO.
Aplicación: AMORTIGUADOR, TRAS.DER.EPICA 07-09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</si>
  <si>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GR55213, 96639690</t>
  </si>
  <si>
    <t>https://http2.mlstatic.com/D_929715-MLV110262399970_052026-O.jpg</t>
  </si>
  <si>
    <t>ASH-1051</t>
  </si>
  <si>
    <t xml:space="preserve">Producto Original. 
SKU: ASH-1051. 
OEM: 71361ST. 
Marca: MOTORCRAFT.
Aplicación: AMORTIGUADOR, DELT.F-150 04-08 FX4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</si>
  <si>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MOTORCRAFT</t>
  </si>
  <si>
    <t>ASH-12166</t>
  </si>
  <si>
    <t xml:space="preserve">Producto Original. 
SKU: ASH-12166. 
OEM: 34525, 911266, G-63886, 349004, 341580. 
Marca: MOTORCRAFT.
Aplicación: AMORTIGUADOR, DELT.F-350 05-19 4X4 F-250 05-19 4X4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</si>
  <si>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34525, 911266, G-63886, 349004, 341580</t>
  </si>
  <si>
    <t>https://http2.mlstatic.com/D_607608-MLV111188662363_052026-O.jpg</t>
  </si>
  <si>
    <t>ASH-12184</t>
  </si>
  <si>
    <t xml:space="preserve">Producto Original. 
SKU: ASH-12184. 
OEM: 34964. 
Marca: MOTORCRAFT.
Aplicación: AMORTIGUADOR, TRAS.F-350 99-16 4X4 (SUPER DUTY) F-350 85-97 4X4 F-150 90-96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</si>
  <si>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EXPLORER 11-16</t>
  </si>
  <si>
    <t>ASH-12240</t>
  </si>
  <si>
    <t xml:space="preserve">Producto Original. 
SKU: ASH-12240. 
OEM: 72621, DB53-18K001, ASH-12241. 
Marca: MOTORCRAFT.
Aplicación: AMORTIGUADOR, DELT.IZQ.EXPLORER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</si>
  <si>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72621, DB53-18K001, ASH-12241</t>
  </si>
  <si>
    <t>ASH-12241</t>
  </si>
  <si>
    <t xml:space="preserve">Producto Original. 
SKU: ASH-12241. 
OEM: 72621, DB53-18K001, ASH-12240. 
Marca: MOTORCRAFT.
Aplicación: AMORTIGUADOR, DELT.IZQ.EXPLORER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</si>
  <si>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72621, DB53-18K001, ASH-12240</t>
  </si>
  <si>
    <t>AMORTIGUADOR DELANTERO DERECHO EXPLORER 11-16</t>
  </si>
  <si>
    <t>ASH-12242</t>
  </si>
  <si>
    <t xml:space="preserve">Producto Original. 
SKU: ASH-12242. 
OEM: 72620, DB53-18045, ASH-12243. 
Marca: MOTORCRAFT.
Aplicación: AMORTIGUADOR, DELT.DER.EXPLORER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</si>
  <si>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72620, DB53-18045, ASH-12243</t>
  </si>
  <si>
    <t>ASH-12243</t>
  </si>
  <si>
    <t xml:space="preserve">Producto Original. 
SKU: ASH-12243. 
OEM: 72620, DB53-18045, ASH-12242. 
Marca: MOTORCRAFT.
Aplicación: AMORTIGUADOR, DELT.DER.EXPLORER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</si>
  <si>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72620, DB53-18045, ASH-12242</t>
  </si>
  <si>
    <t>AMORTIGUADOR TRASERO F-350 11-15 SUPER DUTY F-250</t>
  </si>
  <si>
    <t>https://http2.mlstatic.com/D_660765-MLV111189993595_052026-O.jpg</t>
  </si>
  <si>
    <t>ASH-12278</t>
  </si>
  <si>
    <t xml:space="preserve">Producto Original. 
SKU: ASH-12278. 
OEM: 34525, 911266, G-63886, 349004, 341580. 
Marca: MOTORCRAFT.
Aplicación: AMORTIGUADOR, TRAS.F-350 11-15 SUPER DUTY F-250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</si>
  <si>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F-350 99-04 4X4 SUPER DUTY</t>
  </si>
  <si>
    <t>ASH-23394</t>
  </si>
  <si>
    <t xml:space="preserve">Producto Original. 
SKU: ASH-23394. 
OEM: N/A. 
Marca: MOTORCRAFT.
Aplicación: AMORTIGUADOR, TRAS.F-350 99-04 4X4 SUPER DUTY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</si>
  <si>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ASH-23457</t>
  </si>
  <si>
    <t xml:space="preserve">Producto Original. 
SKU: ASH-23457. 
OEM: 34684, GR75684, G-23149E. 
Marca: MOTORCRAFT.
Aplicación: AMORTIGUADOR, DELT.FORD F-250 99-24 4X2 F-350 99-24 4X2 (SUPER DUTY)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</si>
  <si>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34684, GR75684, G-23149E</t>
  </si>
  <si>
    <t>AMORTIGUADOR TRASERO F-250 4X2 11-16 F-350 4X2 99-15 9-04 SU</t>
  </si>
  <si>
    <t>ASH-23472</t>
  </si>
  <si>
    <t xml:space="preserve">Producto Original. 
SKU: ASH-23472. 
OEM: N/A. 
Marca: MOTORCRAFT.
Aplicación: AMORTIGUADOR, TRAS.F-250 4X2 11-16 F-350 4X2 99-15 9-04 SUPER DUTY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</si>
  <si>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ASH-797</t>
  </si>
  <si>
    <t xml:space="preserve">Producto Original. 
SKU: ASH-797. 
OEM: G-63867, 344415, 342508, GR75262, 911262, G-63867, G-23174E. 
Marca: MOTORCRAFT.
Aplicación: AMORTIGUADOR, TRAS.F-150 04-08 4X4 FX4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</si>
  <si>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ASHV-1028</t>
  </si>
  <si>
    <t xml:space="preserve">Producto Original. 
SKU: ASHV-1028. 
OEM: 34963. 
Marca: MOTORCRAFT.
Aplicación: AMORTIGUADOR, TRAS.F-350 99-16 4X2 (SUPER DUTY) F-350 80-91 4X2 F-150 85-96 4X2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</si>
  <si>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B2125</t>
  </si>
  <si>
    <t xml:space="preserve">Producto Original. 
SKU: B2125. 
OEM: G-55910H. 
Marca: TOKICO.
Aplicación: AMORTIGUADOR, TRAS.DER.TOYOTA COROLLA 90-93 (AE92 ARAYA SKY)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</si>
  <si>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G-55910H</t>
  </si>
  <si>
    <t>AMORTIGUADOR DELANTERO DERECHO TOYOTA COROLLA NEW SENS ZZE1</t>
  </si>
  <si>
    <t>B3232</t>
  </si>
  <si>
    <t xml:space="preserve">Producto Original. 
SKU: B3232. 
OEM: 48510-02150. 
Marca: TOKICO.
Aplicación: AMORTIGUADOR, DELT.DER.TOYOTA COROLLA NEW SENS ZZE1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</si>
  <si>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48510-02150</t>
  </si>
  <si>
    <t>AMORTIGUADOR DELANTERO IZQUIERDO TOYOTA COROLLA NEW SENS ZZE</t>
  </si>
  <si>
    <t>B3233</t>
  </si>
  <si>
    <t xml:space="preserve">Producto Original. 
SKU: B3233. 
OEM: 48520-02150. 
Marca: TOKICO.
Aplicación: AMORTIGUADOR, DELT.IZQ.TOYOTA COROLLA NEW SENS  ZZE1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</si>
  <si>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48520-02150</t>
  </si>
  <si>
    <t>AMORTIGUADOR DELANTERO DERECHO TOYOTA YARIS 06- BELTA-SPORT</t>
  </si>
  <si>
    <t>B3239</t>
  </si>
  <si>
    <t xml:space="preserve">Producto Original. 
SKU: B3239. 
OEM: N/A. 
Marca: TOKICO.
Aplicación: AMORTIGUADOR, DELT.DER.TOYOTA YARIS 06- (BELTA-SPORT)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</si>
  <si>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IZQUIERDO TOYOTA YARIS 06- BELTA-SPOR</t>
  </si>
  <si>
    <t>B3240</t>
  </si>
  <si>
    <t xml:space="preserve">Producto Original. 
SKU: B3240. 
OEM: N/A. 
Marca: TOKICO.
Aplicación: AMORTIGUADOR, DELT.IZQ.TOYOTA YARIS 06- (BELTA-SPORT)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</si>
  <si>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DERECHO TOYOTA COROLLA XEI/GLI 1 6/1</t>
  </si>
  <si>
    <t>B3271</t>
  </si>
  <si>
    <t xml:space="preserve">Producto Original. 
SKU: B3271. 
OEM: 48510-02650. 
Marca: TOKICO.
Aplicación: AMORTIGUADOR, DELT.DER.TOYOTA COROLLA XEI/GLI 1.6/1.8 1ZZ/2ZR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</si>
  <si>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48510-02650</t>
  </si>
  <si>
    <t>AMORTIGUADOR DELANTERO IZQUIERDO TOYOTA COROLLA XEI/GLI 1 6/</t>
  </si>
  <si>
    <t>B3272</t>
  </si>
  <si>
    <t xml:space="preserve">Producto Original. 
SKU: B3272. 
OEM: 48520-02650. 
Marca: TOKICO.
Aplicación: AMORTIGUADOR, DELT.IZQ.TOYOTA COROLLA XEI/GLI 1.6/1.8 1ZZ/2ZR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</si>
  <si>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48520-02650</t>
  </si>
  <si>
    <t>AMORTIGUADOR TRASERO DERECHO TOYOTA CAMRY 03-08</t>
  </si>
  <si>
    <t>B3324</t>
  </si>
  <si>
    <t xml:space="preserve">Producto Original. 
SKU: B3324. 
OEM: 48530-80112. 
Marca: TOKICO.
Aplicación: AMORTIGUADOR, TRAS.DER.TOYOTA CAMRY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</si>
  <si>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48530-80112</t>
  </si>
  <si>
    <t>AMORTIGUADOR TRASERO IZQUIERDO TOYOTA CAMRY 03-08</t>
  </si>
  <si>
    <t>B3325</t>
  </si>
  <si>
    <t xml:space="preserve">Producto Original. 
SKU: B3325. 
OEM: 48540-39495. 
Marca: TOKICO.
Aplicación: AMORTIGUADOR, TRAS.IZQ.TOYOTA CAMRY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</si>
  <si>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48540-39495</t>
  </si>
  <si>
    <t>AMORTIGUADOR TRASERO IZQUIERDO TOYOTA CAMRY 06-08</t>
  </si>
  <si>
    <t>B3328</t>
  </si>
  <si>
    <t xml:space="preserve">Producto Original. 
SKU: B3328. 
OEM: 48540-39755. 
Marca: TOKICO.
Aplicación: AMORTIGUADOR, TRAS.IZQ.TOYOTA CAMRY 06-08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</si>
  <si>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48540-39755</t>
  </si>
  <si>
    <t>AMORTIGUADOR TRASERO DERECHO TOYOTA CAMRY 06-08</t>
  </si>
  <si>
    <t>B3329</t>
  </si>
  <si>
    <t xml:space="preserve">Producto Original. 
SKU: B3329. 
OEM: 48540-06330. 
Marca: TOKICO.
Aplicación: AMORTIGUADOR, TRAS.DER.TOYOTA CAMRY 06-08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</si>
  <si>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48540-06330</t>
  </si>
  <si>
    <t>AMORTIGUADOR DELANTERO DERECHO TOYOTA CAMRY LUMIERE 2 4 03-0</t>
  </si>
  <si>
    <t>B3332</t>
  </si>
  <si>
    <t xml:space="preserve">Producto Original. 
SKU: B3332. 
OEM: 48510-80119. 
Marca: TOKICO.
Aplicación: AMORTIGUADOR, DELT.DER.TOYOTA CAMRY LUMIERE 2.4 03-06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</si>
  <si>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48510-80119</t>
  </si>
  <si>
    <t>AMORTIGUADOR DELANTERO IZQUIERDO TOYOTA CAMRY LUMIERE 2 4 03</t>
  </si>
  <si>
    <t>B3333</t>
  </si>
  <si>
    <t xml:space="preserve">Producto Original. 
SKU: B3333. 
OEM: 48520-39575. 
Marca: TOKICO.
Aplicación: AMORTIGUADOR, DELT.IZQ.TOYOTA CAMRY LUMIERE 2.4 03-06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</si>
  <si>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48520-39575</t>
  </si>
  <si>
    <t>AMORTIGUADOR DELANTERO MITSUBISHI LANCER CS6 03- PLATO GRAND</t>
  </si>
  <si>
    <t>B3351</t>
  </si>
  <si>
    <t xml:space="preserve">Producto Original. 
SKU: B3351. 
OEM: MR589639. 
Marca: TOKICO.
Aplicación: AMORTIGUADOR, DELT.MITSUBISHI LANCER CS6 03- PLATO GRANDE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</si>
  <si>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MR589639</t>
  </si>
  <si>
    <t>B3406</t>
  </si>
  <si>
    <t xml:space="preserve">Producto Original. 
SKU: B3406. 
OEM: GR55989, G-551064T, 48510-8Z034. 
Marca: TOKICO.
Aplicación: AMORTIGUADOR, DELT.DER.TOYOTA COROLLA 15-19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</si>
  <si>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GR55989, G-551064T, 48510-8Z034</t>
  </si>
  <si>
    <t>B3407</t>
  </si>
  <si>
    <t xml:space="preserve">Producto Original. 
SKU: B3407. 
OEM: GR55598, G-551021T, 339115, 48520-8Z034. 
Marca: TOKICO.
Aplicación: AMORTIGUADOR, DELT.IZQ.TOYOTA COROLLA 09-14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</si>
  <si>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GR55598, G-551021T, 339115, 48520-8Z034</t>
  </si>
  <si>
    <t>AMORTIGUADOR TRASERO BP-51 LC300 MEDIUM 2022+ TODAS NORMAL Y</t>
  </si>
  <si>
    <t>BP5160061</t>
  </si>
  <si>
    <t xml:space="preserve">Producto Original. 
SKU: BP5160061. 
OEM: 171100, 71100ST, G-51815, GR55100. 
Marca: OLD MAN EMU.
Aplicación: AMORTIGUADOR TRASERO BP-51 LC300 MEDIUM 2022+ TODAS (NORMAL Y VX Y GR)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</si>
  <si>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OLD MAN EMU</t>
  </si>
  <si>
    <t>171100, 71100ST, G-51815, GR55100</t>
  </si>
  <si>
    <t>COILOVER DELANTERO LC300 IZQUIERDO PILOTO 2022+ TODAS NORMAL</t>
  </si>
  <si>
    <t>https://http2.mlstatic.com/D_960939-MLV110264116028_052026-O.jpg,https://http2.mlstatic.com/D_872907-MLV111190026515_052026-O.jpg,https://http2.mlstatic.com/D_617426-MLV110264235586_052026-O.jpg,https://http2.mlstatic.com/D_976602-MLV111189523173_052026-O.jpg,https://http2.mlstatic.com/D_738973-MLV110262402956_052026-O.jpg,https://http2.mlstatic.com/D_842643-MLV110262373052_052026-O.jpg</t>
  </si>
  <si>
    <t>BP5190022L</t>
  </si>
  <si>
    <t xml:space="preserve">Producto Original. 
SKU: BP5190022L. 
OEM: 171100, 71100ST, G-51815, GR55100. 
Marca: OLD MAN EMU.
Aplicación: COILOVER DELANTERO LC300 IZQ. PILOTO 2022+ TODAS (NORMAL Y VX Y GR)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</si>
  <si>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COILOVER DELANTERO LC300 DERECHO CO-PILOTO 2022+ TODAS NORMA</t>
  </si>
  <si>
    <t>BP5190022R</t>
  </si>
  <si>
    <t xml:space="preserve">Producto Original. 
SKU: BP5190022R. 
OEM: 171100, 71100ST, G-51815, GR55100. 
Marca: OLD MAN EMU.
Aplicación: COILOVER DELANTERO LC300 DER. CO-PILOTO 2022+ TODAS (NORMAL Y VX Y GR)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</si>
  <si>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JIMNY 00-04 SUZUKI SAMURAY</t>
  </si>
  <si>
    <t>https://http2.mlstatic.com/D_712075-MLV110264334410_052026-O.jpg</t>
  </si>
  <si>
    <t>D7705</t>
  </si>
  <si>
    <t xml:space="preserve">Producto Original. 
SKU: D7705. 
OEM: 41600-81A10, 41600-81A11. 
Marca: MONROE.
Aplicación: AMORTIGUADOR, DELT.JIMNY 00-04 SUZUKI SAMURAY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</si>
  <si>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41600-81A10, 41600-81A11</t>
  </si>
  <si>
    <t>AMORTIGUADOR TRASERO JIMNY 00-04</t>
  </si>
  <si>
    <t>https://http2.mlstatic.com/D_855508-MLV110264156036_052026-O.jpg</t>
  </si>
  <si>
    <t>D7706</t>
  </si>
  <si>
    <t xml:space="preserve">Producto Original. 
SKU: D7706. 
OEM: N/A. 
Marca: MONROE.
Aplicación: AMORTIGUADOR, TRAS.JIMNY 00-04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</si>
  <si>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DB53-18045</t>
  </si>
  <si>
    <t xml:space="preserve">Producto Original. 
SKU: DB53-18045. 
OEM: 72620, ASH-12242, ASH-12243. 
Marca: FORD.
Aplicación: AMORTIGUADOR, DELT.DER.EXPLORER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</si>
  <si>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72620, ASH-12242, ASH-12243</t>
  </si>
  <si>
    <t>DB53-18K001</t>
  </si>
  <si>
    <t xml:space="preserve">Producto Original. 
SKU: DB53-18K001. 
OEM: 72621, ASH-12240, ASH-12241. 
Marca: FORD.
Aplicación: AMORTIGUADOR, DELT.IZQ.EXPLORER 11-16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</si>
  <si>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72621, ASH-12240, ASH-12241</t>
  </si>
  <si>
    <t>AMORTIGUADOR DELANTERO MITSUBISHI GALANT 92-98 SEBRING 95-00</t>
  </si>
  <si>
    <t>E-1085</t>
  </si>
  <si>
    <t xml:space="preserve">Producto Original. 
SKU: E-1085. 
OEM: N/A. 
Marca: MONROE.
Aplicación: AMORTIGUADOR, DELT.MITSUBISHI GALANT 92-98 SEBRING 95-00 (NO TIENE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</si>
  <si>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MITSUBISHI GALANT 92-98</t>
  </si>
  <si>
    <t>E-1087</t>
  </si>
  <si>
    <t xml:space="preserve">Producto Original. 
SKU: E-1087. 
OEM: N/A. 
Marca: MONROE.
Aplicación: AMORTIGUADOR, TRAS.MITSUBISHI GALANT 92-98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</si>
  <si>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MITSUBISHI GALANT 98-04 NO TIENE PRES</t>
  </si>
  <si>
    <t>E-1215</t>
  </si>
  <si>
    <t xml:space="preserve">Producto Original. 
SKU: E-1215. 
OEM: 341240. 
Marca: MONROE.
Aplicación: AMORTIGUADOR, DELT.MITSUBISHI GALANT 98-04 (NO TIENE PRESION)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</si>
  <si>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341240</t>
  </si>
  <si>
    <t>E20018</t>
  </si>
  <si>
    <t xml:space="preserve">Producto Original. 
SKU: E20018. 
OEM: 48530-552B00. 
Marca: TOKICO.
Aplicación: AMORTIGUADOR, TRAS.TOYOTA YARIS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</si>
  <si>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48530-552B00</t>
  </si>
  <si>
    <t>AMORTIGUADOR TRASERO NISSAN TIIDA C11</t>
  </si>
  <si>
    <t>E20020</t>
  </si>
  <si>
    <t xml:space="preserve">Producto Original. 
SKU: E20020. 
OEM: EE90B. 
Marca: TOKICO.
Aplicación: AMORTIGUADOR, TRAS.NISSAN TIIDA C11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</si>
  <si>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EE90B</t>
  </si>
  <si>
    <t>AMORTIGUADOR TRASERO GRAND VITARA J3 06-</t>
  </si>
  <si>
    <t>E20021</t>
  </si>
  <si>
    <t xml:space="preserve">Producto Original. 
SKU: E20021. 
OEM: 343435. 
Marca: TOKICO.
Aplicación: AMORTIGUADOR, TRAS.GRAND VITARA J3 06-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</si>
  <si>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343435</t>
  </si>
  <si>
    <t>AMORTIGUADOR TRASERO TOYOTA RAV4/CHERY TIGGO</t>
  </si>
  <si>
    <t>E2942</t>
  </si>
  <si>
    <t xml:space="preserve">Producto Original. 
SKU: E2942. 
OEM: 553195. 
Marca: TOKICO.
Aplicación: AMORTIGUADOR, TRAS.TOYOTA RAV4/CHERY TIGGO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</si>
  <si>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553195</t>
  </si>
  <si>
    <t>AMORTIGUADOR TRASERO TOYOTA HILUX 2 7</t>
  </si>
  <si>
    <t>E2979</t>
  </si>
  <si>
    <t xml:space="preserve">Producto Original. 
SKU: E2979. 
OEM: 48531-0K100. 
Marca: TOKICO.
Aplicación: AMORTIGUADOR, TRAS.TOYOTA HILUX 2.7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</si>
  <si>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48531-0K100</t>
  </si>
  <si>
    <t>E2981</t>
  </si>
  <si>
    <t xml:space="preserve">Producto Original. 
SKU: E2981. 
OEM: 48530-0D220. 
Marca: TOKICO.
Aplicación: AMORTIGUADOR TRAS.TOYOTA YARIS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</si>
  <si>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48530-0D220</t>
  </si>
  <si>
    <t>AMORTIGUADOR TRASERO TOYOTA YARIS BELTA 06-14</t>
  </si>
  <si>
    <t xml:space="preserve">Producto Original. 
SKU: E2981. 
OEM: 48530-0D220. 
Marca: TOKICO.
Aplicación: AMORTIGUADOR TRAS.TOYOTA YARIS BELTA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</si>
  <si>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FORTUNER T</t>
  </si>
  <si>
    <t>E3599</t>
  </si>
  <si>
    <t xml:space="preserve">Producto Original. 
SKU: E3599. 
OEM: N/A. 
Marca: TOKICO.
Aplicación: AMORTIGUADOR, TRAS.TOYOTA FORTUNER T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</si>
  <si>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4RUNNER 96-02 PRADO 05/MERU</t>
  </si>
  <si>
    <t>E3740</t>
  </si>
  <si>
    <t xml:space="preserve">Producto Original. 
SKU: E3740. 
OEM: 344288. 
Marca: TOKICO.
Aplicación: AMORTIGUADOR, TRAS.TOYOTA 4RUNNER 96-02 PRADO 05/MERU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</si>
  <si>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ISZUSU LUV D-MAX 4X4</t>
  </si>
  <si>
    <t>E3778</t>
  </si>
  <si>
    <t xml:space="preserve">Producto Original. 
SKU: E3778. 
OEM: 8973685970. 
Marca: TOKICO.
Aplicación: AMORTIGUADOR,DELT. ISZUSU LUV D-MAX 4X4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</si>
  <si>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8973685970</t>
  </si>
  <si>
    <t>AMORTIGUADOR TRASERO ISZUSU LUV DMAX 04-</t>
  </si>
  <si>
    <t>E3779</t>
  </si>
  <si>
    <t xml:space="preserve">Producto Original. 
SKU: E3779. 
OEM: 8973685990. 
Marca: TOKICO.
Aplicación: AMORTIGUADOR, TRAS.ISZUSU LUV DMAX 04-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</si>
  <si>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8973685990</t>
  </si>
  <si>
    <t>AMORTIGUADOR DELANTERO TOYOTA HIACE</t>
  </si>
  <si>
    <t>E3803</t>
  </si>
  <si>
    <t xml:space="preserve">Producto Original. 
SKU: E3803. 
OEM: N/A. 
Marca: TOKICO.
Aplicación: AMORTIGUADOR, DELT.TOYOTA HIACE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</si>
  <si>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HIACE</t>
  </si>
  <si>
    <t>E3804</t>
  </si>
  <si>
    <t xml:space="preserve">Producto Original. 
SKU: E3804. 
OEM: N/A. 
Marca: TOKICO.
Aplicación: AMORTIGUADOR, TRAS.TOYOTA HIACE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</si>
  <si>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4RUNNER 03-08</t>
  </si>
  <si>
    <t>E3810</t>
  </si>
  <si>
    <t xml:space="preserve">Producto Original. 
SKU: E3810. 
OEM: 48530-80372. 
Marca: TOKICO.
Aplicación: AMORTIGUADOR, TRAS.TOYOTA 4RUNNER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</si>
  <si>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48530-80372</t>
  </si>
  <si>
    <t>AMORTIGUADOR DELANTERO TOYOTA FJ-80</t>
  </si>
  <si>
    <t>E4083</t>
  </si>
  <si>
    <t xml:space="preserve">Producto Original. 
SKU: E4083. 
OEM: N/A. 
Marca: TOKICO.
Aplicación: AMORTIGUADOR, DELT.TOYOTA FJ-80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</si>
  <si>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FORTUNER 15-</t>
  </si>
  <si>
    <t>E4184</t>
  </si>
  <si>
    <t xml:space="preserve">Producto Original. 
SKU: E4184. 
OEM: N/A. 
Marca: TOKICO.
Aplicación: AMORTIGUADOR, TRAS.TOYOTA FORTUNER 15-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</si>
  <si>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IZQUIERDO TOYOTA HILUX REVO 15-</t>
  </si>
  <si>
    <t>E4185</t>
  </si>
  <si>
    <t xml:space="preserve">Producto Original. 
SKU: E4185. 
OEM: N/A. 
Marca: TOKICO.
Aplicación: AMORTIGUADOR, TRAS.IZQ.TOYOTA HILUX REVO 15-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</si>
  <si>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DERECHO TOYOTA HILUX REVO 15-</t>
  </si>
  <si>
    <t>E4186</t>
  </si>
  <si>
    <t xml:space="preserve">Producto Original. 
SKU: E4186. 
OEM: N/A. 
Marca: TOKICO.
Aplicación: AMORTIGUADOR, TRAS.DER.TOYOTA HILUX REVO 15-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</si>
  <si>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https://http2.mlstatic.com/D_671596-MLV111191483411_052026-O.jpg</t>
  </si>
  <si>
    <t>G-21147E</t>
  </si>
  <si>
    <t xml:space="preserve">Producto Original. 
SKU: G-21147E. 
OEM: 32316, G-21143E, GR75070, 37269ST. 
Marca: GABRIEL.
Aplicación: AMORTIGUADOR TRAS.GRAND VITARA 99-08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</si>
  <si>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32316, G-21143E, GR75070, 37269ST</t>
  </si>
  <si>
    <t xml:space="preserve">Producto Original. 
SKU: G-21147E. 
OEM: 32316, G-21143E, GR75070, 37269ST. 
Marca: GABRIEL.
Aplicación: AMORTIGUADOR TRAS.GRAND VITARA 99-04 SIDEKICK 89-98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</si>
  <si>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https://http2.mlstatic.com/D_810472-MLV111192668747_052026-O.jpg</t>
  </si>
  <si>
    <t>G-21148E</t>
  </si>
  <si>
    <t xml:space="preserve">Producto Original. 
SKU: G-21148E. 
OEM: GR25241, 37241ST, 930073. 
Marca: GABRIEL.
Aplicación: AMORTIGUADOR, TRAS.TRAILBLAZER 02-09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</si>
  <si>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GR25241, 37241ST, 930073</t>
  </si>
  <si>
    <t>AMORTIGUADOR TRASERO HYUNDAI GETZ 06-12 BRISA 06-09</t>
  </si>
  <si>
    <t>https://http2.mlstatic.com/D_918581-MLV111192699091_052026-O.jpg</t>
  </si>
  <si>
    <t>G-21152E</t>
  </si>
  <si>
    <t xml:space="preserve">Producto Original. 
SKU: G-21152E. 
OEM: GR25659. 
Marca: GABRIEL.
Aplicación: AMORTIGUADOR, TRAS.HYUNDAI GETZ 06-12 BRISA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</si>
  <si>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GR25659</t>
  </si>
  <si>
    <t>https://http2.mlstatic.com/D_856580-MLV110266369290_052026-O.jpg,https://http2.mlstatic.com/D_706786-MLV111193202221_052026-O.jpg,https://http2.mlstatic.com/D_837247-MLV111191393925_052026-O.jpg,https://http2.mlstatic.com/D_602794-MLV111192609047_052026-O.jpg</t>
  </si>
  <si>
    <t>G-21153E</t>
  </si>
  <si>
    <t xml:space="preserve">Producto Original. 
SKU: G-21153E. 
OEM: 96408735, 802502, 5794ST, 2716N, 343423, G-21153E, GR25716. 
Marca: GABRIEL.
Aplicación: AMORTIGUADOR, TRAS.AVEO 04-15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</si>
  <si>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TOYOTA HILUX KAVAC 06-12</t>
  </si>
  <si>
    <t>G-21155E</t>
  </si>
  <si>
    <t xml:space="preserve">Producto Original. 
SKU: G-21155E. 
OEM: 349015. 
Marca: GABRIEL.
Aplicación: AMORTIGUADOR, TRAS.TOYOTA HILUX KAVAC 06-12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</si>
  <si>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https://http2.mlstatic.com/D_779708-MLV110265662788_052026-O.jpg</t>
  </si>
  <si>
    <t>G-21159E</t>
  </si>
  <si>
    <t xml:space="preserve">Producto Original. 
SKU: G-21159E. 
OEM: GR25722, 32722N, 96424027. 
Marca: GABRIEL.
Aplicación: AMORTIGUADOR, TRAS.SPARK 06-14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</si>
  <si>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WAGONEER 63-81 TRASERO F-350 65-79</t>
  </si>
  <si>
    <t>G-22100</t>
  </si>
  <si>
    <t xml:space="preserve">Producto Original. 
SKU: G-22100. 
OEM: N/A. 
Marca: GABRIEL.
Aplicación: AMORTIGUADOR, DELT.WAGONEER 63-81 TRAS.F-350 65-79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</si>
  <si>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G-22108</t>
  </si>
  <si>
    <t xml:space="preserve">Producto Original. 
SKU: G-22108. 
OEM: N/A. 
Marca: GABRIEL.
Aplicación: AMORTIGUADOR, DELT.TOYOTA FJ60 FJ 62 81-92 (SAMURAI)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</si>
  <si>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G-22110. 
OEM: 2122N. 
Marca: GABRIEL.
Aplicación: AMORTIGUADOR TRAS.CAVALIER 82-94 CHEVETTE 81-96 CIELO 95-02 CORSICA 87-94 ESPERO 92-97 LANOS 96-02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</si>
  <si>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G-22110. 
OEM: 2122N. 
Marca: GABRIEL.
Aplicación: AMORTIGUADOR TRAS.CAVALIER 82-94 MONZA 84-94 RACER 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</si>
  <si>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COUGAR 81-94 FAIRMONT 84-94 MUSTANG 81-</t>
  </si>
  <si>
    <t>G-22114</t>
  </si>
  <si>
    <t xml:space="preserve">Producto Original. 
SKU: G-22114. 
OEM: N/A. 
Marca: GABRIEL.
Aplicación: AMORTIGUADOR, TRAS.COUGAR 81-94 FAIRMONT 84-94 MUSTANG 81-94 ZEPHYR 84-94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</si>
  <si>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G-22125</t>
  </si>
  <si>
    <t xml:space="preserve">Producto Original. 
SKU: G-22125. 
OEM: 2122N. 
Marca: GABRIEL.
Aplicación: AMORTIGUADOR TRAS.CAVALIER 82-94 CHEVETTE 81-96 CIELO 95-02 CORSICA 87-94 ESPERO 92-97 LANOS 96-02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</si>
  <si>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G-22125. 
OEM: 2122N. 
Marca: GABRIEL.
Aplicación: AMORTIGUADOR TRAS.CAVALIER 82-94 MONZA 84-94 RACER 92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</si>
  <si>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G-22126E</t>
  </si>
  <si>
    <t xml:space="preserve">Producto Original. 
SKU: G-22126E. 
OEM: 2644N. 
Marca: BRASIL.
Aplicación: AMORTIGUADOR, TRAS.SIERRA 85-91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</si>
  <si>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BRASIL</t>
  </si>
  <si>
    <t>AMORTIGUADOR TRASERO WAGONEER 82-87</t>
  </si>
  <si>
    <t>G-22133</t>
  </si>
  <si>
    <t xml:space="preserve">Producto Original. 
SKU: G-22133. 
OEM: N/A. 
Marca: GABRIEL.
Aplicación: AMORTIGUADOR, TRAS.WAGONEER 82-87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</si>
  <si>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G-22146</t>
  </si>
  <si>
    <t xml:space="preserve">Producto Original. 
SKU: G-22146. 
OEM: 32220, 34976, G-22146. 
Marca: GABRIEL.
Aplicación: AMORTIGUADOR, TRAS.WRANGLER 87-95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</si>
  <si>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RENAULT R-11 86-87 GALA 92-94 DACIA SED</t>
  </si>
  <si>
    <t>G-22147E</t>
  </si>
  <si>
    <t xml:space="preserve">Producto Original. 
SKU: G-22147E. 
OEM: N/A. 
Marca: GABRIEL.
Aplicación: AMORTIGUADOR, TRAS.RENAULT R-11 86-87 GALA 92-94 DACIA SEDAN Y TAXI 00-07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</si>
  <si>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RENAULT R-21 89-91</t>
  </si>
  <si>
    <t>G-22148E</t>
  </si>
  <si>
    <t xml:space="preserve">Producto Original. 
SKU: G-22148E. 
OEM: N/A. 
Marca: GABRIEL.
Aplicación: AMORTIGUADOR, TRAS.RENAULT R-21 89-91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</si>
  <si>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CHEROKEE 84-90 XJ WAGONEER 84-90 OJO Y</t>
  </si>
  <si>
    <t>https://http2.mlstatic.com/D_792719-MLV111192549201_052026-O.jpg,https://http2.mlstatic.com/D_802174-MLV110265632910_052026-O.jpg</t>
  </si>
  <si>
    <t>G-22150</t>
  </si>
  <si>
    <t xml:space="preserve">Producto Original. 
SKU: G-22150. 
OEM: 32197, 37027ST. 
Marca: GABRIEL.
Aplicación: AMORTIGUADOR, TRAS.CHEROKEE 84-90 XJ WAGONEER 84-90 (OJO Y OJO)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</si>
  <si>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G-22151</t>
  </si>
  <si>
    <t xml:space="preserve">Producto Original. 
SKU: G-22151. 
OEM: 32197, 37027ST. 
Marca: GABRIEL.
Aplicación: AMORTIGUADOR, TRAS.CHEROKEE 84-01 XJ WAGONEER 84-90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</si>
  <si>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G-22154</t>
  </si>
  <si>
    <t xml:space="preserve">Producto Original. 
SKU: G-22154. 
OEM: 32300, 37019ST, G-23115E, GR25300, 32224. 
Marca: GABRIEL.
Aplicación: AMORTIGUADOR, DELT.BLAZER 91-94 4X2 BLAZER 95-05 4X2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</si>
  <si>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32300, 37019ST, G-23115E, GR25300, 32224</t>
  </si>
  <si>
    <t>G-22155</t>
  </si>
  <si>
    <t xml:space="preserve">Producto Original. 
SKU: G-22155. 
OEM: 32186, 37021ST, G-22157, G-22173E. 
Marca: GABRIEL.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</si>
  <si>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32186, 37021ST, G-22157, G-22173E</t>
  </si>
  <si>
    <t>https://http2.mlstatic.com/D_963099-MLV110265070334_052026-O.jpg</t>
  </si>
  <si>
    <t>G-22157</t>
  </si>
  <si>
    <t xml:space="preserve">Producto Original. 
SKU: G-22157. 
OEM: 32186, G-22155, G-22157, G-22173E. 
Marca: GABRIEL.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</si>
  <si>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RENAULT R- ENERGY 94-00</t>
  </si>
  <si>
    <t>G-22169E</t>
  </si>
  <si>
    <t xml:space="preserve">Producto Original. 
SKU: G-22169E. 
OEM: N/A. 
Marca: GABRIEL.
Aplicación: AMORTIGUADOR, TRAS.RENAULT R- ENERGY 94-00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</si>
  <si>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https://http2.mlstatic.com/D_897077-MLV110265159306_052026-O.jpg</t>
  </si>
  <si>
    <t>G-22173E</t>
  </si>
  <si>
    <t xml:space="preserve">Producto Original. 
SKU: G-22173E. 
OEM: 32186, G-22155, G-22157, 37021ST. 
Marca: GABRIEL.
Aplicación: AMORTIGUADOR, TRAS.BLAZER 92-94 4X2 4X4 BLAZER 95-05 4X2 4X4 S-10 91-94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</si>
  <si>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32186, G-22155, G-22157, 37021ST</t>
  </si>
  <si>
    <t>G-22174E</t>
  </si>
  <si>
    <t xml:space="preserve">Producto Original. 
SKU: G-22174E. 
OEM: GR25090, 33090. 
Marca: GABRIEL.
Aplicación: AMORTIGUADOR, TRAS.HYUNDAI EXCEL 97-99 SCOUPE 91-99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</si>
  <si>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GR25090, 33090</t>
  </si>
  <si>
    <t>https://http2.mlstatic.com/D_675759-MLV110266369438_052026-O.jpg</t>
  </si>
  <si>
    <t>G-22185T</t>
  </si>
  <si>
    <t xml:space="preserve">Producto Original. 
SKU: G-22185T. 
OEM: 32334, 37157ST, G-22185T, GR75157, 344288, G-63726. 
Marca: GABRIEL.
Aplicación: AMORTIGUADOR TRAS.TOYOTA 4RUNNER 96-02 PRADO 00-06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</si>
  <si>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 xml:space="preserve">Producto Original. 
SKU: G-22185T. 
OEM: 32334, 37157ST, G-22185T, GR75157, 344288, G-63726. 
Marca: GABRIEL.
Aplicación: AMORTIGUADOR TRAS.TOYOTA 4RUNNER 96-02 MERU 04-09 TACOMA 95-04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</si>
  <si>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RENAULT MEGANE CLASSIC 01-08</t>
  </si>
  <si>
    <t>G-22187T</t>
  </si>
  <si>
    <t xml:space="preserve">Producto Original. 
SKU: G-22187T. 
OEM: N/A. 
Marca: GABRIEL.
Aplicación: AMORTIGUADOR, TRAS.RENAULT MEGANE CLASSIC 01-08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</si>
  <si>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RENAULT SCENIC 97-09</t>
  </si>
  <si>
    <t>G-22191T</t>
  </si>
  <si>
    <t xml:space="preserve">Producto Original. 
SKU: G-22191T. 
OEM: N/A. 
Marca: GABRIEL.
Aplicación: AMORTIGUADOR, TRAS.RENAULT SCENIC 97-09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</si>
  <si>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MERCEDES BENZ CAMION 711-712 03-08</t>
  </si>
  <si>
    <t>G-22194E</t>
  </si>
  <si>
    <t xml:space="preserve">Producto Original. 
SKU: G-22194E. 
OEM: N/A. 
Marca: GABRIEL.
Aplicación: AMORTIGUADOR, TRAS.MERCEDES BENZ CAMION 711-712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</si>
  <si>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DINA 03/05</t>
  </si>
  <si>
    <t>https://http2.mlstatic.com/D_741946-MLV110265159322_052026-O.jpg</t>
  </si>
  <si>
    <t>G-22197E</t>
  </si>
  <si>
    <t xml:space="preserve">Producto Original. 
SKU: G-22197E. 
OEM: N/A. 
Marca: GABRIEL.
Aplicación: AMORTIGUADOR, TRAS.DINA 03/05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</si>
  <si>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DELANTERO DYNA 03-09</t>
  </si>
  <si>
    <t>G-22198E</t>
  </si>
  <si>
    <t xml:space="preserve">Producto Original. 
SKU: G-22198E. 
OEM: 48511-37160-N. 
Marca: GABRIEL.
Aplicación: AMORTIGUADOR, DELT.DYNA 03-09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</si>
  <si>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48511-37160-N</t>
  </si>
  <si>
    <t>AMORTIGUADOR TRASERO WAGON R 00-04 SUPER CARRY 96-05 DAMAS 9</t>
  </si>
  <si>
    <t>https://http2.mlstatic.com/D_746350-MLV110265159334_052026-O.jpg</t>
  </si>
  <si>
    <t>G-22200E</t>
  </si>
  <si>
    <t xml:space="preserve">Producto Original. 
SKU: G-22200E. 
OEM: 1096N. 
Marca: GABRIEL.
Aplicación: AMORTIGUADOR, TRAS.WAGON R 00-04 SUPER CARRY 96-05 DAMAS 96-01 MATIZ 99-03 TICO 96-03 CHERY QQ 06-10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</si>
  <si>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1096N</t>
  </si>
  <si>
    <t>AMORTIGUADOR TRASERO KIA RIO 00-04</t>
  </si>
  <si>
    <t>https://http2.mlstatic.com/D_792680-MLV110265573712_052026-O.jpg</t>
  </si>
  <si>
    <t>G-22201</t>
  </si>
  <si>
    <t xml:space="preserve">Producto Original. 
SKU: G-22201. 
OEM: N/A. 
Marca: GABRIEL.
Aplicación: AMORTIGUADOR TRAS.KIA RIO 00-04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</si>
  <si>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KIA RIO STYLUS 05-11</t>
  </si>
  <si>
    <t xml:space="preserve">Producto Original. 
SKU: G-22201. 
OEM: N/A. 
Marca: GABRIEL.
Aplicación: AMORTIGUADOR TRAS.KIA RIO STYLUS 05-11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</si>
  <si>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https://http2.mlstatic.com/D_971086-MLV110265633012_052026-O.jpg</t>
  </si>
  <si>
    <t>G-22203E</t>
  </si>
  <si>
    <t xml:space="preserve">Producto Original. 
SKU: G-22203E. 
OEM: 34729, 344420, G-22203E, GR25420. 
Marca: GABRIEL.
Aplicación: AMORTIGUADOR, DELT.LUV D-MAX 05-13 (CON BARRA DE TORSION)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</si>
  <si>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LUV D-MAX 2 4 4X4 06-08 LUV</t>
  </si>
  <si>
    <t>https://http2.mlstatic.com/D_654036-MLV110265692792_052026-O.jpg</t>
  </si>
  <si>
    <t>G-22205T</t>
  </si>
  <si>
    <t xml:space="preserve">Producto Original. 
SKU: G-22205T. 
OEM: N/A. 
Marca: GABRIEL.
Aplicación: AMORTIGUADOR TRAS.LUV D-MAX 2.4 4X4 06-08 LUV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</si>
  <si>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LUV D-MAX 3 0 3 5 07-13</t>
  </si>
  <si>
    <t xml:space="preserve">Producto Original. 
SKU: G-22205T. 
OEM: N/A. 
Marca: GABRIEL.
Aplicación: AMORTIGUADOR TRAS.LUV D-MAX 3.0 3.5 07-13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</si>
  <si>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LUV SAMURAI 80-87 CARIBE 82-93</t>
  </si>
  <si>
    <t xml:space="preserve">Producto Original. 
SKU: G-22205T. 
OEM: N/A. 
Marca: GABRIEL.
Aplicación: AMORTIGUADOR TRAS.LUV SAMURAI 80-87 CARIBE 82-93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</si>
  <si>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LUV RANGER 98-11 ESPIRAL</t>
  </si>
  <si>
    <t xml:space="preserve">Producto Original. 
SKU: G-22205T. 
OEM: N/A. 
Marca: GABRIEL.
Aplicación: AMORTIGUADOR TRAS.LUV RANGER 98-11 CON ESPIRAL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</si>
  <si>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https://http2.mlstatic.com/D_720128-MLV111192699321_052026-O.jpg</t>
  </si>
  <si>
    <t>G-22207E</t>
  </si>
  <si>
    <t xml:space="preserve">Producto Original. 
SKU: G-22207E. 
OEM: GR25901, 23901N, 27224. 
Marca: GABRIEL.
Aplicación: AMORTIGUADOR, TRAS.FIESTA 03-13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</si>
  <si>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GR25901, 23901N, 27224</t>
  </si>
  <si>
    <t>https://http2.mlstatic.com/D_790327-MLV111191394139_052026-O.jpg</t>
  </si>
  <si>
    <t>G-22208T</t>
  </si>
  <si>
    <t xml:space="preserve">Producto Original. 
SKU: G-22208T. 
OEM: 32717N, GR25207. 
Marca: GABRIEL.
Aplicación: AMORTIGUADOR, TRAS.ECOSPORT 03-09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</si>
  <si>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32717N, GR25207</t>
  </si>
  <si>
    <t>https://http2.mlstatic.com/D_742769-MLV110265662960_052026-O.jpg</t>
  </si>
  <si>
    <t>G-22209E</t>
  </si>
  <si>
    <t xml:space="preserve">Producto Original. 
SKU: G-22209E. 
OEM: GR25199, 343272, G-22209E. 
Marca: GABRIEL.
Aplicación: AMORTIGUADOR, TRAS.CHERY TIGGO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</si>
  <si>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GR25199, 343272, G-22209E</t>
  </si>
  <si>
    <t>AMORTIGUADOR TRASERO TOYOTA YARIS 99-05 DELANTERO SOL</t>
  </si>
  <si>
    <t>https://http2.mlstatic.com/D_794160-MLV111192639041_052026-O.jpg,https://http2.mlstatic.com/D_749592-MLV111192699365_052026-O.jpg</t>
  </si>
  <si>
    <t>G-22210E</t>
  </si>
  <si>
    <t xml:space="preserve">Producto Original. 
SKU: G-22210E. 
OEM: G-22210E, GR25910. 
Marca: GABRIEL.
Aplicación: AMORTIGUADOR, TRAS.TOYOTA YARIS 99-05 DEL SOL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</si>
  <si>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G-22210E, GR25910</t>
  </si>
  <si>
    <t>https://http2.mlstatic.com/D_890537-MLV111191424127_052026-O.jpg</t>
  </si>
  <si>
    <t>G-22212E</t>
  </si>
  <si>
    <t xml:space="preserve">Producto Original. 
SKU: G-22212E. 
OEM: 34341, GR25441. 
Marca: GABRIEL.
Aplicación: AMORTIGUADOR, TRAS.TOYOTA TERIOS 08-13 BEGO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</si>
  <si>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34341, GR25441</t>
  </si>
  <si>
    <t>AMORTIGUADOR TRASERO KIA PICANTO 06-09</t>
  </si>
  <si>
    <t>G-22215T</t>
  </si>
  <si>
    <t xml:space="preserve">Producto Original. 
SKU: G-22215T. 
OEM: N/A. 
Marca: GABRIEL.
Aplicación: AMORTIGUADOR, TRAS.KIA PICANTO 06-09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</si>
  <si>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https://http2.mlstatic.com/D_998820-MLV111191572845_052026-O.jpg</t>
  </si>
  <si>
    <t>G-22218T</t>
  </si>
  <si>
    <t xml:space="preserve">Producto Original. 
SKU: G-22218T. 
OEM: 5784, 69440, GR25784. 
Marca: GABRIEL.
Aplicación: AMORTIGUADOR, TRAS.FUSION 06-12 MAZDA 6 03-08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</si>
  <si>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5784, 69440, GR25784</t>
  </si>
  <si>
    <t>AMORTIGUADOR TRASERO DAEWOO TACUMA 02-06</t>
  </si>
  <si>
    <t>G-22219T</t>
  </si>
  <si>
    <t xml:space="preserve">Producto Original. 
SKU: G-22219T. 
OEM: N/A. 
Marca: GABRIEL.
Aplicación: AMORTIGUADOR, TRAS.DAEWOO TACUMA 02-06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</si>
  <si>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FIAT IDEA 07-09</t>
  </si>
  <si>
    <t>G-22221T</t>
  </si>
  <si>
    <t xml:space="preserve">Producto Original. 
SKU: G-22221T. 
OEM: N/A. 
Marca: GABRIEL.
Aplicación: AMORTIGUADOR, TRAS.FIAT IDEA 07-09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</si>
  <si>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CROSS FOX 06-08</t>
  </si>
  <si>
    <t>G-22222T</t>
  </si>
  <si>
    <t xml:space="preserve">Producto Original. 
SKU: G-22222T. 
OEM: N/A. 
Marca: GABRIEL.
Aplicación: AMORTIGUADOR, TRAS.CROSS FOX 06-08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</si>
  <si>
    <t>AMORTIGUADOR TRASERO VOLKSWAGEN FOX-SPACEFOX 06-11-POLO SEDA</t>
  </si>
  <si>
    <t>G-22223T</t>
  </si>
  <si>
    <t xml:space="preserve">Producto Original. 
SKU: G-22223T. 
OEM: N/A. 
Marca: GABRIEL.
Aplicación: AMORTIGUADOR, TRAS.VOLKSWAGEN FOX-SPACEFOX 06-11-POLO SEDAN 1.6-2.0 03-09-SEAT CORDOBA 1.8-2.0 03-08-IBIZA
--------------------------------------------------
🏢 TIENDA OFICIAL - CALIDAD GARANTIZADA
--------------------------------------------------
✅ PRODUCTO 100% ORIGINAL Y NUEVO
✅ FACTURA FISCAL DISPONIBLE
✅ ENVIOS GRATIS A TODO EL PAIS (MRW, ZOOM, TEALCA)
✅ RETIRO EN PERSONA (VALENCIA / CARACAS)
⚠️ IMPORTANTE: 
Por favor verifique la compatibilidad con su vehículo antes de ofertar. 
Realice todas sus preguntas, estamos para servirle.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</si>
</sst>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family val="2"/>
      <sz val="12"/>
      <name val="Arial"/>
    </font>
    <font>
      <b/>
      <color rgb="FF434343"/>
      <family val="2"/>
      <scheme val="minor"/>
      <sz val="10"/>
      <name val="Arial"/>
    </font>
    <font>
      <b/>
      <color rgb="FF333333"/>
      <family val="2"/>
      <sz val="16"/>
      <name val="Arial"/>
    </font>
    <font>
      <color rgb="FF666666"/>
      <family val="2"/>
      <sz val="10"/>
      <name val="Arial"/>
    </font>
    <font>
      <color rgb="FF666666"/>
      <family val="2"/>
      <sz val="11"/>
      <name val="Arial"/>
    </font>
    <font>
      <b/>
      <color rgb="FF333333"/>
      <family val="2"/>
      <sz val="12"/>
      <name val="Arial"/>
    </font>
    <font>
      <b/>
      <color rgb="FF666666"/>
      <family val="2"/>
      <sz val="9"/>
      <name val="Arial"/>
    </font>
    <font>
      <color rgb="FF333333"/>
      <family val="2"/>
      <sz val="10"/>
      <name val="Arial"/>
    </font>
    <font>
      <color rgb="FF666666"/>
      <family val="2"/>
      <sz val="9"/>
      <name val="Arial"/>
    </font>
    <font>
      <b/>
      <color rgb="FF333333"/>
      <family val="2"/>
      <sz val="10"/>
      <name val="Arial"/>
    </font>
    <font>
      <b/>
      <color rgb="FFF44336"/>
      <family val="2"/>
      <sz val="9"/>
      <name val="Arial"/>
    </font>
    <font>
      <color rgb="FFF44336"/>
      <family val="2"/>
      <sz val="9"/>
      <name val="Arial"/>
    </font>
    <font>
      <u/>
      <color rgb="FF1155CC"/>
      <family val="2"/>
      <sz val="10"/>
      <name val="Arial"/>
    </font>
    <font>
      <color theme="1"/>
      <family val="2"/>
      <sz val="10"/>
      <name val="Arial"/>
    </font>
    <font>
      <color rgb="FF000000"/>
      <scheme val="minor"/>
      <sz val="10"/>
      <name val="Arial"/>
    </font>
    <font>
      <family val="2"/>
      <sz val="11"/>
      <name val="Arial"/>
    </font>
    <font>
      <color rgb="FF000000"/>
      <family val="2"/>
      <sz val="10"/>
      <name val="Arial"/>
    </font>
    <font>
      <b/>
      <color rgb="FF919191"/>
      <family val="2"/>
      <sz val="10"/>
      <name val="Arial"/>
    </font>
    <font>
      <b/>
      <family val="2"/>
      <sz val="10"/>
      <name val="Arial"/>
    </font>
    <font>
      <b/>
      <family val="2"/>
      <sz val="14"/>
      <name val="Arial"/>
    </font>
    <font>
      <b/>
      <family val="2"/>
      <sz val="9"/>
      <name val="Arial"/>
    </font>
    <font>
      <i/>
      <color rgb="FF85200C"/>
      <family val="2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0" fontId="5" fillId="4" borderId="0" xfId="0" applyFont="1" applyFill="1" applyAlignment="1" applyProtection="1">
      <alignment horizontal="left" vertical="top" wrapText="1"/>
      <protection locked="0"/>
    </xf>
    <xf numFmtId="0" fontId="6" fillId="3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 wrapText="1"/>
      <protection locked="0"/>
    </xf>
    <xf numFmtId="0" fontId="7" fillId="3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center" wrapText="1"/>
      <protection locked="0"/>
    </xf>
    <xf numFmtId="0" fontId="9" fillId="3" borderId="0" xfId="0" applyFont="1" applyFill="1" applyAlignment="1" applyProtection="1">
      <alignment horizontal="left" vertical="top" wrapText="1"/>
      <protection locked="0"/>
    </xf>
    <xf numFmtId="0" fontId="10" fillId="5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6" borderId="0" xfId="0" applyFont="1" applyFill="1" applyAlignment="1" applyProtection="1">
      <alignment horizontal="left" vertical="center" wrapText="1"/>
      <protection locked="0"/>
    </xf>
    <xf numFmtId="0" fontId="12" fillId="3" borderId="0" xfId="0" applyFont="1" applyFill="1" applyAlignment="1" applyProtection="1">
      <alignment horizontal="left" vertical="top" wrapText="1"/>
      <protection locked="0"/>
    </xf>
    <xf numFmtId="0" fontId="10" fillId="7" borderId="0" xfId="0" applyFont="1" applyFill="1" applyAlignment="1" applyProtection="1">
      <alignment horizontal="left" vertical="center" wrapText="1"/>
      <protection locked="0"/>
    </xf>
    <xf numFmtId="0" fontId="10" fillId="8" borderId="0" xfId="0" applyFont="1" applyFill="1" applyAlignment="1" applyProtection="1">
      <alignment horizontal="left" vertical="center" wrapText="1"/>
      <protection locked="0"/>
    </xf>
    <xf numFmtId="0" fontId="8" fillId="3" borderId="0" xfId="0" applyFont="1" applyFill="1" applyAlignment="1" applyProtection="1">
      <alignment horizontal="left" vertical="center" wrapText="1"/>
      <protection locked="0"/>
    </xf>
    <xf numFmtId="0" fontId="13" fillId="3" borderId="0" xfId="0" applyFont="1" applyFill="1" applyAlignment="1" applyProtection="1">
      <alignment horizontal="left" vertical="center" wrapText="1"/>
      <protection locked="0"/>
    </xf>
    <xf numFmtId="0" fontId="10" fillId="4" borderId="0" xfId="0" applyFont="1" applyFill="1" applyAlignment="1" applyProtection="1">
      <alignment horizontal="left" vertical="center" wrapText="1"/>
      <protection locked="0"/>
    </xf>
    <xf numFmtId="0" fontId="8" fillId="4" borderId="0" xfId="0" applyFont="1" applyFill="1" applyAlignment="1" applyProtection="1">
      <alignment horizontal="left" vertical="top" wrapText="1"/>
      <protection locked="0"/>
    </xf>
    <xf numFmtId="0" fontId="13" fillId="4" borderId="0" xfId="0" applyFont="1" applyFill="1" applyAlignment="1" applyProtection="1">
      <alignment horizontal="left" vertical="center" wrapText="1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0" fontId="10" fillId="4" borderId="0" xfId="0" applyFont="1" applyFill="1" applyAlignment="1" applyProtection="1">
      <alignment horizontal="left" vertical="top" wrapText="1"/>
      <protection locked="0"/>
    </xf>
    <xf numFmtId="0" fontId="14" fillId="0" borderId="0" xfId="0" applyFont="1"/>
    <xf numFmtId="49" fontId="15" fillId="0" borderId="0" xfId="0" applyNumberFormat="1" applyFont="1"/>
    <xf numFmtId="0" fontId="16" fillId="0" borderId="0" xfId="0" applyFont="1" applyAlignment="1" applyProtection="1">
      <alignment wrapText="1"/>
      <protection locked="0"/>
    </xf>
    <xf numFmtId="3" fontId="15" fillId="0" borderId="0" xfId="0" applyNumberFormat="1" applyFont="1"/>
    <xf numFmtId="4" fontId="15" fillId="0" borderId="0" xfId="0" applyNumberFormat="1" applyFont="1"/>
    <xf numFmtId="0" fontId="16" fillId="0" borderId="1" xfId="0" applyFont="1" applyBorder="1" applyAlignment="1" applyProtection="1">
      <alignment wrapText="1"/>
      <protection locked="0"/>
    </xf>
    <xf numFmtId="0" fontId="17" fillId="9" borderId="1" xfId="0" applyFont="1" applyFill="1" applyBorder="1" applyAlignment="1">
      <alignment horizontal="center" vertical="center" wrapText="1"/>
    </xf>
    <xf numFmtId="0" fontId="15" fillId="0" borderId="0" xfId="0" applyFont="1"/>
    <xf numFmtId="0" fontId="16" fillId="9" borderId="1" xfId="0" applyFont="1" applyFill="1" applyBorder="1" applyAlignment="1">
      <alignment horizontal="left"/>
    </xf>
    <xf numFmtId="0" fontId="18" fillId="10" borderId="0" xfId="0" applyFont="1" applyFill="1" applyAlignment="1" applyProtection="1">
      <alignment horizontal="left" vertical="center"/>
      <protection locked="0"/>
    </xf>
    <xf numFmtId="0" fontId="19" fillId="11" borderId="1" xfId="0" applyFont="1" applyFill="1" applyBorder="1" applyAlignment="1" applyProtection="1">
      <alignment horizontal="center" vertical="center" wrapText="1"/>
      <protection locked="0"/>
    </xf>
    <xf numFmtId="0" fontId="19" fillId="12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center" vertical="center"/>
      <protection locked="0"/>
    </xf>
    <xf numFmtId="0" fontId="19" fillId="14" borderId="1" xfId="0" applyFont="1" applyFill="1" applyBorder="1" applyAlignment="1" applyProtection="1">
      <alignment horizontal="center" vertical="center" wrapText="1"/>
      <protection locked="0"/>
    </xf>
    <xf numFmtId="0" fontId="19" fillId="15" borderId="1" xfId="0" applyFont="1" applyFill="1" applyBorder="1" applyAlignment="1" applyProtection="1">
      <alignment horizontal="center" vertical="center"/>
      <protection locked="0"/>
    </xf>
    <xf numFmtId="0" fontId="16" fillId="0" borderId="0" xfId="0" applyFont="1" applyProtection="1">
      <protection locked="0"/>
    </xf>
    <xf numFmtId="0" fontId="20" fillId="10" borderId="0" xfId="0" applyFont="1" applyFill="1" applyAlignment="1" applyProtection="1">
      <alignment horizontal="left" vertical="center"/>
      <protection locked="0"/>
    </xf>
    <xf numFmtId="0" fontId="21" fillId="2" borderId="1" xfId="0" applyFont="1" applyFill="1" applyBorder="1" applyAlignment="1" applyProtection="1">
      <alignment horizontal="center" vertical="center" wrapText="1"/>
      <protection locked="0"/>
    </xf>
    <xf numFmtId="0" fontId="21" fillId="16" borderId="1" xfId="0" applyFont="1" applyFill="1" applyBorder="1" applyAlignment="1" applyProtection="1">
      <alignment horizontal="center" vertical="center" wrapText="1"/>
      <protection locked="0"/>
    </xf>
    <xf numFmtId="0" fontId="21" fillId="17" borderId="1" xfId="0" applyFont="1" applyFill="1" applyBorder="1" applyAlignment="1" applyProtection="1">
      <alignment horizontal="center" vertical="center" wrapText="1"/>
      <protection locked="0"/>
    </xf>
    <xf numFmtId="0" fontId="21" fillId="18" borderId="1" xfId="0" applyFont="1" applyFill="1" applyBorder="1" applyAlignment="1" applyProtection="1">
      <alignment horizontal="center" vertical="center" wrapText="1"/>
      <protection locked="0"/>
    </xf>
    <xf numFmtId="0" fontId="21" fillId="19" borderId="1" xfId="0" applyFont="1" applyFill="1" applyBorder="1" applyAlignment="1" applyProtection="1">
      <alignment horizontal="center" vertical="center" wrapText="1"/>
      <protection locked="0"/>
    </xf>
    <xf numFmtId="0" fontId="21" fillId="20" borderId="1" xfId="0" applyFont="1" applyFill="1" applyBorder="1" applyAlignment="1" applyProtection="1">
      <alignment horizontal="center" vertical="center"/>
      <protection locked="0"/>
    </xf>
    <xf numFmtId="0" fontId="21" fillId="21" borderId="1" xfId="0" applyFont="1" applyFill="1" applyBorder="1" applyAlignment="1" applyProtection="1">
      <alignment horizontal="center" vertical="center"/>
      <protection locked="0"/>
    </xf>
    <xf numFmtId="0" fontId="22" fillId="9" borderId="1" xfId="0" applyFont="1" applyFill="1" applyBorder="1" applyAlignment="1" applyProtection="1">
      <alignment horizontal="center" vertical="center" wrapText="1"/>
      <protection locked="0"/>
    </xf>
    <xf numFmtId="0" fontId="23" fillId="9" borderId="1" xfId="0" applyFont="1" applyFill="1" applyBorder="1" applyAlignment="1" applyProtection="1">
      <alignment horizontal="center" vertical="center" wrapText="1"/>
      <protection locked="0"/>
    </xf>
    <xf numFmtId="0" fontId="20" fillId="9" borderId="0" xfId="0" applyFont="1" applyFill="1" applyAlignment="1" applyProtection="1">
      <alignment horizontal="left" vertical="center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9" fillId="13" borderId="0" xfId="0" applyFont="1" applyFill="1" applyAlignment="1" applyProtection="1">
      <alignment horizontal="left" vertical="center"/>
      <protection locked="0"/>
    </xf>
    <xf numFmtId="0" fontId="16" fillId="9" borderId="0" xfId="0" applyFont="1" applyFill="1" applyProtection="1">
      <protection locked="0"/>
    </xf>
  </cellXfs>
  <cellStyles count="1">
    <cellStyle name="Normal" xfId="0" builtinId="0"/>
  </cellStyles>
  <dxfs count="22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.2" defaultColWidth="12.570312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ht="14.25" customHeight="1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.1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ht="14.25" customHeight="1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1.95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.1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.1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hidden="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1.95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1.95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1.95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1.95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1.95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hidden="1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.1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.1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1.95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.1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.1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.1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.1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.1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.1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.1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.1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4.9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ht="14.25" customHeight="1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.1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.1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ht="14.25" customHeight="1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.1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ht="14.25" customHeight="1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.1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ht="14.25" customHeight="1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.1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.1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.1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.1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ht="14.25" customHeight="1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.1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ht="14.25" customHeight="1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.1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.1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ht="14.25" customHeight="1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.1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ht="14.25" customHeight="1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.1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ht="14.25" customHeight="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.1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.1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ht="14.25" customHeight="1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.1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.1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.1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.1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ht="14.25" customHeight="1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.1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ht="14.25" customHeight="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.1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ht="14.25" customHeight="1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.1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4.9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.1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.1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.1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ht="14.25" customHeight="1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.1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.1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4.9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.1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.1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ht="14.25" customHeight="1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ht="14.25" customHeight="1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ht="14.25" customHeight="1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ht="14.25" customHeight="1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ht="14.25" customHeight="1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ht="14.25" customHeight="1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ht="14.25" customHeight="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ht="14.25" customHeight="1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ht="14.25" customHeight="1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ht="14.25" customHeight="1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ht="14.25" customHeight="1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ht="14.25" customHeight="1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ht="14.25" customHeight="1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ht="14.25" customHeight="1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ht="14.25" customHeight="1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ht="14.25" customHeight="1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ht="14.25" customHeight="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ht="14.25" customHeight="1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ht="14.25" customHeight="1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ht="14.25" customHeight="1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ht="14.25" customHeight="1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ht="14.25" customHeight="1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ht="14.25" customHeight="1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ht="14.25" customHeight="1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ht="14.25" customHeight="1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ht="14.25" customHeight="1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ht="14.25" customHeight="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ht="14.25" customHeight="1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ht="14.25" customHeight="1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ht="14.25" customHeight="1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ht="14.25" customHeight="1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ht="14.25" customHeight="1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ht="12.75" customHeight="1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ht="12.75" customHeight="1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ht="12.75" customHeight="1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ht="12.75" customHeight="1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ht="12.75" customHeight="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ht="12.75" customHeight="1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ht="12.75" customHeight="1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ht="12.75" customHeight="1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ht="12.75" customHeight="1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ht="12.75" customHeight="1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ht="12.75" customHeight="1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ht="12.75" customHeight="1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ht="12.75" customHeight="1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ht="12.75" customHeight="1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ht="12.75" customHeight="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ht="12.75" customHeight="1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ht="12.75" customHeight="1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ht="12.75" customHeight="1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ht="12.75" customHeight="1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ht="12.75" customHeight="1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ht="12.75" customHeight="1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ht="12.75" customHeight="1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ht="12.75" customHeight="1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ht="12.75" customHeight="1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ht="12.75" customHeight="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ht="12.75" customHeight="1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ht="12.75" customHeight="1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ht="12.75" customHeight="1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ht="12.75" customHeight="1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ht="12.75" customHeight="1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ht="12.75" customHeight="1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ht="12.75" customHeight="1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ht="12.75" customHeight="1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ht="12.75" customHeight="1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ht="12.75" customHeight="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ht="12.75" customHeight="1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ht="12.75" customHeight="1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ht="12.75" customHeight="1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ht="12.75" customHeight="1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ht="12.75" customHeight="1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ht="12.75" customHeight="1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ht="12.75" customHeight="1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ht="12.75" customHeight="1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ht="12.75" customHeight="1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ht="12.75" customHeight="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ht="12.75" customHeight="1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ht="12.75" customHeight="1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ht="12.75" customHeight="1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ht="12.75" customHeight="1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ht="12.75" customHeight="1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ht="12.75" customHeight="1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ht="12.75" customHeight="1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ht="12.75" customHeight="1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ht="12.75" customHeight="1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ht="12.75" customHeight="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ht="12.75" customHeight="1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ht="12.75" customHeight="1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ht="12.75" customHeight="1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ht="12.75" customHeight="1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ht="12.75" customHeight="1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ht="12.75" customHeight="1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ht="12.75" customHeight="1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ht="12.75" customHeight="1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ht="12.75" customHeight="1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ht="12.75" customHeight="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ht="12.75" customHeight="1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ht="12.75" customHeight="1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ht="12.75" customHeight="1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ht="12.75" customHeight="1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ht="12.75" customHeight="1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ht="15.75" customHeight="1" spans="1:23" x14ac:dyDescent="0.25">
      <c r="A10001" s="26"/>
      <c r="B10001" s="26"/>
      <c r="C10001" s="26"/>
      <c r="D10001" s="26"/>
      <c r="E10001" s="26"/>
      <c r="F10001" s="26"/>
      <c r="G10001" s="26"/>
      <c r="H10001" s="26"/>
      <c r="I10001" s="26"/>
      <c r="J10001" s="26"/>
      <c r="K10001" s="26"/>
      <c r="L10001" s="26"/>
      <c r="M10001" s="26"/>
      <c r="N10001" s="26"/>
      <c r="O10001" s="26"/>
      <c r="P10001" s="26"/>
      <c r="Q10001" s="26"/>
      <c r="R10001" s="26"/>
      <c r="S10001" s="26"/>
      <c r="T10001" s="26"/>
      <c r="U10001" s="26"/>
      <c r="V10001" s="26"/>
      <c r="W10001" s="26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 zoomScale="100" zoomScaleNormal="100"/>
  </sheetViews>
  <sheetFormatPr defaultRowHeight="12.75" outlineLevelRow="0" outlineLevelCol="0" x14ac:dyDescent="0.2" defaultColWidth="9.140625" customHeight="1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2" x14ac:dyDescent="0.25">
      <c r="A4" t="s">
        <v>66</v>
      </c>
      <c r="B4" t="s">
        <v>67</v>
      </c>
    </row>
    <row r="5" spans="1:3" x14ac:dyDescent="0.25">
      <c r="A5" t="s">
        <v>68</v>
      </c>
      <c r="B5" t="s">
        <v>66</v>
      </c>
      <c r="C5" t="s">
        <v>69</v>
      </c>
    </row>
    <row r="6" spans="1:2" x14ac:dyDescent="0.25">
      <c r="A6" t="s">
        <v>70</v>
      </c>
      <c r="B6" t="s">
        <v>71</v>
      </c>
    </row>
    <row r="7" spans="1:3" x14ac:dyDescent="0.25">
      <c r="A7" t="s">
        <v>72</v>
      </c>
      <c r="B7" t="s">
        <v>73</v>
      </c>
      <c r="C7" t="s">
        <v>74</v>
      </c>
    </row>
    <row r="8" spans="1:4" x14ac:dyDescent="0.25">
      <c r="A8" t="s">
        <v>75</v>
      </c>
      <c r="B8" t="s">
        <v>76</v>
      </c>
      <c r="C8" t="s">
        <v>77</v>
      </c>
      <c r="D8" t="s">
        <v>78</v>
      </c>
    </row>
    <row r="9" spans="1:1" x14ac:dyDescent="0.25">
      <c r="A9" t="s">
        <v>79</v>
      </c>
    </row>
    <row r="10" spans="1:5" x14ac:dyDescent="0.25">
      <c r="A10" t="s">
        <v>75</v>
      </c>
      <c r="B10" t="s">
        <v>80</v>
      </c>
      <c r="C10" t="s">
        <v>81</v>
      </c>
      <c r="D10" t="s">
        <v>82</v>
      </c>
      <c r="E10" t="s">
        <v>83</v>
      </c>
    </row>
    <row r="11" spans="1:1" x14ac:dyDescent="0.25">
      <c r="A11" t="s">
        <v>83</v>
      </c>
    </row>
    <row r="12" spans="1:3" x14ac:dyDescent="0.25">
      <c r="A12" t="s">
        <v>75</v>
      </c>
      <c r="B12" t="s">
        <v>81</v>
      </c>
      <c r="C12" t="s">
        <v>83</v>
      </c>
    </row>
    <row r="13" spans="1:6" x14ac:dyDescent="0.25">
      <c r="A13" t="s">
        <v>84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</row>
    <row r="14" spans="1:9" x14ac:dyDescent="0.25">
      <c r="A14" t="s">
        <v>84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36"/>
  <sheetViews>
    <sheetView workbookViewId="0" zoomScale="100" zoomScaleNormal="100"/>
  </sheetViews>
  <sheetFormatPr defaultRowHeight="14.25" outlineLevelRow="0" outlineLevelCol="0" x14ac:dyDescent="0.2" defaultColWidth="9.140625" customHeight="1"/>
  <cols>
    <col min="1" max="1" width="62.42578125" style="27" customWidth="1"/>
    <col min="2" max="2" width="8.7109375" customWidth="1"/>
    <col min="3" max="3" width="26.140625" customWidth="1"/>
    <col min="4" max="4" width="57" style="27" customWidth="1"/>
    <col min="5" max="5" width="26.140625" customWidth="1"/>
    <col min="6" max="6" width="16.42578125" style="28" customWidth="1"/>
    <col min="7" max="7" width="23.42578125" style="29" customWidth="1"/>
    <col min="8" max="8" width="43" style="30" customWidth="1"/>
    <col min="9" max="9" width="26.140625" customWidth="1"/>
    <col min="10" max="10" width="19.5703125" style="31" customWidth="1"/>
    <col min="11" max="12" width="27.28515625" customWidth="1"/>
    <col min="13" max="13" width="15.5703125" customWidth="1"/>
    <col min="14" max="14" width="15.5703125" style="29" customWidth="1"/>
    <col min="15" max="15" width="15.5703125" customWidth="1"/>
    <col min="16" max="16" width="15.5703125" style="29" customWidth="1"/>
    <col min="17" max="17" width="15.5703125" customWidth="1"/>
    <col min="18" max="18" width="15.5703125" style="29" customWidth="1"/>
    <col min="19" max="19" width="27.28515625" customWidth="1"/>
    <col min="20" max="20" width="26.140625" customWidth="1"/>
    <col min="21" max="21" width="26.140625" style="32" customWidth="1"/>
    <col min="22" max="25" width="26.140625" customWidth="1"/>
    <col min="26" max="26" width="26.140625" style="32" customWidth="1"/>
    <col min="27" max="27" width="26.140625" customWidth="1"/>
    <col min="28" max="28" width="26.140625" style="32" customWidth="1"/>
    <col min="29" max="29" width="26.140625" customWidth="1"/>
    <col min="30" max="30" width="26.140625" style="32" customWidth="1"/>
    <col min="31" max="33" width="26.140625" customWidth="1"/>
    <col min="34" max="34" width="31.28515625" customWidth="1"/>
    <col min="35" max="36" width="15.5703125" style="33" hidden="1" customWidth="1"/>
  </cols>
  <sheetData>
    <row r="1" ht="15" customHeight="1" spans="1:36" x14ac:dyDescent="0.25">
      <c r="A1" s="34" t="s">
        <v>98</v>
      </c>
      <c r="B1" s="26"/>
      <c r="C1" s="26"/>
      <c r="D1" s="35" t="s">
        <v>99</v>
      </c>
      <c r="E1" s="26"/>
      <c r="F1" s="28"/>
      <c r="G1" s="36" t="s">
        <v>11</v>
      </c>
      <c r="H1" s="30"/>
      <c r="I1" s="37" t="s">
        <v>100</v>
      </c>
      <c r="J1" s="31"/>
      <c r="K1" s="26"/>
      <c r="L1" s="26"/>
      <c r="M1" s="26"/>
      <c r="N1" s="29"/>
      <c r="O1" s="26"/>
      <c r="P1" s="29"/>
      <c r="Q1" s="26"/>
      <c r="R1" s="29"/>
      <c r="S1" s="26"/>
      <c r="T1" s="26"/>
      <c r="U1" s="32"/>
      <c r="V1" s="26"/>
      <c r="W1" s="26"/>
      <c r="X1" s="38" t="s">
        <v>101</v>
      </c>
      <c r="Y1" s="26"/>
      <c r="Z1" s="32"/>
      <c r="AA1" s="26"/>
      <c r="AB1" s="32"/>
      <c r="AC1" s="26"/>
      <c r="AD1" s="32"/>
      <c r="AE1" s="26"/>
      <c r="AF1" s="26"/>
      <c r="AG1" s="26"/>
      <c r="AH1" s="39" t="s">
        <v>102</v>
      </c>
      <c r="AI1" s="40" t="s">
        <v>102</v>
      </c>
      <c r="AJ1" s="33"/>
    </row>
    <row r="2" ht="27" customHeight="1" spans="1:36" x14ac:dyDescent="0.25">
      <c r="A2" s="41" t="s">
        <v>103</v>
      </c>
      <c r="B2" s="26"/>
      <c r="C2" s="26"/>
      <c r="D2" s="27"/>
      <c r="E2" s="26"/>
      <c r="F2" s="28"/>
      <c r="G2" s="29"/>
      <c r="H2" s="30"/>
      <c r="I2" s="26"/>
      <c r="J2" s="31"/>
      <c r="K2" s="26"/>
      <c r="L2" s="26"/>
      <c r="M2" s="26"/>
      <c r="N2" s="29"/>
      <c r="O2" s="26"/>
      <c r="P2" s="29"/>
      <c r="Q2" s="26"/>
      <c r="R2" s="29"/>
      <c r="S2" s="26"/>
      <c r="T2" s="26"/>
      <c r="U2" s="32"/>
      <c r="V2" s="26"/>
      <c r="W2" s="26"/>
      <c r="X2" s="26"/>
      <c r="Y2" s="26"/>
      <c r="Z2" s="32"/>
      <c r="AA2" s="26"/>
      <c r="AB2" s="32"/>
      <c r="AC2" s="26"/>
      <c r="AD2" s="32"/>
      <c r="AE2" s="26"/>
      <c r="AF2" s="26"/>
      <c r="AG2" s="26"/>
      <c r="AH2" s="26"/>
      <c r="AI2" s="33"/>
      <c r="AJ2" s="33"/>
    </row>
    <row r="3" ht="37.5" customHeight="1" spans="1:36" x14ac:dyDescent="0.25">
      <c r="A3" s="42" t="s">
        <v>104</v>
      </c>
      <c r="B3" s="42" t="s">
        <v>105</v>
      </c>
      <c r="C3" s="42" t="s">
        <v>106</v>
      </c>
      <c r="D3" s="43" t="s">
        <v>107</v>
      </c>
      <c r="E3" s="43" t="s">
        <v>108</v>
      </c>
      <c r="F3" s="43" t="s">
        <v>109</v>
      </c>
      <c r="G3" s="44" t="s">
        <v>110</v>
      </c>
      <c r="H3" s="44" t="s">
        <v>111</v>
      </c>
      <c r="I3" s="45" t="s">
        <v>112</v>
      </c>
      <c r="J3" s="45" t="s">
        <v>113</v>
      </c>
      <c r="K3" s="45" t="s">
        <v>114</v>
      </c>
      <c r="L3" s="45" t="s">
        <v>115</v>
      </c>
      <c r="M3" s="45" t="s">
        <v>116</v>
      </c>
      <c r="N3" s="45" t="s">
        <v>117</v>
      </c>
      <c r="O3" s="45" t="s">
        <v>118</v>
      </c>
      <c r="P3" s="45" t="s">
        <v>119</v>
      </c>
      <c r="Q3" s="45" t="s">
        <v>120</v>
      </c>
      <c r="R3" s="45" t="s">
        <v>121</v>
      </c>
      <c r="S3" s="45" t="s">
        <v>122</v>
      </c>
      <c r="T3" s="45" t="s">
        <v>123</v>
      </c>
      <c r="U3" s="45" t="s">
        <v>124</v>
      </c>
      <c r="V3" s="45" t="s">
        <v>125</v>
      </c>
      <c r="W3" s="45" t="s">
        <v>126</v>
      </c>
      <c r="X3" s="46" t="s">
        <v>127</v>
      </c>
      <c r="Y3" s="46" t="s">
        <v>128</v>
      </c>
      <c r="Z3" s="46" t="s">
        <v>129</v>
      </c>
      <c r="AA3" s="46" t="s">
        <v>130</v>
      </c>
      <c r="AB3" s="46" t="s">
        <v>131</v>
      </c>
      <c r="AC3" s="46" t="s">
        <v>132</v>
      </c>
      <c r="AD3" s="46" t="s">
        <v>133</v>
      </c>
      <c r="AE3" s="46" t="s">
        <v>134</v>
      </c>
      <c r="AF3" s="46" t="s">
        <v>135</v>
      </c>
      <c r="AG3" s="46" t="s">
        <v>136</v>
      </c>
      <c r="AH3" s="47" t="s">
        <v>137</v>
      </c>
      <c r="AI3" s="48" t="s">
        <v>138</v>
      </c>
      <c r="AJ3" s="48" t="s">
        <v>139</v>
      </c>
    </row>
    <row r="4" ht="17.25" customHeight="1" spans="1:36" x14ac:dyDescent="0.25">
      <c r="A4" s="49" t="s">
        <v>140</v>
      </c>
      <c r="B4" s="49" t="s">
        <v>102</v>
      </c>
      <c r="C4" s="49" t="s">
        <v>140</v>
      </c>
      <c r="D4" s="49" t="s">
        <v>140</v>
      </c>
      <c r="E4" s="49" t="s">
        <v>102</v>
      </c>
      <c r="F4" s="49" t="s">
        <v>140</v>
      </c>
      <c r="G4" s="49" t="s">
        <v>140</v>
      </c>
      <c r="H4" s="49" t="s">
        <v>102</v>
      </c>
      <c r="I4" s="49" t="s">
        <v>140</v>
      </c>
      <c r="J4" s="49" t="s">
        <v>102</v>
      </c>
      <c r="K4" s="49" t="s">
        <v>140</v>
      </c>
      <c r="L4" s="49" t="s">
        <v>140</v>
      </c>
      <c r="M4" s="49" t="s">
        <v>102</v>
      </c>
      <c r="N4" s="49" t="s">
        <v>102</v>
      </c>
      <c r="O4" s="49" t="s">
        <v>102</v>
      </c>
      <c r="P4" s="49" t="s">
        <v>102</v>
      </c>
      <c r="Q4" s="49" t="s">
        <v>102</v>
      </c>
      <c r="R4" s="49" t="s">
        <v>102</v>
      </c>
      <c r="S4" s="49" t="s">
        <v>140</v>
      </c>
      <c r="T4" s="49" t="s">
        <v>102</v>
      </c>
      <c r="U4" s="49" t="s">
        <v>102</v>
      </c>
      <c r="V4" s="49" t="s">
        <v>102</v>
      </c>
      <c r="W4" s="49" t="s">
        <v>140</v>
      </c>
      <c r="X4" s="49" t="s">
        <v>140</v>
      </c>
      <c r="Y4" s="49" t="s">
        <v>140</v>
      </c>
      <c r="Z4" s="49" t="s">
        <v>102</v>
      </c>
      <c r="AA4" s="49" t="s">
        <v>102</v>
      </c>
      <c r="AB4" s="49" t="s">
        <v>102</v>
      </c>
      <c r="AC4" s="49" t="s">
        <v>102</v>
      </c>
      <c r="AD4" s="49" t="s">
        <v>102</v>
      </c>
      <c r="AE4" s="49" t="s">
        <v>102</v>
      </c>
      <c r="AF4" s="49" t="s">
        <v>102</v>
      </c>
      <c r="AG4" s="49" t="s">
        <v>102</v>
      </c>
      <c r="AH4" s="49" t="s">
        <v>102</v>
      </c>
      <c r="AI4" s="49" t="s">
        <v>102</v>
      </c>
      <c r="AJ4" s="49" t="s">
        <v>102</v>
      </c>
    </row>
    <row r="5" ht="117" customHeight="1" spans="1:36" x14ac:dyDescent="0.25">
      <c r="A5" s="31" t="s">
        <v>141</v>
      </c>
      <c r="B5" s="31"/>
      <c r="C5" s="31" t="s">
        <v>64</v>
      </c>
      <c r="D5" s="31" t="s">
        <v>142</v>
      </c>
      <c r="E5" s="31" t="s">
        <v>143</v>
      </c>
      <c r="F5" s="31">
        <v>0</v>
      </c>
      <c r="G5" s="31">
        <v>1</v>
      </c>
      <c r="H5" s="31" t="s">
        <v>144</v>
      </c>
      <c r="I5" s="31" t="s">
        <v>65</v>
      </c>
      <c r="J5" s="31" t="s">
        <v>102</v>
      </c>
      <c r="K5" s="31" t="s">
        <v>145</v>
      </c>
      <c r="L5" s="31" t="s">
        <v>146</v>
      </c>
      <c r="M5" s="31"/>
      <c r="N5" s="31">
        <v>1</v>
      </c>
      <c r="O5" s="31"/>
      <c r="P5" s="31">
        <v>1</v>
      </c>
      <c r="Q5" s="31"/>
      <c r="R5" s="31">
        <v>1</v>
      </c>
      <c r="S5" s="31" t="s">
        <v>70</v>
      </c>
      <c r="T5" s="31" t="s">
        <v>72</v>
      </c>
      <c r="U5" s="31">
        <v>30</v>
      </c>
      <c r="V5" s="31">
        <v>30</v>
      </c>
      <c r="W5" s="31"/>
      <c r="X5" s="31" t="s">
        <v>147</v>
      </c>
      <c r="Y5" s="31" t="s">
        <v>148</v>
      </c>
      <c r="Z5" s="31" t="s">
        <v>149</v>
      </c>
      <c r="AA5" s="31" t="s">
        <v>150</v>
      </c>
      <c r="AB5" s="31" t="s">
        <v>149</v>
      </c>
      <c r="AC5" s="31" t="s">
        <v>150</v>
      </c>
      <c r="AD5" s="31" t="s">
        <v>149</v>
      </c>
      <c r="AE5" s="31" t="s">
        <v>150</v>
      </c>
      <c r="AF5" s="31"/>
      <c r="AG5" s="31"/>
      <c r="AH5" s="31" t="s">
        <v>151</v>
      </c>
      <c r="AI5" s="31"/>
      <c r="AJ5" s="31"/>
    </row>
    <row r="6" ht="27.6" customHeight="1" spans="1:36" x14ac:dyDescent="0.25">
      <c r="A6" s="31" t="s">
        <v>152</v>
      </c>
      <c r="B6" s="31" t="s">
        <v>102</v>
      </c>
      <c r="C6" s="50" t="s">
        <v>64</v>
      </c>
      <c r="D6" s="50" t="s">
        <v>153</v>
      </c>
      <c r="E6" s="31" t="s">
        <v>154</v>
      </c>
      <c r="F6" s="31">
        <v>0</v>
      </c>
      <c r="G6" s="31">
        <v>1</v>
      </c>
      <c r="H6" s="31" t="s">
        <v>155</v>
      </c>
      <c r="I6" s="31" t="s">
        <v>65</v>
      </c>
      <c r="J6" s="31" t="s">
        <v>102</v>
      </c>
      <c r="K6" s="31" t="s">
        <v>145</v>
      </c>
      <c r="L6" s="31" t="s">
        <v>146</v>
      </c>
      <c r="M6" s="31" t="s">
        <v>102</v>
      </c>
      <c r="N6" s="31">
        <v>1</v>
      </c>
      <c r="O6" s="31" t="s">
        <v>102</v>
      </c>
      <c r="P6" s="31">
        <v>1</v>
      </c>
      <c r="Q6" s="31" t="s">
        <v>102</v>
      </c>
      <c r="R6" s="31">
        <v>1</v>
      </c>
      <c r="S6" s="31" t="s">
        <v>70</v>
      </c>
      <c r="T6" s="31" t="s">
        <v>72</v>
      </c>
      <c r="U6" s="31">
        <v>30</v>
      </c>
      <c r="V6" s="31">
        <v>30</v>
      </c>
      <c r="W6" s="31" t="s">
        <v>102</v>
      </c>
      <c r="X6" s="31" t="s">
        <v>147</v>
      </c>
      <c r="Y6" s="31" t="s">
        <v>156</v>
      </c>
      <c r="Z6" s="31" t="s">
        <v>102</v>
      </c>
      <c r="AA6" s="31" t="s">
        <v>102</v>
      </c>
      <c r="AB6" s="31" t="s">
        <v>102</v>
      </c>
      <c r="AC6" s="31" t="s">
        <v>102</v>
      </c>
      <c r="AD6" s="31" t="s">
        <v>102</v>
      </c>
      <c r="AE6" s="31" t="s">
        <v>102</v>
      </c>
      <c r="AF6" s="31" t="s">
        <v>102</v>
      </c>
      <c r="AG6" s="31" t="s">
        <v>102</v>
      </c>
      <c r="AH6" s="50" t="s">
        <v>157</v>
      </c>
      <c r="AI6" s="31" t="s">
        <v>102</v>
      </c>
      <c r="AJ6" s="31" t="s">
        <v>102</v>
      </c>
    </row>
    <row r="7" ht="15" customHeight="1" spans="1:36" x14ac:dyDescent="0.25">
      <c r="A7" s="51" t="s">
        <v>64</v>
      </c>
      <c r="B7" s="26"/>
      <c r="C7" s="26"/>
      <c r="D7" s="52">
        <v>0</v>
      </c>
      <c r="E7" s="26"/>
      <c r="F7" s="28"/>
      <c r="G7" s="53" t="s">
        <v>158</v>
      </c>
      <c r="H7" s="30"/>
      <c r="I7" s="54">
        <v>30</v>
      </c>
      <c r="J7" s="31"/>
      <c r="K7" s="26"/>
      <c r="L7" s="26"/>
      <c r="M7" s="26"/>
      <c r="N7" s="29"/>
      <c r="O7" s="26"/>
      <c r="P7" s="29"/>
      <c r="Q7" s="26"/>
      <c r="R7" s="29"/>
      <c r="S7" s="26"/>
      <c r="T7" s="26"/>
      <c r="U7" s="32"/>
      <c r="V7" s="26"/>
      <c r="W7" s="26"/>
      <c r="X7" s="52" t="s">
        <v>148</v>
      </c>
      <c r="Y7" s="26"/>
      <c r="Z7" s="32"/>
      <c r="AA7" s="26"/>
      <c r="AB7" s="32"/>
      <c r="AC7" s="26"/>
      <c r="AD7" s="32"/>
      <c r="AE7" s="26"/>
      <c r="AF7" s="26"/>
      <c r="AG7" s="26"/>
      <c r="AH7" s="53"/>
      <c r="AI7" s="55"/>
      <c r="AJ7" s="33"/>
    </row>
    <row r="8" ht="27.6" customHeight="1" spans="1:35" x14ac:dyDescent="0.25">
      <c r="A8" s="27" t="s">
        <v>159</v>
      </c>
      <c r="B8">
        <f t="shared" ref="B8:B71" si="0">LEN(INDIRECT(ADDRESS(ROW() + (0),COLUMN() + (-1))))</f>
        <v>0</v>
      </c>
      <c r="C8" t="s">
        <v>64</v>
      </c>
      <c r="D8" s="27" t="s">
        <v>102</v>
      </c>
      <c r="E8" t="s">
        <v>160</v>
      </c>
      <c r="F8" s="28">
        <v>6</v>
      </c>
      <c r="G8" s="29">
        <v>1</v>
      </c>
      <c r="H8" s="30" t="s">
        <v>161</v>
      </c>
      <c r="I8" t="s">
        <v>65</v>
      </c>
      <c r="J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145</v>
      </c>
      <c r="L8" t="s">
        <v>146</v>
      </c>
      <c r="N8" s="29">
        <v>1</v>
      </c>
      <c r="P8" s="29">
        <v>1</v>
      </c>
      <c r="R8" s="29">
        <v>1</v>
      </c>
      <c r="S8" t="s">
        <v>70</v>
      </c>
      <c r="T8" t="s">
        <v>72</v>
      </c>
      <c r="U8" s="32">
        <v>30</v>
      </c>
      <c r="V8">
        <v>30</v>
      </c>
      <c r="W8" t="s">
        <v>79</v>
      </c>
      <c r="X8" t="s">
        <v>147</v>
      </c>
      <c r="Y8" t="s">
        <v>162</v>
      </c>
      <c r="AA8" t="s">
        <v>75</v>
      </c>
      <c r="AC8" t="s">
        <v>83</v>
      </c>
      <c r="AE8" t="s">
        <v>75</v>
      </c>
      <c r="AF8" t="s">
        <v>84</v>
      </c>
      <c r="AG8" t="s">
        <v>84</v>
      </c>
      <c r="AH8" s="33">
        <f t="shared" ref="AH8:AH71" si="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" s="33">
        <f t="shared" ref="AI8:AI71" si="2">IF(TRIM(INDIRECT("A"&amp;ROW())) &lt;&gt; "",FALSE,"")</f>
      </c>
    </row>
    <row r="9" ht="27.6" customHeight="1" spans="1:35" x14ac:dyDescent="0.25">
      <c r="A9" s="27" t="s">
        <v>163</v>
      </c>
      <c r="B9">
        <f t="shared" si="0"/>
        <v>0</v>
      </c>
      <c r="C9" t="s">
        <v>64</v>
      </c>
      <c r="D9" s="27" t="s">
        <v>102</v>
      </c>
      <c r="E9" t="s">
        <v>164</v>
      </c>
      <c r="F9" s="28">
        <v>0</v>
      </c>
      <c r="G9" s="29">
        <v>1</v>
      </c>
      <c r="H9" s="30" t="s">
        <v>165</v>
      </c>
      <c r="I9" t="s">
        <v>65</v>
      </c>
      <c r="J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145</v>
      </c>
      <c r="L9" t="s">
        <v>146</v>
      </c>
      <c r="N9" s="29">
        <v>1</v>
      </c>
      <c r="P9" s="29">
        <v>1</v>
      </c>
      <c r="R9" s="29">
        <v>1</v>
      </c>
      <c r="S9" t="s">
        <v>70</v>
      </c>
      <c r="T9" t="s">
        <v>72</v>
      </c>
      <c r="U9" s="32">
        <v>30</v>
      </c>
      <c r="V9">
        <v>30</v>
      </c>
      <c r="W9" t="s">
        <v>79</v>
      </c>
      <c r="X9" t="s">
        <v>166</v>
      </c>
      <c r="Y9" t="s">
        <v>167</v>
      </c>
      <c r="AA9" t="s">
        <v>75</v>
      </c>
      <c r="AC9" t="s">
        <v>83</v>
      </c>
      <c r="AE9" t="s">
        <v>75</v>
      </c>
      <c r="AF9" t="s">
        <v>84</v>
      </c>
      <c r="AG9" t="s">
        <v>84</v>
      </c>
      <c r="AH9" s="33">
        <f t="shared" si="1"/>
      </c>
      <c r="AI9" s="33">
        <f t="shared" si="2"/>
      </c>
    </row>
    <row r="10" ht="27.6" customHeight="1" spans="1:35" x14ac:dyDescent="0.25">
      <c r="A10" s="27" t="s">
        <v>168</v>
      </c>
      <c r="B10">
        <f t="shared" si="0"/>
        <v>0</v>
      </c>
      <c r="C10" t="s">
        <v>64</v>
      </c>
      <c r="D10" s="27" t="s">
        <v>102</v>
      </c>
      <c r="E10" t="s">
        <v>169</v>
      </c>
      <c r="F10" s="28">
        <v>0</v>
      </c>
      <c r="G10" s="29">
        <v>1</v>
      </c>
      <c r="H10" s="30" t="s">
        <v>170</v>
      </c>
      <c r="I10" t="s">
        <v>65</v>
      </c>
      <c r="J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145</v>
      </c>
      <c r="L10" t="s">
        <v>146</v>
      </c>
      <c r="N10" s="29">
        <v>1</v>
      </c>
      <c r="P10" s="29">
        <v>1</v>
      </c>
      <c r="R10" s="29">
        <v>1</v>
      </c>
      <c r="S10" t="s">
        <v>70</v>
      </c>
      <c r="T10" t="s">
        <v>72</v>
      </c>
      <c r="U10" s="32">
        <v>30</v>
      </c>
      <c r="V10">
        <v>30</v>
      </c>
      <c r="W10" t="s">
        <v>79</v>
      </c>
      <c r="X10" t="s">
        <v>171</v>
      </c>
      <c r="Y10" t="s">
        <v>172</v>
      </c>
      <c r="AA10" t="s">
        <v>75</v>
      </c>
      <c r="AC10" t="s">
        <v>83</v>
      </c>
      <c r="AE10" t="s">
        <v>75</v>
      </c>
      <c r="AF10" t="s">
        <v>84</v>
      </c>
      <c r="AG10" t="s">
        <v>84</v>
      </c>
      <c r="AH10" s="33">
        <f t="shared" si="1"/>
      </c>
      <c r="AI10" s="33">
        <f t="shared" si="2"/>
      </c>
    </row>
    <row r="11" ht="27.6" customHeight="1" spans="1:35" x14ac:dyDescent="0.25">
      <c r="A11" s="27" t="s">
        <v>173</v>
      </c>
      <c r="B11">
        <f t="shared" si="0"/>
        <v>0</v>
      </c>
      <c r="C11" t="s">
        <v>64</v>
      </c>
      <c r="D11" s="27" t="s">
        <v>174</v>
      </c>
      <c r="E11" t="s">
        <v>175</v>
      </c>
      <c r="F11" s="28">
        <v>0</v>
      </c>
      <c r="G11" s="29">
        <v>1</v>
      </c>
      <c r="H11" s="30" t="s">
        <v>176</v>
      </c>
      <c r="I11" t="s">
        <v>65</v>
      </c>
      <c r="J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145</v>
      </c>
      <c r="L11" t="s">
        <v>146</v>
      </c>
      <c r="N11" s="29">
        <v>1</v>
      </c>
      <c r="P11" s="29">
        <v>1</v>
      </c>
      <c r="R11" s="29">
        <v>1</v>
      </c>
      <c r="S11" t="s">
        <v>70</v>
      </c>
      <c r="T11" t="s">
        <v>72</v>
      </c>
      <c r="U11" s="32">
        <v>30</v>
      </c>
      <c r="V11">
        <v>30</v>
      </c>
      <c r="W11" t="s">
        <v>79</v>
      </c>
      <c r="X11" t="s">
        <v>166</v>
      </c>
      <c r="Y11" t="s">
        <v>177</v>
      </c>
      <c r="AA11" t="s">
        <v>75</v>
      </c>
      <c r="AC11" t="s">
        <v>83</v>
      </c>
      <c r="AE11" t="s">
        <v>75</v>
      </c>
      <c r="AF11" t="s">
        <v>84</v>
      </c>
      <c r="AG11" t="s">
        <v>84</v>
      </c>
      <c r="AH11" s="33">
        <f t="shared" si="1"/>
      </c>
      <c r="AI11" s="33">
        <f t="shared" si="2"/>
      </c>
    </row>
    <row r="12" ht="27.6" customHeight="1" spans="1:35" x14ac:dyDescent="0.25">
      <c r="A12" s="27" t="s">
        <v>178</v>
      </c>
      <c r="B12">
        <f t="shared" si="0"/>
        <v>0</v>
      </c>
      <c r="C12" t="s">
        <v>64</v>
      </c>
      <c r="D12" s="27" t="s">
        <v>102</v>
      </c>
      <c r="E12" t="s">
        <v>179</v>
      </c>
      <c r="F12" s="28">
        <v>0</v>
      </c>
      <c r="G12" s="29">
        <v>1</v>
      </c>
      <c r="H12" s="30" t="s">
        <v>180</v>
      </c>
      <c r="I12" t="s">
        <v>65</v>
      </c>
      <c r="J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145</v>
      </c>
      <c r="L12" t="s">
        <v>146</v>
      </c>
      <c r="N12" s="29">
        <v>1</v>
      </c>
      <c r="P12" s="29">
        <v>1</v>
      </c>
      <c r="R12" s="29">
        <v>1</v>
      </c>
      <c r="S12" t="s">
        <v>70</v>
      </c>
      <c r="T12" t="s">
        <v>72</v>
      </c>
      <c r="U12" s="32">
        <v>30</v>
      </c>
      <c r="V12">
        <v>30</v>
      </c>
      <c r="W12" t="s">
        <v>79</v>
      </c>
      <c r="X12" t="s">
        <v>171</v>
      </c>
      <c r="Y12" t="s">
        <v>181</v>
      </c>
      <c r="AA12" t="s">
        <v>75</v>
      </c>
      <c r="AC12" t="s">
        <v>83</v>
      </c>
      <c r="AE12" t="s">
        <v>75</v>
      </c>
      <c r="AF12" t="s">
        <v>84</v>
      </c>
      <c r="AG12" t="s">
        <v>84</v>
      </c>
      <c r="AH12" s="33">
        <f t="shared" si="1"/>
      </c>
      <c r="AI12" s="33">
        <f t="shared" si="2"/>
      </c>
    </row>
    <row r="13" ht="27.6" customHeight="1" spans="1:35" x14ac:dyDescent="0.25">
      <c r="A13" s="27" t="s">
        <v>182</v>
      </c>
      <c r="B13">
        <f t="shared" si="0"/>
        <v>0</v>
      </c>
      <c r="C13" t="s">
        <v>64</v>
      </c>
      <c r="D13" s="27" t="s">
        <v>183</v>
      </c>
      <c r="E13" t="s">
        <v>184</v>
      </c>
      <c r="F13" s="28">
        <v>0</v>
      </c>
      <c r="G13" s="29">
        <v>1</v>
      </c>
      <c r="H13" s="30" t="s">
        <v>185</v>
      </c>
      <c r="I13" t="s">
        <v>65</v>
      </c>
      <c r="J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145</v>
      </c>
      <c r="L13" t="s">
        <v>146</v>
      </c>
      <c r="N13" s="29">
        <v>1</v>
      </c>
      <c r="P13" s="29">
        <v>1</v>
      </c>
      <c r="R13" s="29">
        <v>1</v>
      </c>
      <c r="S13" t="s">
        <v>70</v>
      </c>
      <c r="T13" t="s">
        <v>72</v>
      </c>
      <c r="U13" s="32">
        <v>30</v>
      </c>
      <c r="V13">
        <v>30</v>
      </c>
      <c r="W13" t="s">
        <v>79</v>
      </c>
      <c r="X13" t="s">
        <v>171</v>
      </c>
      <c r="Y13" t="s">
        <v>186</v>
      </c>
      <c r="AA13" t="s">
        <v>75</v>
      </c>
      <c r="AC13" t="s">
        <v>83</v>
      </c>
      <c r="AE13" t="s">
        <v>75</v>
      </c>
      <c r="AF13" t="s">
        <v>84</v>
      </c>
      <c r="AG13" t="s">
        <v>84</v>
      </c>
      <c r="AH13" s="33">
        <f t="shared" si="1"/>
      </c>
      <c r="AI13" s="33">
        <f t="shared" si="2"/>
      </c>
    </row>
    <row r="14" ht="27.6" customHeight="1" spans="1:35" x14ac:dyDescent="0.25">
      <c r="A14" s="27" t="s">
        <v>187</v>
      </c>
      <c r="B14">
        <f t="shared" si="0"/>
        <v>0</v>
      </c>
      <c r="C14" t="s">
        <v>64</v>
      </c>
      <c r="D14" s="27" t="s">
        <v>188</v>
      </c>
      <c r="E14" t="s">
        <v>189</v>
      </c>
      <c r="F14" s="28">
        <v>0</v>
      </c>
      <c r="G14" s="29">
        <v>1</v>
      </c>
      <c r="H14" s="30" t="s">
        <v>190</v>
      </c>
      <c r="I14" t="s">
        <v>65</v>
      </c>
      <c r="J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145</v>
      </c>
      <c r="L14" t="s">
        <v>146</v>
      </c>
      <c r="N14" s="29">
        <v>1</v>
      </c>
      <c r="P14" s="29">
        <v>1</v>
      </c>
      <c r="R14" s="29">
        <v>1</v>
      </c>
      <c r="S14" t="s">
        <v>70</v>
      </c>
      <c r="T14" t="s">
        <v>72</v>
      </c>
      <c r="U14" s="32">
        <v>30</v>
      </c>
      <c r="V14">
        <v>30</v>
      </c>
      <c r="W14" t="s">
        <v>79</v>
      </c>
      <c r="X14" t="s">
        <v>171</v>
      </c>
      <c r="Y14" t="s">
        <v>191</v>
      </c>
      <c r="AA14" t="s">
        <v>75</v>
      </c>
      <c r="AC14" t="s">
        <v>83</v>
      </c>
      <c r="AE14" t="s">
        <v>75</v>
      </c>
      <c r="AF14" t="s">
        <v>84</v>
      </c>
      <c r="AG14" t="s">
        <v>84</v>
      </c>
      <c r="AH14" s="33">
        <f t="shared" si="1"/>
      </c>
      <c r="AI14" s="33">
        <f t="shared" si="2"/>
      </c>
    </row>
    <row r="15" ht="27.6" customHeight="1" spans="1:35" x14ac:dyDescent="0.25">
      <c r="A15" s="27" t="s">
        <v>192</v>
      </c>
      <c r="B15">
        <f t="shared" si="0"/>
        <v>0</v>
      </c>
      <c r="C15" t="s">
        <v>64</v>
      </c>
      <c r="D15" s="27" t="s">
        <v>193</v>
      </c>
      <c r="E15" t="s">
        <v>194</v>
      </c>
      <c r="F15" s="28">
        <v>0</v>
      </c>
      <c r="G15" s="29">
        <v>1</v>
      </c>
      <c r="H15" s="30" t="s">
        <v>195</v>
      </c>
      <c r="I15" t="s">
        <v>65</v>
      </c>
      <c r="J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145</v>
      </c>
      <c r="L15" t="s">
        <v>146</v>
      </c>
      <c r="N15" s="29">
        <v>1</v>
      </c>
      <c r="P15" s="29">
        <v>1</v>
      </c>
      <c r="R15" s="29">
        <v>1</v>
      </c>
      <c r="S15" t="s">
        <v>70</v>
      </c>
      <c r="T15" t="s">
        <v>72</v>
      </c>
      <c r="U15" s="32">
        <v>30</v>
      </c>
      <c r="V15">
        <v>30</v>
      </c>
      <c r="W15" t="s">
        <v>79</v>
      </c>
      <c r="X15" t="s">
        <v>171</v>
      </c>
      <c r="Y15" t="s">
        <v>194</v>
      </c>
      <c r="AA15" t="s">
        <v>75</v>
      </c>
      <c r="AC15" t="s">
        <v>83</v>
      </c>
      <c r="AE15" t="s">
        <v>75</v>
      </c>
      <c r="AF15" t="s">
        <v>84</v>
      </c>
      <c r="AG15" t="s">
        <v>84</v>
      </c>
      <c r="AH15" s="33">
        <f t="shared" si="1"/>
      </c>
      <c r="AI15" s="33">
        <f t="shared" si="2"/>
      </c>
    </row>
    <row r="16" ht="27.6" customHeight="1" spans="1:35" x14ac:dyDescent="0.25">
      <c r="A16" s="27" t="s">
        <v>196</v>
      </c>
      <c r="B16">
        <f t="shared" si="0"/>
        <v>0</v>
      </c>
      <c r="C16" t="s">
        <v>64</v>
      </c>
      <c r="D16" s="27" t="s">
        <v>102</v>
      </c>
      <c r="E16" t="s">
        <v>197</v>
      </c>
      <c r="F16" s="28">
        <v>0</v>
      </c>
      <c r="G16" s="29">
        <v>1</v>
      </c>
      <c r="H16" s="30" t="s">
        <v>198</v>
      </c>
      <c r="I16" t="s">
        <v>65</v>
      </c>
      <c r="J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145</v>
      </c>
      <c r="L16" t="s">
        <v>146</v>
      </c>
      <c r="N16" s="29">
        <v>1</v>
      </c>
      <c r="P16" s="29">
        <v>1</v>
      </c>
      <c r="R16" s="29">
        <v>1</v>
      </c>
      <c r="S16" t="s">
        <v>70</v>
      </c>
      <c r="T16" t="s">
        <v>72</v>
      </c>
      <c r="U16" s="32">
        <v>30</v>
      </c>
      <c r="V16">
        <v>30</v>
      </c>
      <c r="W16" t="s">
        <v>79</v>
      </c>
      <c r="X16" t="s">
        <v>171</v>
      </c>
      <c r="Y16" t="s">
        <v>197</v>
      </c>
      <c r="AA16" t="s">
        <v>75</v>
      </c>
      <c r="AC16" t="s">
        <v>83</v>
      </c>
      <c r="AE16" t="s">
        <v>75</v>
      </c>
      <c r="AF16" t="s">
        <v>84</v>
      </c>
      <c r="AG16" t="s">
        <v>84</v>
      </c>
      <c r="AH16" s="33">
        <f t="shared" si="1"/>
      </c>
      <c r="AI16" s="33">
        <f t="shared" si="2"/>
      </c>
    </row>
    <row r="17" ht="27.6" customHeight="1" spans="1:35" x14ac:dyDescent="0.25">
      <c r="A17" s="27" t="s">
        <v>199</v>
      </c>
      <c r="B17">
        <f t="shared" si="0"/>
        <v>0</v>
      </c>
      <c r="C17" t="s">
        <v>64</v>
      </c>
      <c r="D17" s="27" t="s">
        <v>102</v>
      </c>
      <c r="E17" t="s">
        <v>200</v>
      </c>
      <c r="F17" s="28">
        <v>0</v>
      </c>
      <c r="G17" s="29">
        <v>1</v>
      </c>
      <c r="H17" s="30" t="s">
        <v>201</v>
      </c>
      <c r="I17" t="s">
        <v>65</v>
      </c>
      <c r="J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145</v>
      </c>
      <c r="L17" t="s">
        <v>146</v>
      </c>
      <c r="N17" s="29">
        <v>1</v>
      </c>
      <c r="P17" s="29">
        <v>1</v>
      </c>
      <c r="R17" s="29">
        <v>1</v>
      </c>
      <c r="S17" t="s">
        <v>70</v>
      </c>
      <c r="T17" t="s">
        <v>72</v>
      </c>
      <c r="U17" s="32">
        <v>30</v>
      </c>
      <c r="V17">
        <v>30</v>
      </c>
      <c r="W17" t="s">
        <v>79</v>
      </c>
      <c r="X17" t="s">
        <v>171</v>
      </c>
      <c r="Y17" t="s">
        <v>200</v>
      </c>
      <c r="AA17" t="s">
        <v>75</v>
      </c>
      <c r="AC17" t="s">
        <v>83</v>
      </c>
      <c r="AE17" t="s">
        <v>75</v>
      </c>
      <c r="AF17" t="s">
        <v>84</v>
      </c>
      <c r="AG17" t="s">
        <v>84</v>
      </c>
      <c r="AH17" s="33">
        <f t="shared" si="1"/>
      </c>
      <c r="AI17" s="33">
        <f t="shared" si="2"/>
      </c>
    </row>
    <row r="18" ht="27.6" customHeight="1" spans="1:35" x14ac:dyDescent="0.25">
      <c r="A18" s="27" t="s">
        <v>202</v>
      </c>
      <c r="B18">
        <f t="shared" si="0"/>
        <v>0</v>
      </c>
      <c r="C18" t="s">
        <v>64</v>
      </c>
      <c r="D18" s="27" t="s">
        <v>102</v>
      </c>
      <c r="E18" t="s">
        <v>203</v>
      </c>
      <c r="F18" s="28">
        <v>0</v>
      </c>
      <c r="G18" s="29">
        <v>1</v>
      </c>
      <c r="H18" s="30" t="s">
        <v>204</v>
      </c>
      <c r="I18" t="s">
        <v>65</v>
      </c>
      <c r="J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145</v>
      </c>
      <c r="L18" t="s">
        <v>146</v>
      </c>
      <c r="N18" s="29">
        <v>1</v>
      </c>
      <c r="P18" s="29">
        <v>1</v>
      </c>
      <c r="R18" s="29">
        <v>1</v>
      </c>
      <c r="S18" t="s">
        <v>70</v>
      </c>
      <c r="T18" t="s">
        <v>72</v>
      </c>
      <c r="U18" s="32">
        <v>30</v>
      </c>
      <c r="V18">
        <v>30</v>
      </c>
      <c r="W18" t="s">
        <v>79</v>
      </c>
      <c r="X18" t="s">
        <v>205</v>
      </c>
      <c r="Y18" t="s">
        <v>206</v>
      </c>
      <c r="AA18" t="s">
        <v>75</v>
      </c>
      <c r="AC18" t="s">
        <v>83</v>
      </c>
      <c r="AE18" t="s">
        <v>75</v>
      </c>
      <c r="AF18" t="s">
        <v>84</v>
      </c>
      <c r="AG18" t="s">
        <v>84</v>
      </c>
      <c r="AH18" s="33">
        <f t="shared" si="1"/>
      </c>
      <c r="AI18" s="33">
        <f t="shared" si="2"/>
      </c>
    </row>
    <row r="19" ht="27.6" customHeight="1" spans="1:35" x14ac:dyDescent="0.25">
      <c r="A19" s="27" t="s">
        <v>207</v>
      </c>
      <c r="B19">
        <f t="shared" si="0"/>
        <v>0</v>
      </c>
      <c r="C19" t="s">
        <v>64</v>
      </c>
      <c r="D19" s="27" t="s">
        <v>102</v>
      </c>
      <c r="E19" t="s">
        <v>208</v>
      </c>
      <c r="F19" s="28">
        <v>0</v>
      </c>
      <c r="G19" s="29">
        <v>1</v>
      </c>
      <c r="H19" s="30" t="s">
        <v>209</v>
      </c>
      <c r="I19" t="s">
        <v>65</v>
      </c>
      <c r="J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145</v>
      </c>
      <c r="L19" t="s">
        <v>146</v>
      </c>
      <c r="N19" s="29">
        <v>1</v>
      </c>
      <c r="P19" s="29">
        <v>1</v>
      </c>
      <c r="R19" s="29">
        <v>1</v>
      </c>
      <c r="S19" t="s">
        <v>70</v>
      </c>
      <c r="T19" t="s">
        <v>72</v>
      </c>
      <c r="U19" s="32">
        <v>30</v>
      </c>
      <c r="V19">
        <v>30</v>
      </c>
      <c r="W19" t="s">
        <v>79</v>
      </c>
      <c r="X19" t="s">
        <v>166</v>
      </c>
      <c r="Y19" t="s">
        <v>210</v>
      </c>
      <c r="AA19" t="s">
        <v>75</v>
      </c>
      <c r="AC19" t="s">
        <v>83</v>
      </c>
      <c r="AE19" t="s">
        <v>75</v>
      </c>
      <c r="AF19" t="s">
        <v>84</v>
      </c>
      <c r="AG19" t="s">
        <v>84</v>
      </c>
      <c r="AH19" s="33">
        <f t="shared" si="1"/>
      </c>
      <c r="AI19" s="33">
        <f t="shared" si="2"/>
      </c>
    </row>
    <row r="20" ht="27.6" customHeight="1" spans="1:35" x14ac:dyDescent="0.25">
      <c r="A20" s="27" t="s">
        <v>211</v>
      </c>
      <c r="B20">
        <f t="shared" si="0"/>
        <v>0</v>
      </c>
      <c r="C20" t="s">
        <v>64</v>
      </c>
      <c r="D20" s="27" t="s">
        <v>102</v>
      </c>
      <c r="E20" t="s">
        <v>212</v>
      </c>
      <c r="F20" s="28">
        <v>0</v>
      </c>
      <c r="G20" s="29">
        <v>1</v>
      </c>
      <c r="H20" s="30" t="s">
        <v>213</v>
      </c>
      <c r="I20" t="s">
        <v>65</v>
      </c>
      <c r="J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145</v>
      </c>
      <c r="L20" t="s">
        <v>146</v>
      </c>
      <c r="N20" s="29">
        <v>1</v>
      </c>
      <c r="P20" s="29">
        <v>1</v>
      </c>
      <c r="R20" s="29">
        <v>1</v>
      </c>
      <c r="S20" t="s">
        <v>70</v>
      </c>
      <c r="T20" t="s">
        <v>72</v>
      </c>
      <c r="U20" s="32">
        <v>30</v>
      </c>
      <c r="V20">
        <v>30</v>
      </c>
      <c r="W20" t="s">
        <v>79</v>
      </c>
      <c r="X20" t="s">
        <v>171</v>
      </c>
      <c r="Y20" t="s">
        <v>214</v>
      </c>
      <c r="AA20" t="s">
        <v>75</v>
      </c>
      <c r="AC20" t="s">
        <v>83</v>
      </c>
      <c r="AE20" t="s">
        <v>75</v>
      </c>
      <c r="AF20" t="s">
        <v>84</v>
      </c>
      <c r="AG20" t="s">
        <v>84</v>
      </c>
      <c r="AH20" s="33">
        <f t="shared" si="1"/>
      </c>
      <c r="AI20" s="33">
        <f t="shared" si="2"/>
      </c>
    </row>
    <row r="21" ht="27.6" customHeight="1" spans="1:35" x14ac:dyDescent="0.25">
      <c r="A21" s="27" t="s">
        <v>215</v>
      </c>
      <c r="B21">
        <f t="shared" si="0"/>
        <v>0</v>
      </c>
      <c r="C21" t="s">
        <v>64</v>
      </c>
      <c r="D21" s="27" t="s">
        <v>102</v>
      </c>
      <c r="E21" t="s">
        <v>216</v>
      </c>
      <c r="F21" s="28">
        <v>0</v>
      </c>
      <c r="G21" s="29">
        <v>1</v>
      </c>
      <c r="H21" s="30" t="s">
        <v>217</v>
      </c>
      <c r="I21" t="s">
        <v>65</v>
      </c>
      <c r="J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145</v>
      </c>
      <c r="L21" t="s">
        <v>146</v>
      </c>
      <c r="N21" s="29">
        <v>1</v>
      </c>
      <c r="P21" s="29">
        <v>1</v>
      </c>
      <c r="R21" s="29">
        <v>1</v>
      </c>
      <c r="S21" t="s">
        <v>70</v>
      </c>
      <c r="T21" t="s">
        <v>72</v>
      </c>
      <c r="U21" s="32">
        <v>30</v>
      </c>
      <c r="V21">
        <v>30</v>
      </c>
      <c r="W21" t="s">
        <v>79</v>
      </c>
      <c r="X21" t="s">
        <v>171</v>
      </c>
      <c r="Y21" t="s">
        <v>218</v>
      </c>
      <c r="AA21" t="s">
        <v>75</v>
      </c>
      <c r="AC21" t="s">
        <v>83</v>
      </c>
      <c r="AE21" t="s">
        <v>75</v>
      </c>
      <c r="AF21" t="s">
        <v>84</v>
      </c>
      <c r="AG21" t="s">
        <v>84</v>
      </c>
      <c r="AH21" s="33">
        <f t="shared" si="1"/>
      </c>
      <c r="AI21" s="33">
        <f t="shared" si="2"/>
      </c>
    </row>
    <row r="22" ht="27.6" customHeight="1" spans="1:35" x14ac:dyDescent="0.25">
      <c r="A22" s="27" t="s">
        <v>219</v>
      </c>
      <c r="B22">
        <f t="shared" si="0"/>
        <v>0</v>
      </c>
      <c r="C22" t="s">
        <v>64</v>
      </c>
      <c r="D22" s="27" t="s">
        <v>220</v>
      </c>
      <c r="E22" t="s">
        <v>221</v>
      </c>
      <c r="F22" s="28">
        <v>0</v>
      </c>
      <c r="G22" s="29">
        <v>1</v>
      </c>
      <c r="H22" s="30" t="s">
        <v>222</v>
      </c>
      <c r="I22" t="s">
        <v>65</v>
      </c>
      <c r="J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145</v>
      </c>
      <c r="L22" t="s">
        <v>146</v>
      </c>
      <c r="N22" s="29">
        <v>1</v>
      </c>
      <c r="P22" s="29">
        <v>1</v>
      </c>
      <c r="R22" s="29">
        <v>1</v>
      </c>
      <c r="S22" t="s">
        <v>70</v>
      </c>
      <c r="T22" t="s">
        <v>72</v>
      </c>
      <c r="U22" s="32">
        <v>30</v>
      </c>
      <c r="V22">
        <v>30</v>
      </c>
      <c r="W22" t="s">
        <v>79</v>
      </c>
      <c r="X22" t="s">
        <v>171</v>
      </c>
      <c r="Y22" t="s">
        <v>223</v>
      </c>
      <c r="AA22" t="s">
        <v>75</v>
      </c>
      <c r="AC22" t="s">
        <v>83</v>
      </c>
      <c r="AE22" t="s">
        <v>75</v>
      </c>
      <c r="AF22" t="s">
        <v>84</v>
      </c>
      <c r="AG22" t="s">
        <v>84</v>
      </c>
      <c r="AH22" s="33">
        <f t="shared" si="1"/>
      </c>
      <c r="AI22" s="33">
        <f t="shared" si="2"/>
      </c>
    </row>
    <row r="23" ht="27.6" customHeight="1" spans="1:35" x14ac:dyDescent="0.25">
      <c r="A23" s="27" t="s">
        <v>211</v>
      </c>
      <c r="B23">
        <f t="shared" si="0"/>
        <v>0</v>
      </c>
      <c r="C23" t="s">
        <v>64</v>
      </c>
      <c r="D23" s="27" t="s">
        <v>224</v>
      </c>
      <c r="E23" t="s">
        <v>225</v>
      </c>
      <c r="F23" s="28">
        <v>0</v>
      </c>
      <c r="G23" s="29">
        <v>1</v>
      </c>
      <c r="H23" s="30" t="s">
        <v>226</v>
      </c>
      <c r="I23" t="s">
        <v>65</v>
      </c>
      <c r="J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145</v>
      </c>
      <c r="L23" t="s">
        <v>146</v>
      </c>
      <c r="N23" s="29">
        <v>1</v>
      </c>
      <c r="P23" s="29">
        <v>1</v>
      </c>
      <c r="R23" s="29">
        <v>1</v>
      </c>
      <c r="S23" t="s">
        <v>70</v>
      </c>
      <c r="T23" t="s">
        <v>72</v>
      </c>
      <c r="U23" s="32">
        <v>30</v>
      </c>
      <c r="V23">
        <v>30</v>
      </c>
      <c r="W23" t="s">
        <v>79</v>
      </c>
      <c r="X23" t="s">
        <v>171</v>
      </c>
      <c r="Y23" t="s">
        <v>227</v>
      </c>
      <c r="AA23" t="s">
        <v>75</v>
      </c>
      <c r="AC23" t="s">
        <v>83</v>
      </c>
      <c r="AE23" t="s">
        <v>75</v>
      </c>
      <c r="AF23" t="s">
        <v>84</v>
      </c>
      <c r="AG23" t="s">
        <v>84</v>
      </c>
      <c r="AH23" s="33">
        <f t="shared" si="1"/>
      </c>
      <c r="AI23" s="33">
        <f t="shared" si="2"/>
      </c>
    </row>
    <row r="24" ht="27.6" customHeight="1" spans="1:35" x14ac:dyDescent="0.25">
      <c r="A24" s="27" t="s">
        <v>228</v>
      </c>
      <c r="B24">
        <f t="shared" si="0"/>
        <v>0</v>
      </c>
      <c r="C24" t="s">
        <v>64</v>
      </c>
      <c r="D24" s="27" t="s">
        <v>102</v>
      </c>
      <c r="E24" t="s">
        <v>229</v>
      </c>
      <c r="F24" s="28">
        <v>0</v>
      </c>
      <c r="G24" s="29">
        <v>1</v>
      </c>
      <c r="H24" s="30" t="s">
        <v>230</v>
      </c>
      <c r="I24" t="s">
        <v>65</v>
      </c>
      <c r="J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145</v>
      </c>
      <c r="L24" t="s">
        <v>146</v>
      </c>
      <c r="N24" s="29">
        <v>1</v>
      </c>
      <c r="P24" s="29">
        <v>1</v>
      </c>
      <c r="R24" s="29">
        <v>1</v>
      </c>
      <c r="S24" t="s">
        <v>70</v>
      </c>
      <c r="T24" t="s">
        <v>72</v>
      </c>
      <c r="U24" s="32">
        <v>30</v>
      </c>
      <c r="V24">
        <v>30</v>
      </c>
      <c r="W24" t="s">
        <v>79</v>
      </c>
      <c r="X24" t="s">
        <v>171</v>
      </c>
      <c r="Y24" t="s">
        <v>231</v>
      </c>
      <c r="AA24" t="s">
        <v>75</v>
      </c>
      <c r="AC24" t="s">
        <v>83</v>
      </c>
      <c r="AE24" t="s">
        <v>75</v>
      </c>
      <c r="AF24" t="s">
        <v>84</v>
      </c>
      <c r="AG24" t="s">
        <v>84</v>
      </c>
      <c r="AH24" s="33">
        <f t="shared" si="1"/>
      </c>
      <c r="AI24" s="33">
        <f t="shared" si="2"/>
      </c>
    </row>
    <row r="25" ht="27.6" customHeight="1" spans="1:35" x14ac:dyDescent="0.25">
      <c r="A25" s="27" t="s">
        <v>232</v>
      </c>
      <c r="B25">
        <f t="shared" si="0"/>
        <v>0</v>
      </c>
      <c r="C25" t="s">
        <v>64</v>
      </c>
      <c r="D25" s="27" t="s">
        <v>102</v>
      </c>
      <c r="E25" t="s">
        <v>233</v>
      </c>
      <c r="F25" s="28">
        <v>0</v>
      </c>
      <c r="G25" s="29">
        <v>1</v>
      </c>
      <c r="H25" s="30" t="s">
        <v>234</v>
      </c>
      <c r="I25" t="s">
        <v>65</v>
      </c>
      <c r="J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145</v>
      </c>
      <c r="L25" t="s">
        <v>146</v>
      </c>
      <c r="N25" s="29">
        <v>1</v>
      </c>
      <c r="P25" s="29">
        <v>1</v>
      </c>
      <c r="R25" s="29">
        <v>1</v>
      </c>
      <c r="S25" t="s">
        <v>70</v>
      </c>
      <c r="T25" t="s">
        <v>72</v>
      </c>
      <c r="U25" s="32">
        <v>30</v>
      </c>
      <c r="V25">
        <v>30</v>
      </c>
      <c r="W25" t="s">
        <v>79</v>
      </c>
      <c r="X25" t="s">
        <v>171</v>
      </c>
      <c r="Y25" t="s">
        <v>235</v>
      </c>
      <c r="AA25" t="s">
        <v>75</v>
      </c>
      <c r="AC25" t="s">
        <v>83</v>
      </c>
      <c r="AE25" t="s">
        <v>75</v>
      </c>
      <c r="AF25" t="s">
        <v>84</v>
      </c>
      <c r="AG25" t="s">
        <v>84</v>
      </c>
      <c r="AH25" s="33">
        <f t="shared" si="1"/>
      </c>
      <c r="AI25" s="33">
        <f t="shared" si="2"/>
      </c>
    </row>
    <row r="26" ht="27.6" customHeight="1" spans="1:35" x14ac:dyDescent="0.25">
      <c r="A26" s="27" t="s">
        <v>236</v>
      </c>
      <c r="B26">
        <f t="shared" si="0"/>
        <v>0</v>
      </c>
      <c r="C26" t="s">
        <v>64</v>
      </c>
      <c r="D26" s="27" t="s">
        <v>237</v>
      </c>
      <c r="E26" t="s">
        <v>238</v>
      </c>
      <c r="F26" s="28">
        <v>0</v>
      </c>
      <c r="G26" s="29">
        <v>1</v>
      </c>
      <c r="H26" s="30" t="s">
        <v>239</v>
      </c>
      <c r="I26" t="s">
        <v>65</v>
      </c>
      <c r="J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145</v>
      </c>
      <c r="L26" t="s">
        <v>146</v>
      </c>
      <c r="N26" s="29">
        <v>1</v>
      </c>
      <c r="P26" s="29">
        <v>1</v>
      </c>
      <c r="R26" s="29">
        <v>1</v>
      </c>
      <c r="S26" t="s">
        <v>70</v>
      </c>
      <c r="T26" t="s">
        <v>72</v>
      </c>
      <c r="U26" s="32">
        <v>30</v>
      </c>
      <c r="V26">
        <v>30</v>
      </c>
      <c r="W26" t="s">
        <v>79</v>
      </c>
      <c r="X26" t="s">
        <v>240</v>
      </c>
      <c r="Y26" t="s">
        <v>241</v>
      </c>
      <c r="AA26" t="s">
        <v>75</v>
      </c>
      <c r="AC26" t="s">
        <v>83</v>
      </c>
      <c r="AE26" t="s">
        <v>75</v>
      </c>
      <c r="AF26" t="s">
        <v>84</v>
      </c>
      <c r="AG26" t="s">
        <v>84</v>
      </c>
      <c r="AH26" s="33">
        <f t="shared" si="1"/>
      </c>
      <c r="AI26" s="33">
        <f t="shared" si="2"/>
      </c>
    </row>
    <row r="27" ht="27.6" customHeight="1" spans="1:35" x14ac:dyDescent="0.25">
      <c r="A27" s="27" t="s">
        <v>242</v>
      </c>
      <c r="B27">
        <f t="shared" si="0"/>
        <v>0</v>
      </c>
      <c r="C27" t="s">
        <v>64</v>
      </c>
      <c r="D27" s="27" t="s">
        <v>102</v>
      </c>
      <c r="E27" t="s">
        <v>243</v>
      </c>
      <c r="F27" s="28">
        <v>0</v>
      </c>
      <c r="G27" s="29">
        <v>1</v>
      </c>
      <c r="H27" s="30" t="s">
        <v>244</v>
      </c>
      <c r="I27" t="s">
        <v>65</v>
      </c>
      <c r="J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145</v>
      </c>
      <c r="L27" t="s">
        <v>146</v>
      </c>
      <c r="N27" s="29">
        <v>1</v>
      </c>
      <c r="P27" s="29">
        <v>1</v>
      </c>
      <c r="R27" s="29">
        <v>1</v>
      </c>
      <c r="S27" t="s">
        <v>70</v>
      </c>
      <c r="T27" t="s">
        <v>72</v>
      </c>
      <c r="U27" s="32">
        <v>30</v>
      </c>
      <c r="V27">
        <v>30</v>
      </c>
      <c r="W27" t="s">
        <v>79</v>
      </c>
      <c r="X27" t="s">
        <v>245</v>
      </c>
      <c r="Y27" t="s">
        <v>246</v>
      </c>
      <c r="AA27" t="s">
        <v>75</v>
      </c>
      <c r="AC27" t="s">
        <v>83</v>
      </c>
      <c r="AE27" t="s">
        <v>75</v>
      </c>
      <c r="AF27" t="s">
        <v>84</v>
      </c>
      <c r="AG27" t="s">
        <v>84</v>
      </c>
      <c r="AH27" s="33">
        <f t="shared" si="1"/>
      </c>
      <c r="AI27" s="33">
        <f t="shared" si="2"/>
      </c>
    </row>
    <row r="28" ht="27.6" customHeight="1" spans="1:35" x14ac:dyDescent="0.25">
      <c r="A28" s="27" t="s">
        <v>247</v>
      </c>
      <c r="B28">
        <f t="shared" si="0"/>
        <v>0</v>
      </c>
      <c r="C28" t="s">
        <v>64</v>
      </c>
      <c r="D28" s="27" t="s">
        <v>102</v>
      </c>
      <c r="E28" t="s">
        <v>248</v>
      </c>
      <c r="F28" s="28">
        <v>0</v>
      </c>
      <c r="G28" s="29">
        <v>1</v>
      </c>
      <c r="H28" s="30" t="s">
        <v>249</v>
      </c>
      <c r="I28" t="s">
        <v>65</v>
      </c>
      <c r="J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145</v>
      </c>
      <c r="L28" t="s">
        <v>146</v>
      </c>
      <c r="N28" s="29">
        <v>1</v>
      </c>
      <c r="P28" s="29">
        <v>1</v>
      </c>
      <c r="R28" s="29">
        <v>1</v>
      </c>
      <c r="S28" t="s">
        <v>70</v>
      </c>
      <c r="T28" t="s">
        <v>72</v>
      </c>
      <c r="U28" s="32">
        <v>30</v>
      </c>
      <c r="V28">
        <v>30</v>
      </c>
      <c r="W28" t="s">
        <v>79</v>
      </c>
      <c r="X28" t="s">
        <v>240</v>
      </c>
      <c r="Y28" t="s">
        <v>250</v>
      </c>
      <c r="AA28" t="s">
        <v>75</v>
      </c>
      <c r="AC28" t="s">
        <v>83</v>
      </c>
      <c r="AE28" t="s">
        <v>75</v>
      </c>
      <c r="AF28" t="s">
        <v>84</v>
      </c>
      <c r="AG28" t="s">
        <v>84</v>
      </c>
      <c r="AH28" s="33">
        <f t="shared" si="1"/>
      </c>
      <c r="AI28" s="33">
        <f t="shared" si="2"/>
      </c>
    </row>
    <row r="29" ht="27.6" customHeight="1" spans="1:35" x14ac:dyDescent="0.25">
      <c r="A29" s="27" t="s">
        <v>251</v>
      </c>
      <c r="B29">
        <f t="shared" si="0"/>
        <v>0</v>
      </c>
      <c r="C29" t="s">
        <v>64</v>
      </c>
      <c r="D29" s="27" t="s">
        <v>102</v>
      </c>
      <c r="E29" t="s">
        <v>252</v>
      </c>
      <c r="F29" s="28">
        <v>0</v>
      </c>
      <c r="G29" s="29">
        <v>1</v>
      </c>
      <c r="H29" s="30" t="s">
        <v>253</v>
      </c>
      <c r="I29" t="s">
        <v>65</v>
      </c>
      <c r="J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145</v>
      </c>
      <c r="L29" t="s">
        <v>146</v>
      </c>
      <c r="N29" s="29">
        <v>1</v>
      </c>
      <c r="P29" s="29">
        <v>1</v>
      </c>
      <c r="R29" s="29">
        <v>1</v>
      </c>
      <c r="S29" t="s">
        <v>70</v>
      </c>
      <c r="T29" t="s">
        <v>72</v>
      </c>
      <c r="U29" s="32">
        <v>30</v>
      </c>
      <c r="V29">
        <v>30</v>
      </c>
      <c r="W29" t="s">
        <v>79</v>
      </c>
      <c r="X29" t="s">
        <v>166</v>
      </c>
      <c r="Y29" t="s">
        <v>254</v>
      </c>
      <c r="AA29" t="s">
        <v>75</v>
      </c>
      <c r="AC29" t="s">
        <v>83</v>
      </c>
      <c r="AE29" t="s">
        <v>75</v>
      </c>
      <c r="AF29" t="s">
        <v>84</v>
      </c>
      <c r="AG29" t="s">
        <v>84</v>
      </c>
      <c r="AH29" s="33">
        <f t="shared" si="1"/>
      </c>
      <c r="AI29" s="33">
        <f t="shared" si="2"/>
      </c>
    </row>
    <row r="30" ht="27.6" customHeight="1" spans="1:35" x14ac:dyDescent="0.25">
      <c r="A30" s="27" t="s">
        <v>255</v>
      </c>
      <c r="B30">
        <f t="shared" si="0"/>
        <v>0</v>
      </c>
      <c r="C30" t="s">
        <v>64</v>
      </c>
      <c r="D30" s="27" t="s">
        <v>102</v>
      </c>
      <c r="E30" t="s">
        <v>256</v>
      </c>
      <c r="F30" s="28">
        <v>0</v>
      </c>
      <c r="G30" s="29">
        <v>1</v>
      </c>
      <c r="H30" s="30" t="s">
        <v>257</v>
      </c>
      <c r="I30" t="s">
        <v>65</v>
      </c>
      <c r="J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145</v>
      </c>
      <c r="L30" t="s">
        <v>146</v>
      </c>
      <c r="N30" s="29">
        <v>1</v>
      </c>
      <c r="P30" s="29">
        <v>1</v>
      </c>
      <c r="R30" s="29">
        <v>1</v>
      </c>
      <c r="S30" t="s">
        <v>70</v>
      </c>
      <c r="T30" t="s">
        <v>72</v>
      </c>
      <c r="U30" s="32">
        <v>30</v>
      </c>
      <c r="V30">
        <v>30</v>
      </c>
      <c r="W30" t="s">
        <v>79</v>
      </c>
      <c r="X30" t="s">
        <v>240</v>
      </c>
      <c r="Y30" t="s">
        <v>256</v>
      </c>
      <c r="AA30" t="s">
        <v>75</v>
      </c>
      <c r="AC30" t="s">
        <v>83</v>
      </c>
      <c r="AE30" t="s">
        <v>75</v>
      </c>
      <c r="AF30" t="s">
        <v>84</v>
      </c>
      <c r="AG30" t="s">
        <v>84</v>
      </c>
      <c r="AH30" s="33">
        <f t="shared" si="1"/>
      </c>
      <c r="AI30" s="33">
        <f t="shared" si="2"/>
      </c>
    </row>
    <row r="31" ht="27.6" customHeight="1" spans="1:35" x14ac:dyDescent="0.25">
      <c r="A31" s="27" t="s">
        <v>258</v>
      </c>
      <c r="B31">
        <f t="shared" si="0"/>
        <v>0</v>
      </c>
      <c r="C31" t="s">
        <v>64</v>
      </c>
      <c r="D31" s="27" t="s">
        <v>102</v>
      </c>
      <c r="E31" t="s">
        <v>259</v>
      </c>
      <c r="F31" s="28">
        <v>0</v>
      </c>
      <c r="G31" s="29">
        <v>1</v>
      </c>
      <c r="H31" s="30" t="s">
        <v>260</v>
      </c>
      <c r="I31" t="s">
        <v>65</v>
      </c>
      <c r="J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145</v>
      </c>
      <c r="L31" t="s">
        <v>146</v>
      </c>
      <c r="N31" s="29">
        <v>1</v>
      </c>
      <c r="P31" s="29">
        <v>1</v>
      </c>
      <c r="R31" s="29">
        <v>1</v>
      </c>
      <c r="S31" t="s">
        <v>70</v>
      </c>
      <c r="T31" t="s">
        <v>72</v>
      </c>
      <c r="U31" s="32">
        <v>30</v>
      </c>
      <c r="V31">
        <v>30</v>
      </c>
      <c r="W31" t="s">
        <v>79</v>
      </c>
      <c r="X31" t="s">
        <v>166</v>
      </c>
      <c r="Y31" t="s">
        <v>261</v>
      </c>
      <c r="AA31" t="s">
        <v>75</v>
      </c>
      <c r="AC31" t="s">
        <v>83</v>
      </c>
      <c r="AE31" t="s">
        <v>75</v>
      </c>
      <c r="AF31" t="s">
        <v>84</v>
      </c>
      <c r="AG31" t="s">
        <v>84</v>
      </c>
      <c r="AH31" s="33">
        <f t="shared" si="1"/>
      </c>
      <c r="AI31" s="33">
        <f t="shared" si="2"/>
      </c>
    </row>
    <row r="32" ht="27.6" customHeight="1" spans="1:35" x14ac:dyDescent="0.25">
      <c r="A32" s="27" t="s">
        <v>262</v>
      </c>
      <c r="B32">
        <f t="shared" si="0"/>
        <v>0</v>
      </c>
      <c r="C32" t="s">
        <v>64</v>
      </c>
      <c r="D32" s="27" t="s">
        <v>102</v>
      </c>
      <c r="E32" t="s">
        <v>259</v>
      </c>
      <c r="F32" s="28">
        <v>0</v>
      </c>
      <c r="G32" s="29">
        <v>1</v>
      </c>
      <c r="H32" s="30" t="s">
        <v>263</v>
      </c>
      <c r="I32" t="s">
        <v>65</v>
      </c>
      <c r="J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145</v>
      </c>
      <c r="L32" t="s">
        <v>146</v>
      </c>
      <c r="N32" s="29">
        <v>1</v>
      </c>
      <c r="P32" s="29">
        <v>1</v>
      </c>
      <c r="R32" s="29">
        <v>1</v>
      </c>
      <c r="S32" t="s">
        <v>70</v>
      </c>
      <c r="T32" t="s">
        <v>72</v>
      </c>
      <c r="U32" s="32">
        <v>30</v>
      </c>
      <c r="V32">
        <v>30</v>
      </c>
      <c r="W32" t="s">
        <v>79</v>
      </c>
      <c r="X32" t="s">
        <v>166</v>
      </c>
      <c r="Y32" t="s">
        <v>261</v>
      </c>
      <c r="AA32" t="s">
        <v>75</v>
      </c>
      <c r="AC32" t="s">
        <v>83</v>
      </c>
      <c r="AE32" t="s">
        <v>75</v>
      </c>
      <c r="AF32" t="s">
        <v>84</v>
      </c>
      <c r="AG32" t="s">
        <v>84</v>
      </c>
      <c r="AH32" s="33">
        <f t="shared" si="1"/>
      </c>
      <c r="AI32" s="33">
        <f t="shared" si="2"/>
      </c>
    </row>
    <row r="33" ht="27.6" customHeight="1" spans="1:35" x14ac:dyDescent="0.25">
      <c r="A33" s="27" t="s">
        <v>264</v>
      </c>
      <c r="B33">
        <f t="shared" si="0"/>
        <v>0</v>
      </c>
      <c r="C33" t="s">
        <v>64</v>
      </c>
      <c r="D33" s="27" t="s">
        <v>102</v>
      </c>
      <c r="E33" t="s">
        <v>259</v>
      </c>
      <c r="F33" s="28">
        <v>0</v>
      </c>
      <c r="G33" s="29">
        <v>1</v>
      </c>
      <c r="H33" s="30" t="s">
        <v>265</v>
      </c>
      <c r="I33" t="s">
        <v>65</v>
      </c>
      <c r="J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145</v>
      </c>
      <c r="L33" t="s">
        <v>146</v>
      </c>
      <c r="N33" s="29">
        <v>1</v>
      </c>
      <c r="P33" s="29">
        <v>1</v>
      </c>
      <c r="R33" s="29">
        <v>1</v>
      </c>
      <c r="S33" t="s">
        <v>70</v>
      </c>
      <c r="T33" t="s">
        <v>72</v>
      </c>
      <c r="U33" s="32">
        <v>30</v>
      </c>
      <c r="V33">
        <v>30</v>
      </c>
      <c r="W33" t="s">
        <v>79</v>
      </c>
      <c r="X33" t="s">
        <v>166</v>
      </c>
      <c r="Y33" t="s">
        <v>261</v>
      </c>
      <c r="AA33" t="s">
        <v>75</v>
      </c>
      <c r="AC33" t="s">
        <v>83</v>
      </c>
      <c r="AE33" t="s">
        <v>75</v>
      </c>
      <c r="AF33" t="s">
        <v>84</v>
      </c>
      <c r="AG33" t="s">
        <v>84</v>
      </c>
      <c r="AH33" s="33">
        <f t="shared" si="1"/>
      </c>
      <c r="AI33" s="33">
        <f t="shared" si="2"/>
      </c>
    </row>
    <row r="34" ht="27.6" customHeight="1" spans="1:35" x14ac:dyDescent="0.25">
      <c r="A34" s="27" t="s">
        <v>266</v>
      </c>
      <c r="B34">
        <f t="shared" si="0"/>
        <v>0</v>
      </c>
      <c r="C34" t="s">
        <v>64</v>
      </c>
      <c r="D34" s="27" t="s">
        <v>102</v>
      </c>
      <c r="E34" t="s">
        <v>267</v>
      </c>
      <c r="F34" s="28">
        <v>0</v>
      </c>
      <c r="G34" s="29">
        <v>1</v>
      </c>
      <c r="H34" s="30" t="s">
        <v>268</v>
      </c>
      <c r="I34" t="s">
        <v>65</v>
      </c>
      <c r="J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145</v>
      </c>
      <c r="L34" t="s">
        <v>146</v>
      </c>
      <c r="N34" s="29">
        <v>1</v>
      </c>
      <c r="P34" s="29">
        <v>1</v>
      </c>
      <c r="R34" s="29">
        <v>1</v>
      </c>
      <c r="S34" t="s">
        <v>70</v>
      </c>
      <c r="T34" t="s">
        <v>72</v>
      </c>
      <c r="U34" s="32">
        <v>30</v>
      </c>
      <c r="V34">
        <v>30</v>
      </c>
      <c r="W34" t="s">
        <v>79</v>
      </c>
      <c r="X34" t="s">
        <v>240</v>
      </c>
      <c r="Y34" t="s">
        <v>267</v>
      </c>
      <c r="AA34" t="s">
        <v>75</v>
      </c>
      <c r="AC34" t="s">
        <v>83</v>
      </c>
      <c r="AE34" t="s">
        <v>75</v>
      </c>
      <c r="AF34" t="s">
        <v>84</v>
      </c>
      <c r="AG34" t="s">
        <v>84</v>
      </c>
      <c r="AH34" s="33">
        <f t="shared" si="1"/>
      </c>
      <c r="AI34" s="33">
        <f t="shared" si="2"/>
      </c>
    </row>
    <row r="35" ht="27.6" customHeight="1" spans="1:35" x14ac:dyDescent="0.25">
      <c r="A35" s="27" t="s">
        <v>269</v>
      </c>
      <c r="B35">
        <f t="shared" si="0"/>
        <v>0</v>
      </c>
      <c r="C35" t="s">
        <v>64</v>
      </c>
      <c r="D35" s="27" t="s">
        <v>270</v>
      </c>
      <c r="E35" t="s">
        <v>271</v>
      </c>
      <c r="F35" s="28">
        <v>0</v>
      </c>
      <c r="G35" s="29">
        <v>1</v>
      </c>
      <c r="H35" s="30" t="s">
        <v>272</v>
      </c>
      <c r="I35" t="s">
        <v>65</v>
      </c>
      <c r="J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145</v>
      </c>
      <c r="L35" t="s">
        <v>146</v>
      </c>
      <c r="N35" s="29">
        <v>1</v>
      </c>
      <c r="P35" s="29">
        <v>1</v>
      </c>
      <c r="R35" s="29">
        <v>1</v>
      </c>
      <c r="S35" t="s">
        <v>70</v>
      </c>
      <c r="T35" t="s">
        <v>72</v>
      </c>
      <c r="U35" s="32">
        <v>30</v>
      </c>
      <c r="V35">
        <v>30</v>
      </c>
      <c r="W35" t="s">
        <v>79</v>
      </c>
      <c r="X35" t="s">
        <v>240</v>
      </c>
      <c r="Y35" t="s">
        <v>273</v>
      </c>
      <c r="AA35" t="s">
        <v>75</v>
      </c>
      <c r="AC35" t="s">
        <v>83</v>
      </c>
      <c r="AE35" t="s">
        <v>75</v>
      </c>
      <c r="AF35" t="s">
        <v>84</v>
      </c>
      <c r="AG35" t="s">
        <v>84</v>
      </c>
      <c r="AH35" s="33">
        <f t="shared" si="1"/>
      </c>
      <c r="AI35" s="33">
        <f t="shared" si="2"/>
      </c>
    </row>
    <row r="36" ht="27.6" customHeight="1" spans="1:35" x14ac:dyDescent="0.25">
      <c r="A36" s="27" t="s">
        <v>274</v>
      </c>
      <c r="B36">
        <f t="shared" si="0"/>
        <v>0</v>
      </c>
      <c r="C36" t="s">
        <v>64</v>
      </c>
      <c r="D36" s="27" t="s">
        <v>275</v>
      </c>
      <c r="E36" t="s">
        <v>276</v>
      </c>
      <c r="F36" s="28">
        <v>0</v>
      </c>
      <c r="G36" s="29">
        <v>1</v>
      </c>
      <c r="H36" s="30" t="s">
        <v>277</v>
      </c>
      <c r="I36" t="s">
        <v>65</v>
      </c>
      <c r="J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145</v>
      </c>
      <c r="L36" t="s">
        <v>146</v>
      </c>
      <c r="N36" s="29">
        <v>1</v>
      </c>
      <c r="P36" s="29">
        <v>1</v>
      </c>
      <c r="R36" s="29">
        <v>1</v>
      </c>
      <c r="S36" t="s">
        <v>70</v>
      </c>
      <c r="T36" t="s">
        <v>72</v>
      </c>
      <c r="U36" s="32">
        <v>30</v>
      </c>
      <c r="V36">
        <v>30</v>
      </c>
      <c r="W36" t="s">
        <v>79</v>
      </c>
      <c r="X36" t="s">
        <v>240</v>
      </c>
      <c r="Y36" t="s">
        <v>278</v>
      </c>
      <c r="AA36" t="s">
        <v>75</v>
      </c>
      <c r="AC36" t="s">
        <v>83</v>
      </c>
      <c r="AE36" t="s">
        <v>75</v>
      </c>
      <c r="AF36" t="s">
        <v>84</v>
      </c>
      <c r="AG36" t="s">
        <v>84</v>
      </c>
      <c r="AH36" s="33">
        <f t="shared" si="1"/>
      </c>
      <c r="AI36" s="33">
        <f t="shared" si="2"/>
      </c>
    </row>
    <row r="37" ht="27.6" customHeight="1" spans="1:35" x14ac:dyDescent="0.25">
      <c r="A37" s="27" t="s">
        <v>279</v>
      </c>
      <c r="B37">
        <f t="shared" si="0"/>
        <v>0</v>
      </c>
      <c r="C37" t="s">
        <v>64</v>
      </c>
      <c r="D37" s="27" t="s">
        <v>102</v>
      </c>
      <c r="E37" t="s">
        <v>280</v>
      </c>
      <c r="F37" s="28">
        <v>0</v>
      </c>
      <c r="G37" s="29">
        <v>1</v>
      </c>
      <c r="H37" s="30" t="s">
        <v>281</v>
      </c>
      <c r="I37" t="s">
        <v>65</v>
      </c>
      <c r="J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145</v>
      </c>
      <c r="L37" t="s">
        <v>146</v>
      </c>
      <c r="N37" s="29">
        <v>1</v>
      </c>
      <c r="P37" s="29">
        <v>1</v>
      </c>
      <c r="R37" s="29">
        <v>1</v>
      </c>
      <c r="S37" t="s">
        <v>70</v>
      </c>
      <c r="T37" t="s">
        <v>72</v>
      </c>
      <c r="U37" s="32">
        <v>30</v>
      </c>
      <c r="V37">
        <v>30</v>
      </c>
      <c r="W37" t="s">
        <v>79</v>
      </c>
      <c r="X37" t="s">
        <v>240</v>
      </c>
      <c r="Y37" t="s">
        <v>282</v>
      </c>
      <c r="AA37" t="s">
        <v>75</v>
      </c>
      <c r="AC37" t="s">
        <v>83</v>
      </c>
      <c r="AE37" t="s">
        <v>75</v>
      </c>
      <c r="AF37" t="s">
        <v>84</v>
      </c>
      <c r="AG37" t="s">
        <v>84</v>
      </c>
      <c r="AH37" s="33">
        <f t="shared" si="1"/>
      </c>
      <c r="AI37" s="33">
        <f t="shared" si="2"/>
      </c>
    </row>
    <row r="38" ht="27.6" customHeight="1" spans="1:35" x14ac:dyDescent="0.25">
      <c r="A38" s="27" t="s">
        <v>283</v>
      </c>
      <c r="B38">
        <f t="shared" si="0"/>
        <v>0</v>
      </c>
      <c r="C38" t="s">
        <v>64</v>
      </c>
      <c r="D38" s="27" t="s">
        <v>102</v>
      </c>
      <c r="E38" t="s">
        <v>284</v>
      </c>
      <c r="F38" s="28">
        <v>0</v>
      </c>
      <c r="G38" s="29">
        <v>1</v>
      </c>
      <c r="H38" s="30" t="s">
        <v>285</v>
      </c>
      <c r="I38" t="s">
        <v>65</v>
      </c>
      <c r="J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145</v>
      </c>
      <c r="L38" t="s">
        <v>146</v>
      </c>
      <c r="N38" s="29">
        <v>1</v>
      </c>
      <c r="P38" s="29">
        <v>1</v>
      </c>
      <c r="R38" s="29">
        <v>1</v>
      </c>
      <c r="S38" t="s">
        <v>70</v>
      </c>
      <c r="T38" t="s">
        <v>72</v>
      </c>
      <c r="U38" s="32">
        <v>30</v>
      </c>
      <c r="V38">
        <v>30</v>
      </c>
      <c r="W38" t="s">
        <v>79</v>
      </c>
      <c r="X38" t="s">
        <v>166</v>
      </c>
      <c r="Y38" t="s">
        <v>286</v>
      </c>
      <c r="AA38" t="s">
        <v>75</v>
      </c>
      <c r="AC38" t="s">
        <v>83</v>
      </c>
      <c r="AE38" t="s">
        <v>75</v>
      </c>
      <c r="AF38" t="s">
        <v>84</v>
      </c>
      <c r="AG38" t="s">
        <v>84</v>
      </c>
      <c r="AH38" s="33">
        <f t="shared" si="1"/>
      </c>
      <c r="AI38" s="33">
        <f t="shared" si="2"/>
      </c>
    </row>
    <row r="39" ht="27.6" customHeight="1" spans="1:35" x14ac:dyDescent="0.25">
      <c r="A39" s="27" t="s">
        <v>287</v>
      </c>
      <c r="B39">
        <f t="shared" si="0"/>
        <v>0</v>
      </c>
      <c r="C39" t="s">
        <v>64</v>
      </c>
      <c r="D39" s="27" t="s">
        <v>102</v>
      </c>
      <c r="E39" t="s">
        <v>284</v>
      </c>
      <c r="F39" s="28">
        <v>0</v>
      </c>
      <c r="G39" s="29">
        <v>1</v>
      </c>
      <c r="H39" s="30" t="s">
        <v>288</v>
      </c>
      <c r="I39" t="s">
        <v>65</v>
      </c>
      <c r="J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145</v>
      </c>
      <c r="L39" t="s">
        <v>146</v>
      </c>
      <c r="N39" s="29">
        <v>1</v>
      </c>
      <c r="P39" s="29">
        <v>1</v>
      </c>
      <c r="R39" s="29">
        <v>1</v>
      </c>
      <c r="S39" t="s">
        <v>70</v>
      </c>
      <c r="T39" t="s">
        <v>72</v>
      </c>
      <c r="U39" s="32">
        <v>30</v>
      </c>
      <c r="V39">
        <v>30</v>
      </c>
      <c r="W39" t="s">
        <v>79</v>
      </c>
      <c r="X39" t="s">
        <v>166</v>
      </c>
      <c r="Y39" t="s">
        <v>286</v>
      </c>
      <c r="AA39" t="s">
        <v>75</v>
      </c>
      <c r="AC39" t="s">
        <v>83</v>
      </c>
      <c r="AE39" t="s">
        <v>75</v>
      </c>
      <c r="AF39" t="s">
        <v>84</v>
      </c>
      <c r="AG39" t="s">
        <v>84</v>
      </c>
      <c r="AH39" s="33">
        <f t="shared" si="1"/>
      </c>
      <c r="AI39" s="33">
        <f t="shared" si="2"/>
      </c>
    </row>
    <row r="40" ht="27.6" customHeight="1" spans="1:35" x14ac:dyDescent="0.25">
      <c r="A40" s="27" t="s">
        <v>289</v>
      </c>
      <c r="B40">
        <f t="shared" si="0"/>
        <v>0</v>
      </c>
      <c r="C40" t="s">
        <v>64</v>
      </c>
      <c r="D40" s="27" t="s">
        <v>102</v>
      </c>
      <c r="E40" t="s">
        <v>290</v>
      </c>
      <c r="F40" s="28">
        <v>0</v>
      </c>
      <c r="G40" s="29">
        <v>1</v>
      </c>
      <c r="H40" s="30" t="s">
        <v>291</v>
      </c>
      <c r="I40" t="s">
        <v>65</v>
      </c>
      <c r="J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145</v>
      </c>
      <c r="L40" t="s">
        <v>146</v>
      </c>
      <c r="N40" s="29">
        <v>1</v>
      </c>
      <c r="P40" s="29">
        <v>1</v>
      </c>
      <c r="R40" s="29">
        <v>1</v>
      </c>
      <c r="S40" t="s">
        <v>70</v>
      </c>
      <c r="T40" t="s">
        <v>72</v>
      </c>
      <c r="U40" s="32">
        <v>30</v>
      </c>
      <c r="V40">
        <v>30</v>
      </c>
      <c r="W40" t="s">
        <v>79</v>
      </c>
      <c r="X40" t="s">
        <v>166</v>
      </c>
      <c r="Y40" t="s">
        <v>292</v>
      </c>
      <c r="AA40" t="s">
        <v>75</v>
      </c>
      <c r="AC40" t="s">
        <v>83</v>
      </c>
      <c r="AE40" t="s">
        <v>75</v>
      </c>
      <c r="AF40" t="s">
        <v>84</v>
      </c>
      <c r="AG40" t="s">
        <v>84</v>
      </c>
      <c r="AH40" s="33">
        <f t="shared" si="1"/>
      </c>
      <c r="AI40" s="33">
        <f t="shared" si="2"/>
      </c>
    </row>
    <row r="41" ht="27.6" customHeight="1" spans="1:35" x14ac:dyDescent="0.25">
      <c r="A41" s="27" t="s">
        <v>293</v>
      </c>
      <c r="B41">
        <f t="shared" si="0"/>
        <v>0</v>
      </c>
      <c r="C41" t="s">
        <v>64</v>
      </c>
      <c r="D41" s="27" t="s">
        <v>102</v>
      </c>
      <c r="E41" t="s">
        <v>294</v>
      </c>
      <c r="F41" s="28">
        <v>0</v>
      </c>
      <c r="G41" s="29">
        <v>1</v>
      </c>
      <c r="H41" s="30" t="s">
        <v>295</v>
      </c>
      <c r="I41" t="s">
        <v>65</v>
      </c>
      <c r="J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145</v>
      </c>
      <c r="L41" t="s">
        <v>146</v>
      </c>
      <c r="N41" s="29">
        <v>1</v>
      </c>
      <c r="P41" s="29">
        <v>1</v>
      </c>
      <c r="R41" s="29">
        <v>1</v>
      </c>
      <c r="S41" t="s">
        <v>70</v>
      </c>
      <c r="T41" t="s">
        <v>72</v>
      </c>
      <c r="U41" s="32">
        <v>30</v>
      </c>
      <c r="V41">
        <v>30</v>
      </c>
      <c r="W41" t="s">
        <v>79</v>
      </c>
      <c r="X41" t="s">
        <v>166</v>
      </c>
      <c r="Y41" t="s">
        <v>296</v>
      </c>
      <c r="AA41" t="s">
        <v>75</v>
      </c>
      <c r="AC41" t="s">
        <v>83</v>
      </c>
      <c r="AE41" t="s">
        <v>75</v>
      </c>
      <c r="AF41" t="s">
        <v>84</v>
      </c>
      <c r="AG41" t="s">
        <v>84</v>
      </c>
      <c r="AH41" s="33">
        <f t="shared" si="1"/>
      </c>
      <c r="AI41" s="33">
        <f t="shared" si="2"/>
      </c>
    </row>
    <row r="42" ht="27.6" customHeight="1" spans="1:35" x14ac:dyDescent="0.25">
      <c r="A42" s="27" t="s">
        <v>297</v>
      </c>
      <c r="B42">
        <f t="shared" si="0"/>
        <v>0</v>
      </c>
      <c r="C42" t="s">
        <v>64</v>
      </c>
      <c r="D42" s="27" t="s">
        <v>102</v>
      </c>
      <c r="E42" t="s">
        <v>298</v>
      </c>
      <c r="F42" s="28">
        <v>0</v>
      </c>
      <c r="G42" s="29">
        <v>1</v>
      </c>
      <c r="H42" s="30" t="s">
        <v>299</v>
      </c>
      <c r="I42" t="s">
        <v>65</v>
      </c>
      <c r="J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145</v>
      </c>
      <c r="L42" t="s">
        <v>146</v>
      </c>
      <c r="N42" s="29">
        <v>1</v>
      </c>
      <c r="P42" s="29">
        <v>1</v>
      </c>
      <c r="R42" s="29">
        <v>1</v>
      </c>
      <c r="S42" t="s">
        <v>70</v>
      </c>
      <c r="T42" t="s">
        <v>72</v>
      </c>
      <c r="U42" s="32">
        <v>30</v>
      </c>
      <c r="V42">
        <v>30</v>
      </c>
      <c r="W42" t="s">
        <v>79</v>
      </c>
      <c r="X42" t="s">
        <v>166</v>
      </c>
      <c r="Y42" t="s">
        <v>300</v>
      </c>
      <c r="AA42" t="s">
        <v>75</v>
      </c>
      <c r="AC42" t="s">
        <v>83</v>
      </c>
      <c r="AE42" t="s">
        <v>75</v>
      </c>
      <c r="AF42" t="s">
        <v>84</v>
      </c>
      <c r="AG42" t="s">
        <v>84</v>
      </c>
      <c r="AH42" s="33">
        <f t="shared" si="1"/>
      </c>
      <c r="AI42" s="33">
        <f t="shared" si="2"/>
      </c>
    </row>
    <row r="43" ht="27.6" customHeight="1" spans="1:35" x14ac:dyDescent="0.25">
      <c r="A43" s="27" t="s">
        <v>301</v>
      </c>
      <c r="B43">
        <f t="shared" si="0"/>
        <v>0</v>
      </c>
      <c r="C43" t="s">
        <v>64</v>
      </c>
      <c r="D43" s="27" t="s">
        <v>102</v>
      </c>
      <c r="E43" t="s">
        <v>302</v>
      </c>
      <c r="F43" s="28">
        <v>0</v>
      </c>
      <c r="G43" s="29">
        <v>1</v>
      </c>
      <c r="H43" s="30" t="s">
        <v>303</v>
      </c>
      <c r="I43" t="s">
        <v>65</v>
      </c>
      <c r="J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145</v>
      </c>
      <c r="L43" t="s">
        <v>146</v>
      </c>
      <c r="N43" s="29">
        <v>1</v>
      </c>
      <c r="P43" s="29">
        <v>1</v>
      </c>
      <c r="R43" s="29">
        <v>1</v>
      </c>
      <c r="S43" t="s">
        <v>70</v>
      </c>
      <c r="T43" t="s">
        <v>72</v>
      </c>
      <c r="U43" s="32">
        <v>30</v>
      </c>
      <c r="V43">
        <v>30</v>
      </c>
      <c r="W43" t="s">
        <v>79</v>
      </c>
      <c r="X43" t="s">
        <v>166</v>
      </c>
      <c r="Y43" t="s">
        <v>304</v>
      </c>
      <c r="AA43" t="s">
        <v>75</v>
      </c>
      <c r="AC43" t="s">
        <v>83</v>
      </c>
      <c r="AE43" t="s">
        <v>75</v>
      </c>
      <c r="AF43" t="s">
        <v>84</v>
      </c>
      <c r="AG43" t="s">
        <v>84</v>
      </c>
      <c r="AH43" s="33">
        <f t="shared" si="1"/>
      </c>
      <c r="AI43" s="33">
        <f t="shared" si="2"/>
      </c>
    </row>
    <row r="44" ht="27.6" customHeight="1" spans="1:35" x14ac:dyDescent="0.25">
      <c r="A44" s="27" t="s">
        <v>305</v>
      </c>
      <c r="B44">
        <f t="shared" si="0"/>
        <v>0</v>
      </c>
      <c r="C44" t="s">
        <v>64</v>
      </c>
      <c r="D44" s="27" t="s">
        <v>102</v>
      </c>
      <c r="E44" t="s">
        <v>306</v>
      </c>
      <c r="F44" s="28">
        <v>0</v>
      </c>
      <c r="G44" s="29">
        <v>1</v>
      </c>
      <c r="H44" s="30" t="s">
        <v>307</v>
      </c>
      <c r="I44" t="s">
        <v>65</v>
      </c>
      <c r="J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145</v>
      </c>
      <c r="L44" t="s">
        <v>146</v>
      </c>
      <c r="N44" s="29">
        <v>1</v>
      </c>
      <c r="P44" s="29">
        <v>1</v>
      </c>
      <c r="R44" s="29">
        <v>1</v>
      </c>
      <c r="S44" t="s">
        <v>70</v>
      </c>
      <c r="T44" t="s">
        <v>72</v>
      </c>
      <c r="U44" s="32">
        <v>30</v>
      </c>
      <c r="V44">
        <v>30</v>
      </c>
      <c r="W44" t="s">
        <v>79</v>
      </c>
      <c r="X44" t="s">
        <v>166</v>
      </c>
      <c r="Y44" t="s">
        <v>308</v>
      </c>
      <c r="AA44" t="s">
        <v>75</v>
      </c>
      <c r="AC44" t="s">
        <v>83</v>
      </c>
      <c r="AE44" t="s">
        <v>75</v>
      </c>
      <c r="AF44" t="s">
        <v>84</v>
      </c>
      <c r="AG44" t="s">
        <v>84</v>
      </c>
      <c r="AH44" s="33">
        <f t="shared" si="1"/>
      </c>
      <c r="AI44" s="33">
        <f t="shared" si="2"/>
      </c>
    </row>
    <row r="45" ht="27.6" customHeight="1" spans="1:35" x14ac:dyDescent="0.25">
      <c r="A45" s="27" t="s">
        <v>309</v>
      </c>
      <c r="B45">
        <f t="shared" si="0"/>
        <v>0</v>
      </c>
      <c r="C45" t="s">
        <v>64</v>
      </c>
      <c r="D45" s="27" t="s">
        <v>102</v>
      </c>
      <c r="E45" t="s">
        <v>310</v>
      </c>
      <c r="F45" s="28">
        <v>0</v>
      </c>
      <c r="G45" s="29">
        <v>1</v>
      </c>
      <c r="H45" s="30" t="s">
        <v>311</v>
      </c>
      <c r="I45" t="s">
        <v>65</v>
      </c>
      <c r="J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145</v>
      </c>
      <c r="L45" t="s">
        <v>146</v>
      </c>
      <c r="N45" s="29">
        <v>1</v>
      </c>
      <c r="P45" s="29">
        <v>1</v>
      </c>
      <c r="R45" s="29">
        <v>1</v>
      </c>
      <c r="S45" t="s">
        <v>70</v>
      </c>
      <c r="T45" t="s">
        <v>72</v>
      </c>
      <c r="U45" s="32">
        <v>30</v>
      </c>
      <c r="V45">
        <v>30</v>
      </c>
      <c r="W45" t="s">
        <v>79</v>
      </c>
      <c r="X45" t="s">
        <v>171</v>
      </c>
      <c r="Y45" t="s">
        <v>312</v>
      </c>
      <c r="AA45" t="s">
        <v>75</v>
      </c>
      <c r="AC45" t="s">
        <v>83</v>
      </c>
      <c r="AE45" t="s">
        <v>75</v>
      </c>
      <c r="AF45" t="s">
        <v>84</v>
      </c>
      <c r="AG45" t="s">
        <v>84</v>
      </c>
      <c r="AH45" s="33">
        <f t="shared" si="1"/>
      </c>
      <c r="AI45" s="33">
        <f t="shared" si="2"/>
      </c>
    </row>
    <row r="46" ht="27.6" customHeight="1" spans="1:35" x14ac:dyDescent="0.25">
      <c r="A46" s="27" t="s">
        <v>313</v>
      </c>
      <c r="B46">
        <f t="shared" si="0"/>
        <v>0</v>
      </c>
      <c r="C46" t="s">
        <v>64</v>
      </c>
      <c r="D46" s="27" t="s">
        <v>102</v>
      </c>
      <c r="E46" t="s">
        <v>314</v>
      </c>
      <c r="F46" s="28">
        <v>0</v>
      </c>
      <c r="G46" s="29">
        <v>1</v>
      </c>
      <c r="H46" s="30" t="s">
        <v>315</v>
      </c>
      <c r="I46" t="s">
        <v>65</v>
      </c>
      <c r="J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145</v>
      </c>
      <c r="L46" t="s">
        <v>146</v>
      </c>
      <c r="N46" s="29">
        <v>1</v>
      </c>
      <c r="P46" s="29">
        <v>1</v>
      </c>
      <c r="R46" s="29">
        <v>1</v>
      </c>
      <c r="S46" t="s">
        <v>70</v>
      </c>
      <c r="T46" t="s">
        <v>72</v>
      </c>
      <c r="U46" s="32">
        <v>30</v>
      </c>
      <c r="V46">
        <v>30</v>
      </c>
      <c r="W46" t="s">
        <v>79</v>
      </c>
      <c r="X46" t="s">
        <v>166</v>
      </c>
      <c r="Y46" t="s">
        <v>314</v>
      </c>
      <c r="AA46" t="s">
        <v>75</v>
      </c>
      <c r="AC46" t="s">
        <v>83</v>
      </c>
      <c r="AE46" t="s">
        <v>75</v>
      </c>
      <c r="AF46" t="s">
        <v>84</v>
      </c>
      <c r="AG46" t="s">
        <v>84</v>
      </c>
      <c r="AH46" s="33">
        <f t="shared" si="1"/>
      </c>
      <c r="AI46" s="33">
        <f t="shared" si="2"/>
      </c>
    </row>
    <row r="47" ht="27.6" customHeight="1" spans="1:35" x14ac:dyDescent="0.25">
      <c r="A47" s="27" t="s">
        <v>316</v>
      </c>
      <c r="B47">
        <f t="shared" si="0"/>
        <v>0</v>
      </c>
      <c r="C47" t="s">
        <v>64</v>
      </c>
      <c r="D47" s="27" t="s">
        <v>102</v>
      </c>
      <c r="E47" t="s">
        <v>314</v>
      </c>
      <c r="F47" s="28">
        <v>0</v>
      </c>
      <c r="G47" s="29">
        <v>1</v>
      </c>
      <c r="H47" s="30" t="s">
        <v>317</v>
      </c>
      <c r="I47" t="s">
        <v>65</v>
      </c>
      <c r="J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145</v>
      </c>
      <c r="L47" t="s">
        <v>146</v>
      </c>
      <c r="N47" s="29">
        <v>1</v>
      </c>
      <c r="P47" s="29">
        <v>1</v>
      </c>
      <c r="R47" s="29">
        <v>1</v>
      </c>
      <c r="S47" t="s">
        <v>70</v>
      </c>
      <c r="T47" t="s">
        <v>72</v>
      </c>
      <c r="U47" s="32">
        <v>30</v>
      </c>
      <c r="V47">
        <v>30</v>
      </c>
      <c r="W47" t="s">
        <v>79</v>
      </c>
      <c r="X47" t="s">
        <v>166</v>
      </c>
      <c r="Y47" t="s">
        <v>314</v>
      </c>
      <c r="AA47" t="s">
        <v>75</v>
      </c>
      <c r="AC47" t="s">
        <v>83</v>
      </c>
      <c r="AE47" t="s">
        <v>75</v>
      </c>
      <c r="AF47" t="s">
        <v>84</v>
      </c>
      <c r="AG47" t="s">
        <v>84</v>
      </c>
      <c r="AH47" s="33">
        <f t="shared" si="1"/>
      </c>
      <c r="AI47" s="33">
        <f t="shared" si="2"/>
      </c>
    </row>
    <row r="48" ht="27.6" customHeight="1" spans="1:35" x14ac:dyDescent="0.25">
      <c r="A48" s="27" t="s">
        <v>313</v>
      </c>
      <c r="B48">
        <f t="shared" si="0"/>
        <v>0</v>
      </c>
      <c r="C48" t="s">
        <v>64</v>
      </c>
      <c r="D48" s="27" t="s">
        <v>102</v>
      </c>
      <c r="E48" t="s">
        <v>318</v>
      </c>
      <c r="F48" s="28">
        <v>2</v>
      </c>
      <c r="G48" s="29">
        <v>1</v>
      </c>
      <c r="H48" s="30" t="s">
        <v>319</v>
      </c>
      <c r="I48" t="s">
        <v>65</v>
      </c>
      <c r="J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145</v>
      </c>
      <c r="L48" t="s">
        <v>146</v>
      </c>
      <c r="N48" s="29">
        <v>1</v>
      </c>
      <c r="P48" s="29">
        <v>1</v>
      </c>
      <c r="R48" s="29">
        <v>1</v>
      </c>
      <c r="S48" t="s">
        <v>70</v>
      </c>
      <c r="T48" t="s">
        <v>72</v>
      </c>
      <c r="U48" s="32">
        <v>30</v>
      </c>
      <c r="V48">
        <v>30</v>
      </c>
      <c r="W48" t="s">
        <v>79</v>
      </c>
      <c r="X48" t="s">
        <v>240</v>
      </c>
      <c r="Y48" t="s">
        <v>320</v>
      </c>
      <c r="AA48" t="s">
        <v>75</v>
      </c>
      <c r="AC48" t="s">
        <v>83</v>
      </c>
      <c r="AE48" t="s">
        <v>75</v>
      </c>
      <c r="AF48" t="s">
        <v>84</v>
      </c>
      <c r="AG48" t="s">
        <v>84</v>
      </c>
      <c r="AH48" s="33">
        <f t="shared" si="1"/>
      </c>
      <c r="AI48" s="33">
        <f t="shared" si="2"/>
      </c>
    </row>
    <row r="49" ht="27.6" customHeight="1" spans="1:35" x14ac:dyDescent="0.25">
      <c r="A49" s="27" t="s">
        <v>316</v>
      </c>
      <c r="B49">
        <f t="shared" si="0"/>
        <v>0</v>
      </c>
      <c r="C49" t="s">
        <v>64</v>
      </c>
      <c r="D49" s="27" t="s">
        <v>102</v>
      </c>
      <c r="E49" t="s">
        <v>318</v>
      </c>
      <c r="F49" s="28">
        <v>2</v>
      </c>
      <c r="G49" s="29">
        <v>1</v>
      </c>
      <c r="H49" s="30" t="s">
        <v>321</v>
      </c>
      <c r="I49" t="s">
        <v>65</v>
      </c>
      <c r="J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145</v>
      </c>
      <c r="L49" t="s">
        <v>146</v>
      </c>
      <c r="N49" s="29">
        <v>1</v>
      </c>
      <c r="P49" s="29">
        <v>1</v>
      </c>
      <c r="R49" s="29">
        <v>1</v>
      </c>
      <c r="S49" t="s">
        <v>70</v>
      </c>
      <c r="T49" t="s">
        <v>72</v>
      </c>
      <c r="U49" s="32">
        <v>30</v>
      </c>
      <c r="V49">
        <v>30</v>
      </c>
      <c r="W49" t="s">
        <v>79</v>
      </c>
      <c r="X49" t="s">
        <v>240</v>
      </c>
      <c r="Y49" t="s">
        <v>320</v>
      </c>
      <c r="AA49" t="s">
        <v>75</v>
      </c>
      <c r="AC49" t="s">
        <v>83</v>
      </c>
      <c r="AE49" t="s">
        <v>75</v>
      </c>
      <c r="AF49" t="s">
        <v>84</v>
      </c>
      <c r="AG49" t="s">
        <v>84</v>
      </c>
      <c r="AH49" s="33">
        <f t="shared" si="1"/>
      </c>
      <c r="AI49" s="33">
        <f t="shared" si="2"/>
      </c>
    </row>
    <row r="50" ht="27.6" customHeight="1" spans="1:35" x14ac:dyDescent="0.25">
      <c r="A50" s="27" t="s">
        <v>322</v>
      </c>
      <c r="B50">
        <f t="shared" si="0"/>
        <v>0</v>
      </c>
      <c r="C50" t="s">
        <v>64</v>
      </c>
      <c r="D50" s="27" t="s">
        <v>102</v>
      </c>
      <c r="E50" t="s">
        <v>323</v>
      </c>
      <c r="F50" s="28">
        <v>0</v>
      </c>
      <c r="G50" s="29">
        <v>1</v>
      </c>
      <c r="H50" s="30" t="s">
        <v>324</v>
      </c>
      <c r="I50" t="s">
        <v>65</v>
      </c>
      <c r="J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145</v>
      </c>
      <c r="L50" t="s">
        <v>146</v>
      </c>
      <c r="N50" s="29">
        <v>1</v>
      </c>
      <c r="P50" s="29">
        <v>1</v>
      </c>
      <c r="R50" s="29">
        <v>1</v>
      </c>
      <c r="S50" t="s">
        <v>70</v>
      </c>
      <c r="T50" t="s">
        <v>72</v>
      </c>
      <c r="U50" s="32">
        <v>30</v>
      </c>
      <c r="V50">
        <v>30</v>
      </c>
      <c r="W50" t="s">
        <v>79</v>
      </c>
      <c r="X50" t="s">
        <v>240</v>
      </c>
      <c r="Y50" t="s">
        <v>323</v>
      </c>
      <c r="AA50" t="s">
        <v>75</v>
      </c>
      <c r="AC50" t="s">
        <v>83</v>
      </c>
      <c r="AE50" t="s">
        <v>75</v>
      </c>
      <c r="AF50" t="s">
        <v>84</v>
      </c>
      <c r="AG50" t="s">
        <v>84</v>
      </c>
      <c r="AH50" s="33">
        <f t="shared" si="1"/>
      </c>
      <c r="AI50" s="33">
        <f t="shared" si="2"/>
      </c>
    </row>
    <row r="51" ht="27.6" customHeight="1" spans="1:35" x14ac:dyDescent="0.25">
      <c r="A51" s="27" t="s">
        <v>325</v>
      </c>
      <c r="B51">
        <f t="shared" si="0"/>
        <v>0</v>
      </c>
      <c r="C51" t="s">
        <v>64</v>
      </c>
      <c r="D51" s="27" t="s">
        <v>102</v>
      </c>
      <c r="E51" t="s">
        <v>326</v>
      </c>
      <c r="F51" s="28">
        <v>2</v>
      </c>
      <c r="G51" s="29">
        <v>2</v>
      </c>
      <c r="H51" s="30" t="s">
        <v>327</v>
      </c>
      <c r="I51" t="s">
        <v>65</v>
      </c>
      <c r="J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145</v>
      </c>
      <c r="L51" t="s">
        <v>146</v>
      </c>
      <c r="N51" s="29">
        <v>2</v>
      </c>
      <c r="P51" s="29">
        <v>2</v>
      </c>
      <c r="R51" s="29">
        <v>2</v>
      </c>
      <c r="S51" t="s">
        <v>70</v>
      </c>
      <c r="T51" t="s">
        <v>72</v>
      </c>
      <c r="U51" s="32">
        <v>30</v>
      </c>
      <c r="V51">
        <v>30</v>
      </c>
      <c r="W51" t="s">
        <v>79</v>
      </c>
      <c r="X51" t="s">
        <v>240</v>
      </c>
      <c r="Y51" t="s">
        <v>326</v>
      </c>
      <c r="AA51" t="s">
        <v>75</v>
      </c>
      <c r="AC51" t="s">
        <v>83</v>
      </c>
      <c r="AE51" t="s">
        <v>75</v>
      </c>
      <c r="AF51" t="s">
        <v>84</v>
      </c>
      <c r="AG51" t="s">
        <v>84</v>
      </c>
      <c r="AH51" s="33">
        <f t="shared" si="1"/>
      </c>
      <c r="AI51" s="33">
        <f t="shared" si="2"/>
      </c>
    </row>
    <row r="52" ht="27.6" customHeight="1" spans="1:35" x14ac:dyDescent="0.25">
      <c r="A52" s="27" t="s">
        <v>328</v>
      </c>
      <c r="B52">
        <f t="shared" si="0"/>
        <v>0</v>
      </c>
      <c r="C52" t="s">
        <v>64</v>
      </c>
      <c r="D52" s="27" t="s">
        <v>329</v>
      </c>
      <c r="E52" t="s">
        <v>330</v>
      </c>
      <c r="F52" s="28">
        <v>0</v>
      </c>
      <c r="G52" s="29">
        <v>1</v>
      </c>
      <c r="H52" s="30" t="s">
        <v>331</v>
      </c>
      <c r="I52" t="s">
        <v>65</v>
      </c>
      <c r="J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145</v>
      </c>
      <c r="L52" t="s">
        <v>146</v>
      </c>
      <c r="N52" s="29">
        <v>1</v>
      </c>
      <c r="P52" s="29">
        <v>1</v>
      </c>
      <c r="R52" s="29">
        <v>1</v>
      </c>
      <c r="S52" t="s">
        <v>70</v>
      </c>
      <c r="T52" t="s">
        <v>72</v>
      </c>
      <c r="U52" s="32">
        <v>30</v>
      </c>
      <c r="V52">
        <v>30</v>
      </c>
      <c r="W52" t="s">
        <v>79</v>
      </c>
      <c r="X52" t="s">
        <v>240</v>
      </c>
      <c r="Y52" t="s">
        <v>330</v>
      </c>
      <c r="AA52" t="s">
        <v>75</v>
      </c>
      <c r="AC52" t="s">
        <v>83</v>
      </c>
      <c r="AE52" t="s">
        <v>75</v>
      </c>
      <c r="AF52" t="s">
        <v>84</v>
      </c>
      <c r="AG52" t="s">
        <v>84</v>
      </c>
      <c r="AH52" s="33">
        <f t="shared" si="1"/>
      </c>
      <c r="AI52" s="33">
        <f t="shared" si="2"/>
      </c>
    </row>
    <row r="53" ht="27.6" customHeight="1" spans="1:35" x14ac:dyDescent="0.25">
      <c r="A53" s="27" t="s">
        <v>301</v>
      </c>
      <c r="B53">
        <f t="shared" si="0"/>
        <v>0</v>
      </c>
      <c r="C53" t="s">
        <v>64</v>
      </c>
      <c r="D53" s="27" t="s">
        <v>332</v>
      </c>
      <c r="E53" t="s">
        <v>333</v>
      </c>
      <c r="F53" s="28">
        <v>2</v>
      </c>
      <c r="G53" s="29">
        <v>2</v>
      </c>
      <c r="H53" s="30" t="s">
        <v>334</v>
      </c>
      <c r="I53" t="s">
        <v>65</v>
      </c>
      <c r="J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145</v>
      </c>
      <c r="L53" t="s">
        <v>146</v>
      </c>
      <c r="N53" s="29">
        <v>2</v>
      </c>
      <c r="P53" s="29">
        <v>2</v>
      </c>
      <c r="R53" s="29">
        <v>2</v>
      </c>
      <c r="S53" t="s">
        <v>70</v>
      </c>
      <c r="T53" t="s">
        <v>72</v>
      </c>
      <c r="U53" s="32">
        <v>30</v>
      </c>
      <c r="V53">
        <v>30</v>
      </c>
      <c r="W53" t="s">
        <v>79</v>
      </c>
      <c r="X53" t="s">
        <v>240</v>
      </c>
      <c r="Y53" t="s">
        <v>302</v>
      </c>
      <c r="AA53" t="s">
        <v>75</v>
      </c>
      <c r="AC53" t="s">
        <v>83</v>
      </c>
      <c r="AE53" t="s">
        <v>75</v>
      </c>
      <c r="AF53" t="s">
        <v>84</v>
      </c>
      <c r="AG53" t="s">
        <v>84</v>
      </c>
      <c r="AH53" s="33">
        <f t="shared" si="1"/>
      </c>
      <c r="AI53" s="33">
        <f t="shared" si="2"/>
      </c>
    </row>
    <row r="54" ht="27.6" customHeight="1" spans="1:35" x14ac:dyDescent="0.25">
      <c r="A54" s="27" t="s">
        <v>335</v>
      </c>
      <c r="B54">
        <f t="shared" si="0"/>
        <v>0</v>
      </c>
      <c r="C54" t="s">
        <v>64</v>
      </c>
      <c r="D54" s="27" t="s">
        <v>336</v>
      </c>
      <c r="E54" t="s">
        <v>337</v>
      </c>
      <c r="F54" s="28">
        <v>2</v>
      </c>
      <c r="G54" s="29">
        <v>2</v>
      </c>
      <c r="H54" s="30" t="s">
        <v>338</v>
      </c>
      <c r="I54" t="s">
        <v>65</v>
      </c>
      <c r="J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145</v>
      </c>
      <c r="L54" t="s">
        <v>146</v>
      </c>
      <c r="N54" s="29">
        <v>2</v>
      </c>
      <c r="P54" s="29">
        <v>2</v>
      </c>
      <c r="R54" s="29">
        <v>2</v>
      </c>
      <c r="S54" t="s">
        <v>70</v>
      </c>
      <c r="T54" t="s">
        <v>72</v>
      </c>
      <c r="U54" s="32">
        <v>30</v>
      </c>
      <c r="V54">
        <v>30</v>
      </c>
      <c r="W54" t="s">
        <v>79</v>
      </c>
      <c r="X54" t="s">
        <v>240</v>
      </c>
      <c r="Y54" t="s">
        <v>339</v>
      </c>
      <c r="AA54" t="s">
        <v>75</v>
      </c>
      <c r="AC54" t="s">
        <v>83</v>
      </c>
      <c r="AE54" t="s">
        <v>75</v>
      </c>
      <c r="AF54" t="s">
        <v>84</v>
      </c>
      <c r="AG54" t="s">
        <v>84</v>
      </c>
      <c r="AH54" s="33">
        <f t="shared" si="1"/>
      </c>
      <c r="AI54" s="33">
        <f t="shared" si="2"/>
      </c>
    </row>
    <row r="55" ht="27.6" customHeight="1" spans="1:35" x14ac:dyDescent="0.25">
      <c r="A55" s="27" t="s">
        <v>340</v>
      </c>
      <c r="B55">
        <f t="shared" si="0"/>
        <v>0</v>
      </c>
      <c r="C55" t="s">
        <v>64</v>
      </c>
      <c r="D55" s="27" t="s">
        <v>341</v>
      </c>
      <c r="E55" t="s">
        <v>342</v>
      </c>
      <c r="F55" s="28">
        <v>0</v>
      </c>
      <c r="G55" s="29">
        <v>1</v>
      </c>
      <c r="H55" s="30" t="s">
        <v>343</v>
      </c>
      <c r="I55" t="s">
        <v>65</v>
      </c>
      <c r="J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145</v>
      </c>
      <c r="L55" t="s">
        <v>146</v>
      </c>
      <c r="N55" s="29">
        <v>1</v>
      </c>
      <c r="P55" s="29">
        <v>1</v>
      </c>
      <c r="R55" s="29">
        <v>1</v>
      </c>
      <c r="S55" t="s">
        <v>70</v>
      </c>
      <c r="T55" t="s">
        <v>72</v>
      </c>
      <c r="U55" s="32">
        <v>30</v>
      </c>
      <c r="V55">
        <v>30</v>
      </c>
      <c r="W55" t="s">
        <v>79</v>
      </c>
      <c r="X55" t="s">
        <v>240</v>
      </c>
      <c r="Y55" t="s">
        <v>342</v>
      </c>
      <c r="AA55" t="s">
        <v>75</v>
      </c>
      <c r="AC55" t="s">
        <v>83</v>
      </c>
      <c r="AE55" t="s">
        <v>75</v>
      </c>
      <c r="AF55" t="s">
        <v>84</v>
      </c>
      <c r="AG55" t="s">
        <v>84</v>
      </c>
      <c r="AH55" s="33">
        <f t="shared" si="1"/>
      </c>
      <c r="AI55" s="33">
        <f t="shared" si="2"/>
      </c>
    </row>
    <row r="56" ht="27.6" customHeight="1" spans="1:35" x14ac:dyDescent="0.25">
      <c r="A56" s="27" t="s">
        <v>344</v>
      </c>
      <c r="B56">
        <f t="shared" si="0"/>
        <v>0</v>
      </c>
      <c r="C56" t="s">
        <v>64</v>
      </c>
      <c r="D56" s="27" t="s">
        <v>345</v>
      </c>
      <c r="E56" t="s">
        <v>346</v>
      </c>
      <c r="F56" s="28">
        <v>2</v>
      </c>
      <c r="G56" s="29">
        <v>2</v>
      </c>
      <c r="H56" s="30" t="s">
        <v>347</v>
      </c>
      <c r="I56" t="s">
        <v>65</v>
      </c>
      <c r="J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145</v>
      </c>
      <c r="L56" t="s">
        <v>146</v>
      </c>
      <c r="N56" s="29">
        <v>2</v>
      </c>
      <c r="P56" s="29">
        <v>2</v>
      </c>
      <c r="R56" s="29">
        <v>2</v>
      </c>
      <c r="S56" t="s">
        <v>70</v>
      </c>
      <c r="T56" t="s">
        <v>72</v>
      </c>
      <c r="U56" s="32">
        <v>30</v>
      </c>
      <c r="V56">
        <v>30</v>
      </c>
      <c r="W56" t="s">
        <v>79</v>
      </c>
      <c r="X56" t="s">
        <v>240</v>
      </c>
      <c r="Y56" t="s">
        <v>348</v>
      </c>
      <c r="AA56" t="s">
        <v>75</v>
      </c>
      <c r="AC56" t="s">
        <v>83</v>
      </c>
      <c r="AE56" t="s">
        <v>75</v>
      </c>
      <c r="AF56" t="s">
        <v>84</v>
      </c>
      <c r="AG56" t="s">
        <v>84</v>
      </c>
      <c r="AH56" s="33">
        <f t="shared" si="1"/>
      </c>
      <c r="AI56" s="33">
        <f t="shared" si="2"/>
      </c>
    </row>
    <row r="57" ht="27.6" customHeight="1" spans="1:35" x14ac:dyDescent="0.25">
      <c r="A57" s="27" t="s">
        <v>349</v>
      </c>
      <c r="B57">
        <f t="shared" si="0"/>
        <v>0</v>
      </c>
      <c r="C57" t="s">
        <v>64</v>
      </c>
      <c r="D57" s="27" t="s">
        <v>102</v>
      </c>
      <c r="E57" t="s">
        <v>350</v>
      </c>
      <c r="F57" s="28">
        <v>0</v>
      </c>
      <c r="G57" s="29">
        <v>1</v>
      </c>
      <c r="H57" s="30" t="s">
        <v>351</v>
      </c>
      <c r="I57" t="s">
        <v>65</v>
      </c>
      <c r="J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145</v>
      </c>
      <c r="L57" t="s">
        <v>146</v>
      </c>
      <c r="N57" s="29">
        <v>1</v>
      </c>
      <c r="P57" s="29">
        <v>1</v>
      </c>
      <c r="R57" s="29">
        <v>1</v>
      </c>
      <c r="S57" t="s">
        <v>70</v>
      </c>
      <c r="T57" t="s">
        <v>72</v>
      </c>
      <c r="U57" s="32">
        <v>30</v>
      </c>
      <c r="V57">
        <v>30</v>
      </c>
      <c r="W57" t="s">
        <v>79</v>
      </c>
      <c r="X57" t="s">
        <v>240</v>
      </c>
      <c r="Y57" t="s">
        <v>350</v>
      </c>
      <c r="AA57" t="s">
        <v>75</v>
      </c>
      <c r="AC57" t="s">
        <v>83</v>
      </c>
      <c r="AE57" t="s">
        <v>75</v>
      </c>
      <c r="AF57" t="s">
        <v>84</v>
      </c>
      <c r="AG57" t="s">
        <v>84</v>
      </c>
      <c r="AH57" s="33">
        <f t="shared" si="1"/>
      </c>
      <c r="AI57" s="33">
        <f t="shared" si="2"/>
      </c>
    </row>
    <row r="58" ht="27.6" customHeight="1" spans="1:35" x14ac:dyDescent="0.25">
      <c r="A58" s="27" t="s">
        <v>352</v>
      </c>
      <c r="B58">
        <f t="shared" si="0"/>
        <v>0</v>
      </c>
      <c r="C58" t="s">
        <v>64</v>
      </c>
      <c r="D58" s="27" t="s">
        <v>353</v>
      </c>
      <c r="E58" t="s">
        <v>354</v>
      </c>
      <c r="F58" s="28">
        <v>4</v>
      </c>
      <c r="G58" s="29">
        <v>2</v>
      </c>
      <c r="H58" s="30" t="s">
        <v>355</v>
      </c>
      <c r="I58" t="s">
        <v>65</v>
      </c>
      <c r="J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145</v>
      </c>
      <c r="L58" t="s">
        <v>146</v>
      </c>
      <c r="N58" s="29">
        <v>2</v>
      </c>
      <c r="P58" s="29">
        <v>2</v>
      </c>
      <c r="R58" s="29">
        <v>2</v>
      </c>
      <c r="S58" t="s">
        <v>70</v>
      </c>
      <c r="T58" t="s">
        <v>72</v>
      </c>
      <c r="U58" s="32">
        <v>30</v>
      </c>
      <c r="V58">
        <v>30</v>
      </c>
      <c r="W58" t="s">
        <v>79</v>
      </c>
      <c r="X58" t="s">
        <v>240</v>
      </c>
      <c r="Y58" t="s">
        <v>356</v>
      </c>
      <c r="AA58" t="s">
        <v>75</v>
      </c>
      <c r="AC58" t="s">
        <v>83</v>
      </c>
      <c r="AE58" t="s">
        <v>75</v>
      </c>
      <c r="AF58" t="s">
        <v>84</v>
      </c>
      <c r="AG58" t="s">
        <v>84</v>
      </c>
      <c r="AH58" s="33">
        <f t="shared" si="1"/>
      </c>
      <c r="AI58" s="33">
        <f t="shared" si="2"/>
      </c>
    </row>
    <row r="59" ht="27.6" customHeight="1" spans="1:35" x14ac:dyDescent="0.25">
      <c r="A59" s="27" t="s">
        <v>357</v>
      </c>
      <c r="B59">
        <f t="shared" si="0"/>
        <v>0</v>
      </c>
      <c r="C59" t="s">
        <v>64</v>
      </c>
      <c r="D59" s="27" t="s">
        <v>358</v>
      </c>
      <c r="E59" t="s">
        <v>359</v>
      </c>
      <c r="F59" s="28">
        <v>2</v>
      </c>
      <c r="G59" s="29">
        <v>2</v>
      </c>
      <c r="H59" s="30" t="s">
        <v>360</v>
      </c>
      <c r="I59" t="s">
        <v>65</v>
      </c>
      <c r="J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145</v>
      </c>
      <c r="L59" t="s">
        <v>146</v>
      </c>
      <c r="N59" s="29">
        <v>2</v>
      </c>
      <c r="P59" s="29">
        <v>2</v>
      </c>
      <c r="R59" s="29">
        <v>2</v>
      </c>
      <c r="S59" t="s">
        <v>70</v>
      </c>
      <c r="T59" t="s">
        <v>72</v>
      </c>
      <c r="U59" s="32">
        <v>30</v>
      </c>
      <c r="V59">
        <v>30</v>
      </c>
      <c r="W59" t="s">
        <v>79</v>
      </c>
      <c r="X59" t="s">
        <v>240</v>
      </c>
      <c r="Y59" t="s">
        <v>359</v>
      </c>
      <c r="AA59" t="s">
        <v>75</v>
      </c>
      <c r="AC59" t="s">
        <v>83</v>
      </c>
      <c r="AE59" t="s">
        <v>75</v>
      </c>
      <c r="AF59" t="s">
        <v>84</v>
      </c>
      <c r="AG59" t="s">
        <v>84</v>
      </c>
      <c r="AH59" s="33">
        <f t="shared" si="1"/>
      </c>
      <c r="AI59" s="33">
        <f t="shared" si="2"/>
      </c>
    </row>
    <row r="60" ht="27.6" customHeight="1" spans="1:35" x14ac:dyDescent="0.25">
      <c r="A60" s="27" t="s">
        <v>361</v>
      </c>
      <c r="B60">
        <f t="shared" si="0"/>
        <v>0</v>
      </c>
      <c r="C60" t="s">
        <v>64</v>
      </c>
      <c r="D60" s="27" t="s">
        <v>102</v>
      </c>
      <c r="E60" t="s">
        <v>362</v>
      </c>
      <c r="F60" s="28">
        <v>0</v>
      </c>
      <c r="G60" s="29">
        <v>2</v>
      </c>
      <c r="H60" s="30" t="s">
        <v>363</v>
      </c>
      <c r="I60" t="s">
        <v>65</v>
      </c>
      <c r="J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145</v>
      </c>
      <c r="L60" t="s">
        <v>146</v>
      </c>
      <c r="N60" s="29">
        <v>2</v>
      </c>
      <c r="P60" s="29">
        <v>2</v>
      </c>
      <c r="R60" s="29">
        <v>2</v>
      </c>
      <c r="S60" t="s">
        <v>70</v>
      </c>
      <c r="T60" t="s">
        <v>72</v>
      </c>
      <c r="U60" s="32">
        <v>30</v>
      </c>
      <c r="V60">
        <v>30</v>
      </c>
      <c r="W60" t="s">
        <v>79</v>
      </c>
      <c r="X60" t="s">
        <v>240</v>
      </c>
      <c r="Y60" t="s">
        <v>362</v>
      </c>
      <c r="AA60" t="s">
        <v>75</v>
      </c>
      <c r="AC60" t="s">
        <v>83</v>
      </c>
      <c r="AE60" t="s">
        <v>75</v>
      </c>
      <c r="AF60" t="s">
        <v>84</v>
      </c>
      <c r="AG60" t="s">
        <v>84</v>
      </c>
      <c r="AH60" s="33">
        <f t="shared" si="1"/>
      </c>
      <c r="AI60" s="33">
        <f t="shared" si="2"/>
      </c>
    </row>
    <row r="61" ht="27.6" customHeight="1" spans="1:35" x14ac:dyDescent="0.25">
      <c r="A61" s="27" t="s">
        <v>364</v>
      </c>
      <c r="B61">
        <f t="shared" si="0"/>
        <v>0</v>
      </c>
      <c r="C61" t="s">
        <v>64</v>
      </c>
      <c r="D61" s="27" t="s">
        <v>102</v>
      </c>
      <c r="E61" t="s">
        <v>365</v>
      </c>
      <c r="F61" s="28">
        <v>0</v>
      </c>
      <c r="G61" s="29">
        <v>1</v>
      </c>
      <c r="H61" s="30" t="s">
        <v>366</v>
      </c>
      <c r="I61" t="s">
        <v>65</v>
      </c>
      <c r="J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145</v>
      </c>
      <c r="L61" t="s">
        <v>146</v>
      </c>
      <c r="N61" s="29">
        <v>1</v>
      </c>
      <c r="P61" s="29">
        <v>1</v>
      </c>
      <c r="R61" s="29">
        <v>1</v>
      </c>
      <c r="S61" t="s">
        <v>70</v>
      </c>
      <c r="T61" t="s">
        <v>72</v>
      </c>
      <c r="U61" s="32">
        <v>30</v>
      </c>
      <c r="V61">
        <v>30</v>
      </c>
      <c r="W61" t="s">
        <v>79</v>
      </c>
      <c r="X61" t="s">
        <v>240</v>
      </c>
      <c r="Y61" t="s">
        <v>365</v>
      </c>
      <c r="AA61" t="s">
        <v>75</v>
      </c>
      <c r="AC61" t="s">
        <v>83</v>
      </c>
      <c r="AE61" t="s">
        <v>75</v>
      </c>
      <c r="AF61" t="s">
        <v>84</v>
      </c>
      <c r="AG61" t="s">
        <v>84</v>
      </c>
      <c r="AH61" s="33">
        <f t="shared" si="1"/>
      </c>
      <c r="AI61" s="33">
        <f t="shared" si="2"/>
      </c>
    </row>
    <row r="62" ht="27.6" customHeight="1" spans="1:35" x14ac:dyDescent="0.25">
      <c r="A62" s="27" t="s">
        <v>367</v>
      </c>
      <c r="B62">
        <f t="shared" si="0"/>
        <v>0</v>
      </c>
      <c r="C62" t="s">
        <v>64</v>
      </c>
      <c r="D62" s="27" t="s">
        <v>102</v>
      </c>
      <c r="E62" t="s">
        <v>368</v>
      </c>
      <c r="F62" s="28">
        <v>0</v>
      </c>
      <c r="G62" s="29">
        <v>1</v>
      </c>
      <c r="H62" s="30" t="s">
        <v>369</v>
      </c>
      <c r="I62" t="s">
        <v>65</v>
      </c>
      <c r="J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145</v>
      </c>
      <c r="L62" t="s">
        <v>146</v>
      </c>
      <c r="N62" s="29">
        <v>1</v>
      </c>
      <c r="P62" s="29">
        <v>1</v>
      </c>
      <c r="R62" s="29">
        <v>1</v>
      </c>
      <c r="S62" t="s">
        <v>70</v>
      </c>
      <c r="T62" t="s">
        <v>72</v>
      </c>
      <c r="U62" s="32">
        <v>30</v>
      </c>
      <c r="V62">
        <v>30</v>
      </c>
      <c r="W62" t="s">
        <v>79</v>
      </c>
      <c r="X62" t="s">
        <v>240</v>
      </c>
      <c r="Y62" t="s">
        <v>368</v>
      </c>
      <c r="AA62" t="s">
        <v>75</v>
      </c>
      <c r="AC62" t="s">
        <v>83</v>
      </c>
      <c r="AE62" t="s">
        <v>75</v>
      </c>
      <c r="AF62" t="s">
        <v>84</v>
      </c>
      <c r="AG62" t="s">
        <v>84</v>
      </c>
      <c r="AH62" s="33">
        <f t="shared" si="1"/>
      </c>
      <c r="AI62" s="33">
        <f t="shared" si="2"/>
      </c>
    </row>
    <row r="63" ht="27.6" customHeight="1" spans="1:35" x14ac:dyDescent="0.25">
      <c r="A63" s="27" t="s">
        <v>370</v>
      </c>
      <c r="B63">
        <f t="shared" si="0"/>
        <v>0</v>
      </c>
      <c r="C63" t="s">
        <v>64</v>
      </c>
      <c r="D63" s="27" t="s">
        <v>371</v>
      </c>
      <c r="E63" t="s">
        <v>372</v>
      </c>
      <c r="F63" s="28">
        <v>0</v>
      </c>
      <c r="G63" s="29">
        <v>2</v>
      </c>
      <c r="H63" s="30" t="s">
        <v>373</v>
      </c>
      <c r="I63" t="s">
        <v>65</v>
      </c>
      <c r="J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145</v>
      </c>
      <c r="L63" t="s">
        <v>146</v>
      </c>
      <c r="N63" s="29">
        <v>2</v>
      </c>
      <c r="P63" s="29">
        <v>2</v>
      </c>
      <c r="R63" s="29">
        <v>2</v>
      </c>
      <c r="S63" t="s">
        <v>70</v>
      </c>
      <c r="T63" t="s">
        <v>72</v>
      </c>
      <c r="U63" s="32">
        <v>30</v>
      </c>
      <c r="V63">
        <v>30</v>
      </c>
      <c r="W63" t="s">
        <v>79</v>
      </c>
      <c r="X63" t="s">
        <v>240</v>
      </c>
      <c r="Y63" t="s">
        <v>372</v>
      </c>
      <c r="AA63" t="s">
        <v>75</v>
      </c>
      <c r="AC63" t="s">
        <v>83</v>
      </c>
      <c r="AE63" t="s">
        <v>75</v>
      </c>
      <c r="AF63" t="s">
        <v>84</v>
      </c>
      <c r="AG63" t="s">
        <v>84</v>
      </c>
      <c r="AH63" s="33">
        <f t="shared" si="1"/>
      </c>
      <c r="AI63" s="33">
        <f t="shared" si="2"/>
      </c>
    </row>
    <row r="64" ht="27.6" customHeight="1" spans="1:35" x14ac:dyDescent="0.25">
      <c r="A64" s="27" t="s">
        <v>374</v>
      </c>
      <c r="B64">
        <f t="shared" si="0"/>
        <v>0</v>
      </c>
      <c r="C64" t="s">
        <v>64</v>
      </c>
      <c r="D64" s="27" t="s">
        <v>102</v>
      </c>
      <c r="E64" t="s">
        <v>375</v>
      </c>
      <c r="F64" s="28">
        <v>0</v>
      </c>
      <c r="G64" s="29">
        <v>1</v>
      </c>
      <c r="H64" s="30" t="s">
        <v>376</v>
      </c>
      <c r="I64" t="s">
        <v>65</v>
      </c>
      <c r="J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145</v>
      </c>
      <c r="L64" t="s">
        <v>146</v>
      </c>
      <c r="N64" s="29">
        <v>1</v>
      </c>
      <c r="P64" s="29">
        <v>1</v>
      </c>
      <c r="R64" s="29">
        <v>1</v>
      </c>
      <c r="S64" t="s">
        <v>70</v>
      </c>
      <c r="T64" t="s">
        <v>72</v>
      </c>
      <c r="U64" s="32">
        <v>30</v>
      </c>
      <c r="V64">
        <v>30</v>
      </c>
      <c r="W64" t="s">
        <v>79</v>
      </c>
      <c r="X64" t="s">
        <v>240</v>
      </c>
      <c r="Y64" t="s">
        <v>375</v>
      </c>
      <c r="AA64" t="s">
        <v>75</v>
      </c>
      <c r="AC64" t="s">
        <v>83</v>
      </c>
      <c r="AE64" t="s">
        <v>75</v>
      </c>
      <c r="AF64" t="s">
        <v>84</v>
      </c>
      <c r="AG64" t="s">
        <v>84</v>
      </c>
      <c r="AH64" s="33">
        <f t="shared" si="1"/>
      </c>
      <c r="AI64" s="33">
        <f t="shared" si="2"/>
      </c>
    </row>
    <row r="65" ht="27.6" customHeight="1" spans="1:35" x14ac:dyDescent="0.25">
      <c r="A65" s="27" t="s">
        <v>377</v>
      </c>
      <c r="B65">
        <f t="shared" si="0"/>
        <v>0</v>
      </c>
      <c r="C65" t="s">
        <v>64</v>
      </c>
      <c r="D65" s="27" t="s">
        <v>378</v>
      </c>
      <c r="E65" t="s">
        <v>379</v>
      </c>
      <c r="F65" s="28">
        <v>2</v>
      </c>
      <c r="G65" s="29">
        <v>2</v>
      </c>
      <c r="H65" s="30" t="s">
        <v>380</v>
      </c>
      <c r="I65" t="s">
        <v>65</v>
      </c>
      <c r="J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145</v>
      </c>
      <c r="L65" t="s">
        <v>146</v>
      </c>
      <c r="N65" s="29">
        <v>2</v>
      </c>
      <c r="P65" s="29">
        <v>2</v>
      </c>
      <c r="R65" s="29">
        <v>2</v>
      </c>
      <c r="S65" t="s">
        <v>70</v>
      </c>
      <c r="T65" t="s">
        <v>72</v>
      </c>
      <c r="U65" s="32">
        <v>30</v>
      </c>
      <c r="V65">
        <v>30</v>
      </c>
      <c r="W65" t="s">
        <v>79</v>
      </c>
      <c r="X65" t="s">
        <v>240</v>
      </c>
      <c r="Y65" t="s">
        <v>381</v>
      </c>
      <c r="AA65" t="s">
        <v>75</v>
      </c>
      <c r="AC65" t="s">
        <v>83</v>
      </c>
      <c r="AE65" t="s">
        <v>75</v>
      </c>
      <c r="AF65" t="s">
        <v>84</v>
      </c>
      <c r="AG65" t="s">
        <v>84</v>
      </c>
      <c r="AH65" s="33">
        <f t="shared" si="1"/>
      </c>
      <c r="AI65" s="33">
        <f t="shared" si="2"/>
      </c>
    </row>
    <row r="66" ht="27.6" customHeight="1" spans="1:35" x14ac:dyDescent="0.25">
      <c r="A66" s="27" t="s">
        <v>382</v>
      </c>
      <c r="B66">
        <f t="shared" si="0"/>
        <v>0</v>
      </c>
      <c r="C66" t="s">
        <v>64</v>
      </c>
      <c r="D66" s="27" t="s">
        <v>383</v>
      </c>
      <c r="E66" t="s">
        <v>384</v>
      </c>
      <c r="F66" s="28">
        <v>0</v>
      </c>
      <c r="G66" s="29">
        <v>2</v>
      </c>
      <c r="H66" s="30" t="s">
        <v>385</v>
      </c>
      <c r="I66" t="s">
        <v>65</v>
      </c>
      <c r="J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145</v>
      </c>
      <c r="L66" t="s">
        <v>146</v>
      </c>
      <c r="N66" s="29">
        <v>2</v>
      </c>
      <c r="P66" s="29">
        <v>2</v>
      </c>
      <c r="R66" s="29">
        <v>2</v>
      </c>
      <c r="S66" t="s">
        <v>70</v>
      </c>
      <c r="T66" t="s">
        <v>72</v>
      </c>
      <c r="U66" s="32">
        <v>30</v>
      </c>
      <c r="V66">
        <v>30</v>
      </c>
      <c r="W66" t="s">
        <v>79</v>
      </c>
      <c r="X66" t="s">
        <v>240</v>
      </c>
      <c r="Y66" t="s">
        <v>384</v>
      </c>
      <c r="AA66" t="s">
        <v>75</v>
      </c>
      <c r="AC66" t="s">
        <v>83</v>
      </c>
      <c r="AE66" t="s">
        <v>75</v>
      </c>
      <c r="AF66" t="s">
        <v>84</v>
      </c>
      <c r="AG66" t="s">
        <v>84</v>
      </c>
      <c r="AH66" s="33">
        <f t="shared" si="1"/>
      </c>
      <c r="AI66" s="33">
        <f t="shared" si="2"/>
      </c>
    </row>
    <row r="67" ht="27.6" customHeight="1" spans="1:35" x14ac:dyDescent="0.25">
      <c r="A67" s="27" t="s">
        <v>386</v>
      </c>
      <c r="B67">
        <f t="shared" si="0"/>
        <v>0</v>
      </c>
      <c r="C67" t="s">
        <v>64</v>
      </c>
      <c r="D67" s="27" t="s">
        <v>102</v>
      </c>
      <c r="E67" t="s">
        <v>387</v>
      </c>
      <c r="F67" s="28">
        <v>0</v>
      </c>
      <c r="G67" s="29">
        <v>1</v>
      </c>
      <c r="H67" s="30" t="s">
        <v>388</v>
      </c>
      <c r="I67" t="s">
        <v>65</v>
      </c>
      <c r="J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145</v>
      </c>
      <c r="L67" t="s">
        <v>146</v>
      </c>
      <c r="N67" s="29">
        <v>1</v>
      </c>
      <c r="P67" s="29">
        <v>1</v>
      </c>
      <c r="R67" s="29">
        <v>1</v>
      </c>
      <c r="S67" t="s">
        <v>70</v>
      </c>
      <c r="T67" t="s">
        <v>72</v>
      </c>
      <c r="U67" s="32">
        <v>30</v>
      </c>
      <c r="V67">
        <v>30</v>
      </c>
      <c r="W67" t="s">
        <v>79</v>
      </c>
      <c r="X67" t="s">
        <v>240</v>
      </c>
      <c r="Y67" t="s">
        <v>389</v>
      </c>
      <c r="AA67" t="s">
        <v>75</v>
      </c>
      <c r="AC67" t="s">
        <v>83</v>
      </c>
      <c r="AE67" t="s">
        <v>75</v>
      </c>
      <c r="AF67" t="s">
        <v>84</v>
      </c>
      <c r="AG67" t="s">
        <v>84</v>
      </c>
      <c r="AH67" s="33">
        <f t="shared" si="1"/>
      </c>
      <c r="AI67" s="33">
        <f t="shared" si="2"/>
      </c>
    </row>
    <row r="68" ht="27.6" customHeight="1" spans="1:35" x14ac:dyDescent="0.25">
      <c r="A68" s="27" t="s">
        <v>390</v>
      </c>
      <c r="B68">
        <f t="shared" si="0"/>
        <v>0</v>
      </c>
      <c r="C68" t="s">
        <v>64</v>
      </c>
      <c r="D68" s="27" t="s">
        <v>102</v>
      </c>
      <c r="E68" t="s">
        <v>387</v>
      </c>
      <c r="F68" s="28">
        <v>0</v>
      </c>
      <c r="G68" s="29">
        <v>1</v>
      </c>
      <c r="H68" s="30" t="s">
        <v>391</v>
      </c>
      <c r="I68" t="s">
        <v>65</v>
      </c>
      <c r="J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145</v>
      </c>
      <c r="L68" t="s">
        <v>146</v>
      </c>
      <c r="N68" s="29">
        <v>1</v>
      </c>
      <c r="P68" s="29">
        <v>1</v>
      </c>
      <c r="R68" s="29">
        <v>1</v>
      </c>
      <c r="S68" t="s">
        <v>70</v>
      </c>
      <c r="T68" t="s">
        <v>72</v>
      </c>
      <c r="U68" s="32">
        <v>30</v>
      </c>
      <c r="V68">
        <v>30</v>
      </c>
      <c r="W68" t="s">
        <v>79</v>
      </c>
      <c r="X68" t="s">
        <v>240</v>
      </c>
      <c r="Y68" t="s">
        <v>389</v>
      </c>
      <c r="AA68" t="s">
        <v>75</v>
      </c>
      <c r="AC68" t="s">
        <v>83</v>
      </c>
      <c r="AE68" t="s">
        <v>75</v>
      </c>
      <c r="AF68" t="s">
        <v>84</v>
      </c>
      <c r="AG68" t="s">
        <v>84</v>
      </c>
      <c r="AH68" s="33">
        <f t="shared" si="1"/>
      </c>
      <c r="AI68" s="33">
        <f t="shared" si="2"/>
      </c>
    </row>
    <row r="69" ht="27.6" customHeight="1" spans="1:35" x14ac:dyDescent="0.25">
      <c r="A69" s="27" t="s">
        <v>392</v>
      </c>
      <c r="B69">
        <f t="shared" si="0"/>
        <v>0</v>
      </c>
      <c r="C69" t="s">
        <v>64</v>
      </c>
      <c r="D69" s="27" t="s">
        <v>393</v>
      </c>
      <c r="E69" t="s">
        <v>394</v>
      </c>
      <c r="F69" s="28">
        <v>4</v>
      </c>
      <c r="G69" s="29">
        <v>1</v>
      </c>
      <c r="H69" s="30" t="s">
        <v>395</v>
      </c>
      <c r="I69" t="s">
        <v>65</v>
      </c>
      <c r="J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145</v>
      </c>
      <c r="L69" t="s">
        <v>146</v>
      </c>
      <c r="N69" s="29">
        <v>1</v>
      </c>
      <c r="P69" s="29">
        <v>1</v>
      </c>
      <c r="R69" s="29">
        <v>1</v>
      </c>
      <c r="S69" t="s">
        <v>70</v>
      </c>
      <c r="T69" t="s">
        <v>72</v>
      </c>
      <c r="U69" s="32">
        <v>30</v>
      </c>
      <c r="V69">
        <v>30</v>
      </c>
      <c r="W69" t="s">
        <v>79</v>
      </c>
      <c r="X69" t="s">
        <v>240</v>
      </c>
      <c r="Y69" t="s">
        <v>396</v>
      </c>
      <c r="AA69" t="s">
        <v>75</v>
      </c>
      <c r="AC69" t="s">
        <v>83</v>
      </c>
      <c r="AE69" t="s">
        <v>75</v>
      </c>
      <c r="AF69" t="s">
        <v>84</v>
      </c>
      <c r="AG69" t="s">
        <v>84</v>
      </c>
      <c r="AH69" s="33">
        <f t="shared" si="1"/>
      </c>
      <c r="AI69" s="33">
        <f t="shared" si="2"/>
      </c>
    </row>
    <row r="70" ht="27.6" customHeight="1" spans="1:35" x14ac:dyDescent="0.25">
      <c r="A70" s="27" t="s">
        <v>397</v>
      </c>
      <c r="B70">
        <f t="shared" si="0"/>
        <v>0</v>
      </c>
      <c r="C70" t="s">
        <v>64</v>
      </c>
      <c r="D70" s="27" t="s">
        <v>398</v>
      </c>
      <c r="E70" t="s">
        <v>399</v>
      </c>
      <c r="F70" s="28">
        <v>2</v>
      </c>
      <c r="G70" s="29">
        <v>1</v>
      </c>
      <c r="H70" s="30" t="s">
        <v>400</v>
      </c>
      <c r="I70" t="s">
        <v>65</v>
      </c>
      <c r="J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145</v>
      </c>
      <c r="L70" t="s">
        <v>146</v>
      </c>
      <c r="N70" s="29">
        <v>1</v>
      </c>
      <c r="P70" s="29">
        <v>1</v>
      </c>
      <c r="R70" s="29">
        <v>1</v>
      </c>
      <c r="S70" t="s">
        <v>70</v>
      </c>
      <c r="T70" t="s">
        <v>72</v>
      </c>
      <c r="U70" s="32">
        <v>30</v>
      </c>
      <c r="V70">
        <v>30</v>
      </c>
      <c r="W70" t="s">
        <v>79</v>
      </c>
      <c r="X70" t="s">
        <v>240</v>
      </c>
      <c r="Y70" t="s">
        <v>399</v>
      </c>
      <c r="AA70" t="s">
        <v>75</v>
      </c>
      <c r="AC70" t="s">
        <v>83</v>
      </c>
      <c r="AE70" t="s">
        <v>75</v>
      </c>
      <c r="AF70" t="s">
        <v>84</v>
      </c>
      <c r="AG70" t="s">
        <v>84</v>
      </c>
      <c r="AH70" s="33">
        <f t="shared" si="1"/>
      </c>
      <c r="AI70" s="33">
        <f t="shared" si="2"/>
      </c>
    </row>
    <row r="71" ht="27.6" customHeight="1" spans="1:35" x14ac:dyDescent="0.25">
      <c r="A71" s="27" t="s">
        <v>401</v>
      </c>
      <c r="B71">
        <f t="shared" si="0"/>
        <v>0</v>
      </c>
      <c r="C71" t="s">
        <v>64</v>
      </c>
      <c r="D71" s="27" t="s">
        <v>402</v>
      </c>
      <c r="E71" t="s">
        <v>403</v>
      </c>
      <c r="F71" s="28">
        <v>0</v>
      </c>
      <c r="G71" s="29">
        <v>1</v>
      </c>
      <c r="H71" s="30" t="s">
        <v>404</v>
      </c>
      <c r="I71" t="s">
        <v>65</v>
      </c>
      <c r="J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145</v>
      </c>
      <c r="L71" t="s">
        <v>146</v>
      </c>
      <c r="N71" s="29">
        <v>1</v>
      </c>
      <c r="P71" s="29">
        <v>1</v>
      </c>
      <c r="R71" s="29">
        <v>1</v>
      </c>
      <c r="S71" t="s">
        <v>70</v>
      </c>
      <c r="T71" t="s">
        <v>72</v>
      </c>
      <c r="U71" s="32">
        <v>30</v>
      </c>
      <c r="V71">
        <v>30</v>
      </c>
      <c r="W71" t="s">
        <v>79</v>
      </c>
      <c r="X71" t="s">
        <v>240</v>
      </c>
      <c r="Y71" t="s">
        <v>403</v>
      </c>
      <c r="AA71" t="s">
        <v>75</v>
      </c>
      <c r="AC71" t="s">
        <v>83</v>
      </c>
      <c r="AE71" t="s">
        <v>75</v>
      </c>
      <c r="AF71" t="s">
        <v>84</v>
      </c>
      <c r="AG71" t="s">
        <v>84</v>
      </c>
      <c r="AH71" s="33">
        <f t="shared" si="1"/>
      </c>
      <c r="AI71" s="33">
        <f t="shared" si="2"/>
      </c>
    </row>
    <row r="72" ht="27.6" customHeight="1" spans="1:35" x14ac:dyDescent="0.25">
      <c r="A72" s="27" t="s">
        <v>405</v>
      </c>
      <c r="B72">
        <f t="shared" ref="B72:B135" si="3">LEN(INDIRECT(ADDRESS(ROW() + (0),COLUMN() + (-1))))</f>
        <v>0</v>
      </c>
      <c r="C72" t="s">
        <v>64</v>
      </c>
      <c r="D72" s="27" t="s">
        <v>102</v>
      </c>
      <c r="E72" t="s">
        <v>406</v>
      </c>
      <c r="F72" s="28">
        <v>0</v>
      </c>
      <c r="G72" s="29">
        <v>1</v>
      </c>
      <c r="H72" s="30" t="s">
        <v>407</v>
      </c>
      <c r="I72" t="s">
        <v>65</v>
      </c>
      <c r="J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145</v>
      </c>
      <c r="L72" t="s">
        <v>146</v>
      </c>
      <c r="N72" s="29">
        <v>1</v>
      </c>
      <c r="P72" s="29">
        <v>1</v>
      </c>
      <c r="R72" s="29">
        <v>1</v>
      </c>
      <c r="S72" t="s">
        <v>70</v>
      </c>
      <c r="T72" t="s">
        <v>72</v>
      </c>
      <c r="U72" s="32">
        <v>30</v>
      </c>
      <c r="V72">
        <v>30</v>
      </c>
      <c r="W72" t="s">
        <v>79</v>
      </c>
      <c r="X72" t="s">
        <v>240</v>
      </c>
      <c r="Y72" t="s">
        <v>408</v>
      </c>
      <c r="AA72" t="s">
        <v>75</v>
      </c>
      <c r="AC72" t="s">
        <v>83</v>
      </c>
      <c r="AE72" t="s">
        <v>75</v>
      </c>
      <c r="AF72" t="s">
        <v>84</v>
      </c>
      <c r="AG72" t="s">
        <v>84</v>
      </c>
      <c r="AH72" s="33">
        <f t="shared" ref="AH72:AH135" si="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2" s="33">
        <f t="shared" ref="AI72:AI135" si="5">IF(TRIM(INDIRECT("A"&amp;ROW())) &lt;&gt; "",FALSE,"")</f>
      </c>
    </row>
    <row r="73" ht="27.6" customHeight="1" spans="1:35" x14ac:dyDescent="0.25">
      <c r="A73" s="27" t="s">
        <v>409</v>
      </c>
      <c r="B73">
        <f t="shared" si="3"/>
        <v>0</v>
      </c>
      <c r="C73" t="s">
        <v>64</v>
      </c>
      <c r="D73" s="27" t="s">
        <v>410</v>
      </c>
      <c r="E73" t="s">
        <v>411</v>
      </c>
      <c r="F73" s="28">
        <v>2</v>
      </c>
      <c r="G73" s="29">
        <v>2</v>
      </c>
      <c r="H73" s="30" t="s">
        <v>412</v>
      </c>
      <c r="I73" t="s">
        <v>65</v>
      </c>
      <c r="J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145</v>
      </c>
      <c r="L73" t="s">
        <v>146</v>
      </c>
      <c r="N73" s="29">
        <v>2</v>
      </c>
      <c r="P73" s="29">
        <v>2</v>
      </c>
      <c r="R73" s="29">
        <v>2</v>
      </c>
      <c r="S73" t="s">
        <v>70</v>
      </c>
      <c r="T73" t="s">
        <v>72</v>
      </c>
      <c r="U73" s="32">
        <v>30</v>
      </c>
      <c r="V73">
        <v>30</v>
      </c>
      <c r="W73" t="s">
        <v>79</v>
      </c>
      <c r="X73" t="s">
        <v>240</v>
      </c>
      <c r="Y73" t="s">
        <v>411</v>
      </c>
      <c r="AA73" t="s">
        <v>75</v>
      </c>
      <c r="AC73" t="s">
        <v>83</v>
      </c>
      <c r="AE73" t="s">
        <v>75</v>
      </c>
      <c r="AF73" t="s">
        <v>84</v>
      </c>
      <c r="AG73" t="s">
        <v>84</v>
      </c>
      <c r="AH73" s="33">
        <f t="shared" si="4"/>
      </c>
      <c r="AI73" s="33">
        <f t="shared" si="5"/>
      </c>
    </row>
    <row r="74" ht="27.6" customHeight="1" spans="1:35" x14ac:dyDescent="0.25">
      <c r="A74" s="27" t="s">
        <v>413</v>
      </c>
      <c r="B74">
        <f t="shared" si="3"/>
        <v>0</v>
      </c>
      <c r="C74" t="s">
        <v>64</v>
      </c>
      <c r="D74" s="27" t="s">
        <v>102</v>
      </c>
      <c r="E74" t="s">
        <v>414</v>
      </c>
      <c r="F74" s="28">
        <v>0</v>
      </c>
      <c r="G74" s="29">
        <v>1</v>
      </c>
      <c r="H74" s="30" t="s">
        <v>415</v>
      </c>
      <c r="I74" t="s">
        <v>65</v>
      </c>
      <c r="J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145</v>
      </c>
      <c r="L74" t="s">
        <v>146</v>
      </c>
      <c r="N74" s="29">
        <v>1</v>
      </c>
      <c r="P74" s="29">
        <v>1</v>
      </c>
      <c r="R74" s="29">
        <v>1</v>
      </c>
      <c r="S74" t="s">
        <v>70</v>
      </c>
      <c r="T74" t="s">
        <v>72</v>
      </c>
      <c r="U74" s="32">
        <v>30</v>
      </c>
      <c r="V74">
        <v>30</v>
      </c>
      <c r="W74" t="s">
        <v>79</v>
      </c>
      <c r="X74" t="s">
        <v>240</v>
      </c>
      <c r="Y74" t="s">
        <v>414</v>
      </c>
      <c r="AA74" t="s">
        <v>75</v>
      </c>
      <c r="AC74" t="s">
        <v>83</v>
      </c>
      <c r="AE74" t="s">
        <v>75</v>
      </c>
      <c r="AF74" t="s">
        <v>84</v>
      </c>
      <c r="AG74" t="s">
        <v>84</v>
      </c>
      <c r="AH74" s="33">
        <f t="shared" si="4"/>
      </c>
      <c r="AI74" s="33">
        <f t="shared" si="5"/>
      </c>
    </row>
    <row r="75" ht="27.6" customHeight="1" spans="1:35" x14ac:dyDescent="0.25">
      <c r="A75" s="27" t="s">
        <v>416</v>
      </c>
      <c r="B75">
        <f t="shared" si="3"/>
        <v>0</v>
      </c>
      <c r="C75" t="s">
        <v>64</v>
      </c>
      <c r="D75" s="27" t="s">
        <v>417</v>
      </c>
      <c r="E75" t="s">
        <v>418</v>
      </c>
      <c r="F75" s="28">
        <v>0</v>
      </c>
      <c r="G75" s="29">
        <v>1</v>
      </c>
      <c r="H75" s="30" t="s">
        <v>419</v>
      </c>
      <c r="I75" t="s">
        <v>65</v>
      </c>
      <c r="J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145</v>
      </c>
      <c r="L75" t="s">
        <v>146</v>
      </c>
      <c r="N75" s="29">
        <v>1</v>
      </c>
      <c r="P75" s="29">
        <v>1</v>
      </c>
      <c r="R75" s="29">
        <v>1</v>
      </c>
      <c r="S75" t="s">
        <v>70</v>
      </c>
      <c r="T75" t="s">
        <v>72</v>
      </c>
      <c r="U75" s="32">
        <v>30</v>
      </c>
      <c r="V75">
        <v>30</v>
      </c>
      <c r="W75" t="s">
        <v>79</v>
      </c>
      <c r="X75" t="s">
        <v>240</v>
      </c>
      <c r="Y75" t="s">
        <v>420</v>
      </c>
      <c r="AA75" t="s">
        <v>75</v>
      </c>
      <c r="AC75" t="s">
        <v>83</v>
      </c>
      <c r="AE75" t="s">
        <v>75</v>
      </c>
      <c r="AF75" t="s">
        <v>84</v>
      </c>
      <c r="AG75" t="s">
        <v>84</v>
      </c>
      <c r="AH75" s="33">
        <f t="shared" si="4"/>
      </c>
      <c r="AI75" s="33">
        <f t="shared" si="5"/>
      </c>
    </row>
    <row r="76" ht="27.6" customHeight="1" spans="1:35" x14ac:dyDescent="0.25">
      <c r="A76" s="27" t="s">
        <v>421</v>
      </c>
      <c r="B76">
        <f t="shared" si="3"/>
        <v>0</v>
      </c>
      <c r="C76" t="s">
        <v>64</v>
      </c>
      <c r="D76" s="27" t="s">
        <v>422</v>
      </c>
      <c r="E76" t="s">
        <v>423</v>
      </c>
      <c r="F76" s="28">
        <v>2</v>
      </c>
      <c r="G76" s="29">
        <v>2</v>
      </c>
      <c r="H76" s="30" t="s">
        <v>424</v>
      </c>
      <c r="I76" t="s">
        <v>65</v>
      </c>
      <c r="J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145</v>
      </c>
      <c r="L76" t="s">
        <v>146</v>
      </c>
      <c r="N76" s="29">
        <v>2</v>
      </c>
      <c r="P76" s="29">
        <v>2</v>
      </c>
      <c r="R76" s="29">
        <v>2</v>
      </c>
      <c r="S76" t="s">
        <v>70</v>
      </c>
      <c r="T76" t="s">
        <v>72</v>
      </c>
      <c r="U76" s="32">
        <v>30</v>
      </c>
      <c r="V76">
        <v>30</v>
      </c>
      <c r="W76" t="s">
        <v>79</v>
      </c>
      <c r="X76" t="s">
        <v>240</v>
      </c>
      <c r="Y76" t="s">
        <v>423</v>
      </c>
      <c r="AA76" t="s">
        <v>75</v>
      </c>
      <c r="AC76" t="s">
        <v>83</v>
      </c>
      <c r="AE76" t="s">
        <v>75</v>
      </c>
      <c r="AF76" t="s">
        <v>84</v>
      </c>
      <c r="AG76" t="s">
        <v>84</v>
      </c>
      <c r="AH76" s="33">
        <f t="shared" si="4"/>
      </c>
      <c r="AI76" s="33">
        <f t="shared" si="5"/>
      </c>
    </row>
    <row r="77" ht="27.6" customHeight="1" spans="1:35" x14ac:dyDescent="0.25">
      <c r="A77" s="27" t="s">
        <v>425</v>
      </c>
      <c r="B77">
        <f t="shared" si="3"/>
        <v>0</v>
      </c>
      <c r="C77" t="s">
        <v>64</v>
      </c>
      <c r="D77" s="27" t="s">
        <v>102</v>
      </c>
      <c r="E77" t="s">
        <v>426</v>
      </c>
      <c r="F77" s="28">
        <v>0</v>
      </c>
      <c r="G77" s="29">
        <v>1</v>
      </c>
      <c r="H77" s="30" t="s">
        <v>427</v>
      </c>
      <c r="I77" t="s">
        <v>65</v>
      </c>
      <c r="J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145</v>
      </c>
      <c r="L77" t="s">
        <v>146</v>
      </c>
      <c r="N77" s="29">
        <v>1</v>
      </c>
      <c r="P77" s="29">
        <v>1</v>
      </c>
      <c r="R77" s="29">
        <v>1</v>
      </c>
      <c r="S77" t="s">
        <v>70</v>
      </c>
      <c r="T77" t="s">
        <v>72</v>
      </c>
      <c r="U77" s="32">
        <v>30</v>
      </c>
      <c r="V77">
        <v>30</v>
      </c>
      <c r="W77" t="s">
        <v>79</v>
      </c>
      <c r="X77" t="s">
        <v>240</v>
      </c>
      <c r="Y77" t="s">
        <v>428</v>
      </c>
      <c r="AA77" t="s">
        <v>75</v>
      </c>
      <c r="AC77" t="s">
        <v>83</v>
      </c>
      <c r="AE77" t="s">
        <v>75</v>
      </c>
      <c r="AF77" t="s">
        <v>84</v>
      </c>
      <c r="AG77" t="s">
        <v>84</v>
      </c>
      <c r="AH77" s="33">
        <f t="shared" si="4"/>
      </c>
      <c r="AI77" s="33">
        <f t="shared" si="5"/>
      </c>
    </row>
    <row r="78" ht="27.6" customHeight="1" spans="1:35" x14ac:dyDescent="0.25">
      <c r="A78" s="27" t="s">
        <v>429</v>
      </c>
      <c r="B78">
        <f t="shared" si="3"/>
        <v>0</v>
      </c>
      <c r="C78" t="s">
        <v>64</v>
      </c>
      <c r="D78" s="27" t="s">
        <v>430</v>
      </c>
      <c r="E78" t="s">
        <v>431</v>
      </c>
      <c r="F78" s="28">
        <v>2</v>
      </c>
      <c r="G78" s="29">
        <v>2</v>
      </c>
      <c r="H78" s="30" t="s">
        <v>432</v>
      </c>
      <c r="I78" t="s">
        <v>65</v>
      </c>
      <c r="J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145</v>
      </c>
      <c r="L78" t="s">
        <v>146</v>
      </c>
      <c r="N78" s="29">
        <v>2</v>
      </c>
      <c r="P78" s="29">
        <v>2</v>
      </c>
      <c r="R78" s="29">
        <v>2</v>
      </c>
      <c r="S78" t="s">
        <v>70</v>
      </c>
      <c r="T78" t="s">
        <v>72</v>
      </c>
      <c r="U78" s="32">
        <v>30</v>
      </c>
      <c r="V78">
        <v>30</v>
      </c>
      <c r="W78" t="s">
        <v>79</v>
      </c>
      <c r="X78" t="s">
        <v>240</v>
      </c>
      <c r="Y78" t="s">
        <v>431</v>
      </c>
      <c r="AA78" t="s">
        <v>75</v>
      </c>
      <c r="AC78" t="s">
        <v>83</v>
      </c>
      <c r="AE78" t="s">
        <v>75</v>
      </c>
      <c r="AF78" t="s">
        <v>84</v>
      </c>
      <c r="AG78" t="s">
        <v>84</v>
      </c>
      <c r="AH78" s="33">
        <f t="shared" si="4"/>
      </c>
      <c r="AI78" s="33">
        <f t="shared" si="5"/>
      </c>
    </row>
    <row r="79" ht="27.6" customHeight="1" spans="1:35" x14ac:dyDescent="0.25">
      <c r="A79" s="27" t="s">
        <v>433</v>
      </c>
      <c r="B79">
        <f t="shared" si="3"/>
        <v>0</v>
      </c>
      <c r="C79" t="s">
        <v>64</v>
      </c>
      <c r="D79" s="27" t="s">
        <v>430</v>
      </c>
      <c r="E79" t="s">
        <v>431</v>
      </c>
      <c r="F79" s="28">
        <v>2</v>
      </c>
      <c r="G79" s="29">
        <v>2</v>
      </c>
      <c r="H79" s="30" t="s">
        <v>434</v>
      </c>
      <c r="I79" t="s">
        <v>65</v>
      </c>
      <c r="J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145</v>
      </c>
      <c r="L79" t="s">
        <v>146</v>
      </c>
      <c r="N79" s="29">
        <v>2</v>
      </c>
      <c r="P79" s="29">
        <v>2</v>
      </c>
      <c r="R79" s="29">
        <v>2</v>
      </c>
      <c r="S79" t="s">
        <v>70</v>
      </c>
      <c r="T79" t="s">
        <v>72</v>
      </c>
      <c r="U79" s="32">
        <v>30</v>
      </c>
      <c r="V79">
        <v>30</v>
      </c>
      <c r="W79" t="s">
        <v>79</v>
      </c>
      <c r="X79" t="s">
        <v>240</v>
      </c>
      <c r="Y79" t="s">
        <v>431</v>
      </c>
      <c r="AA79" t="s">
        <v>75</v>
      </c>
      <c r="AC79" t="s">
        <v>83</v>
      </c>
      <c r="AE79" t="s">
        <v>75</v>
      </c>
      <c r="AF79" t="s">
        <v>84</v>
      </c>
      <c r="AG79" t="s">
        <v>84</v>
      </c>
      <c r="AH79" s="33">
        <f t="shared" si="4"/>
      </c>
      <c r="AI79" s="33">
        <f t="shared" si="5"/>
      </c>
    </row>
    <row r="80" ht="27.6" customHeight="1" spans="1:35" x14ac:dyDescent="0.25">
      <c r="A80" s="27" t="s">
        <v>435</v>
      </c>
      <c r="B80">
        <f t="shared" si="3"/>
        <v>0</v>
      </c>
      <c r="C80" t="s">
        <v>64</v>
      </c>
      <c r="D80" s="27" t="s">
        <v>436</v>
      </c>
      <c r="E80" t="s">
        <v>437</v>
      </c>
      <c r="F80" s="28">
        <v>2</v>
      </c>
      <c r="G80" s="29">
        <v>2</v>
      </c>
      <c r="H80" s="30" t="s">
        <v>438</v>
      </c>
      <c r="I80" t="s">
        <v>65</v>
      </c>
      <c r="J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145</v>
      </c>
      <c r="L80" t="s">
        <v>146</v>
      </c>
      <c r="N80" s="29">
        <v>2</v>
      </c>
      <c r="P80" s="29">
        <v>2</v>
      </c>
      <c r="R80" s="29">
        <v>2</v>
      </c>
      <c r="S80" t="s">
        <v>70</v>
      </c>
      <c r="T80" t="s">
        <v>72</v>
      </c>
      <c r="U80" s="32">
        <v>30</v>
      </c>
      <c r="V80">
        <v>30</v>
      </c>
      <c r="W80" t="s">
        <v>79</v>
      </c>
      <c r="X80" t="s">
        <v>240</v>
      </c>
      <c r="Y80" t="s">
        <v>437</v>
      </c>
      <c r="AA80" t="s">
        <v>75</v>
      </c>
      <c r="AC80" t="s">
        <v>83</v>
      </c>
      <c r="AE80" t="s">
        <v>75</v>
      </c>
      <c r="AF80" t="s">
        <v>84</v>
      </c>
      <c r="AG80" t="s">
        <v>84</v>
      </c>
      <c r="AH80" s="33">
        <f t="shared" si="4"/>
      </c>
      <c r="AI80" s="33">
        <f t="shared" si="5"/>
      </c>
    </row>
    <row r="81" ht="27.6" customHeight="1" spans="1:35" x14ac:dyDescent="0.25">
      <c r="A81" s="27" t="s">
        <v>439</v>
      </c>
      <c r="B81">
        <f t="shared" si="3"/>
        <v>0</v>
      </c>
      <c r="C81" t="s">
        <v>64</v>
      </c>
      <c r="D81" s="27" t="s">
        <v>436</v>
      </c>
      <c r="E81" t="s">
        <v>437</v>
      </c>
      <c r="F81" s="28">
        <v>2</v>
      </c>
      <c r="G81" s="29">
        <v>2</v>
      </c>
      <c r="H81" s="30" t="s">
        <v>440</v>
      </c>
      <c r="I81" t="s">
        <v>65</v>
      </c>
      <c r="J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145</v>
      </c>
      <c r="L81" t="s">
        <v>146</v>
      </c>
      <c r="N81" s="29">
        <v>2</v>
      </c>
      <c r="P81" s="29">
        <v>2</v>
      </c>
      <c r="R81" s="29">
        <v>2</v>
      </c>
      <c r="S81" t="s">
        <v>70</v>
      </c>
      <c r="T81" t="s">
        <v>72</v>
      </c>
      <c r="U81" s="32">
        <v>30</v>
      </c>
      <c r="V81">
        <v>30</v>
      </c>
      <c r="W81" t="s">
        <v>79</v>
      </c>
      <c r="X81" t="s">
        <v>240</v>
      </c>
      <c r="Y81" t="s">
        <v>437</v>
      </c>
      <c r="AA81" t="s">
        <v>75</v>
      </c>
      <c r="AC81" t="s">
        <v>83</v>
      </c>
      <c r="AE81" t="s">
        <v>75</v>
      </c>
      <c r="AF81" t="s">
        <v>84</v>
      </c>
      <c r="AG81" t="s">
        <v>84</v>
      </c>
      <c r="AH81" s="33">
        <f t="shared" si="4"/>
      </c>
      <c r="AI81" s="33">
        <f t="shared" si="5"/>
      </c>
    </row>
    <row r="82" ht="27.6" customHeight="1" spans="1:35" x14ac:dyDescent="0.25">
      <c r="A82" s="27" t="s">
        <v>441</v>
      </c>
      <c r="B82">
        <f t="shared" si="3"/>
        <v>0</v>
      </c>
      <c r="C82" t="s">
        <v>64</v>
      </c>
      <c r="D82" s="27" t="s">
        <v>442</v>
      </c>
      <c r="E82" t="s">
        <v>443</v>
      </c>
      <c r="F82" s="28">
        <v>2</v>
      </c>
      <c r="G82" s="29">
        <v>2</v>
      </c>
      <c r="H82" s="30" t="s">
        <v>444</v>
      </c>
      <c r="I82" t="s">
        <v>65</v>
      </c>
      <c r="J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145</v>
      </c>
      <c r="L82" t="s">
        <v>146</v>
      </c>
      <c r="N82" s="29">
        <v>2</v>
      </c>
      <c r="P82" s="29">
        <v>2</v>
      </c>
      <c r="R82" s="29">
        <v>2</v>
      </c>
      <c r="S82" t="s">
        <v>70</v>
      </c>
      <c r="T82" t="s">
        <v>72</v>
      </c>
      <c r="U82" s="32">
        <v>30</v>
      </c>
      <c r="V82">
        <v>30</v>
      </c>
      <c r="W82" t="s">
        <v>79</v>
      </c>
      <c r="X82" t="s">
        <v>240</v>
      </c>
      <c r="Y82" t="s">
        <v>445</v>
      </c>
      <c r="AA82" t="s">
        <v>75</v>
      </c>
      <c r="AC82" t="s">
        <v>83</v>
      </c>
      <c r="AE82" t="s">
        <v>75</v>
      </c>
      <c r="AF82" t="s">
        <v>84</v>
      </c>
      <c r="AG82" t="s">
        <v>84</v>
      </c>
      <c r="AH82" s="33">
        <f t="shared" si="4"/>
      </c>
      <c r="AI82" s="33">
        <f t="shared" si="5"/>
      </c>
    </row>
    <row r="83" ht="27.6" customHeight="1" spans="1:35" x14ac:dyDescent="0.25">
      <c r="A83" s="27" t="s">
        <v>446</v>
      </c>
      <c r="B83">
        <f t="shared" si="3"/>
        <v>0</v>
      </c>
      <c r="C83" t="s">
        <v>64</v>
      </c>
      <c r="D83" s="27" t="s">
        <v>447</v>
      </c>
      <c r="E83" t="s">
        <v>448</v>
      </c>
      <c r="F83" s="28">
        <v>2</v>
      </c>
      <c r="G83" s="29">
        <v>2</v>
      </c>
      <c r="H83" s="30" t="s">
        <v>449</v>
      </c>
      <c r="I83" t="s">
        <v>65</v>
      </c>
      <c r="J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145</v>
      </c>
      <c r="L83" t="s">
        <v>146</v>
      </c>
      <c r="N83" s="29">
        <v>2</v>
      </c>
      <c r="P83" s="29">
        <v>2</v>
      </c>
      <c r="R83" s="29">
        <v>2</v>
      </c>
      <c r="S83" t="s">
        <v>70</v>
      </c>
      <c r="T83" t="s">
        <v>72</v>
      </c>
      <c r="U83" s="32">
        <v>30</v>
      </c>
      <c r="V83">
        <v>30</v>
      </c>
      <c r="W83" t="s">
        <v>79</v>
      </c>
      <c r="X83" t="s">
        <v>240</v>
      </c>
      <c r="Y83" t="s">
        <v>448</v>
      </c>
      <c r="AA83" t="s">
        <v>75</v>
      </c>
      <c r="AC83" t="s">
        <v>83</v>
      </c>
      <c r="AE83" t="s">
        <v>75</v>
      </c>
      <c r="AF83" t="s">
        <v>84</v>
      </c>
      <c r="AG83" t="s">
        <v>84</v>
      </c>
      <c r="AH83" s="33">
        <f t="shared" si="4"/>
      </c>
      <c r="AI83" s="33">
        <f t="shared" si="5"/>
      </c>
    </row>
    <row r="84" ht="27.6" customHeight="1" spans="1:35" x14ac:dyDescent="0.25">
      <c r="A84" s="27" t="s">
        <v>450</v>
      </c>
      <c r="B84">
        <f t="shared" si="3"/>
        <v>0</v>
      </c>
      <c r="C84" t="s">
        <v>64</v>
      </c>
      <c r="D84" s="27" t="s">
        <v>102</v>
      </c>
      <c r="E84" t="s">
        <v>451</v>
      </c>
      <c r="F84" s="28">
        <v>0</v>
      </c>
      <c r="G84" s="29">
        <v>1</v>
      </c>
      <c r="H84" s="30" t="s">
        <v>452</v>
      </c>
      <c r="I84" t="s">
        <v>65</v>
      </c>
      <c r="J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145</v>
      </c>
      <c r="L84" t="s">
        <v>146</v>
      </c>
      <c r="N84" s="29">
        <v>1</v>
      </c>
      <c r="P84" s="29">
        <v>1</v>
      </c>
      <c r="R84" s="29">
        <v>1</v>
      </c>
      <c r="S84" t="s">
        <v>70</v>
      </c>
      <c r="T84" t="s">
        <v>72</v>
      </c>
      <c r="U84" s="32">
        <v>30</v>
      </c>
      <c r="V84">
        <v>30</v>
      </c>
      <c r="W84" t="s">
        <v>79</v>
      </c>
      <c r="X84" t="s">
        <v>240</v>
      </c>
      <c r="Y84" t="s">
        <v>453</v>
      </c>
      <c r="AA84" t="s">
        <v>75</v>
      </c>
      <c r="AC84" t="s">
        <v>83</v>
      </c>
      <c r="AE84" t="s">
        <v>75</v>
      </c>
      <c r="AF84" t="s">
        <v>84</v>
      </c>
      <c r="AG84" t="s">
        <v>84</v>
      </c>
      <c r="AH84" s="33">
        <f t="shared" si="4"/>
      </c>
      <c r="AI84" s="33">
        <f t="shared" si="5"/>
      </c>
    </row>
    <row r="85" ht="27.6" customHeight="1" spans="1:35" x14ac:dyDescent="0.25">
      <c r="A85" s="27" t="s">
        <v>454</v>
      </c>
      <c r="B85">
        <f t="shared" si="3"/>
        <v>0</v>
      </c>
      <c r="C85" t="s">
        <v>64</v>
      </c>
      <c r="D85" s="27" t="s">
        <v>102</v>
      </c>
      <c r="E85" t="s">
        <v>455</v>
      </c>
      <c r="F85" s="28">
        <v>0</v>
      </c>
      <c r="G85" s="29">
        <v>1</v>
      </c>
      <c r="H85" s="30" t="s">
        <v>456</v>
      </c>
      <c r="I85" t="s">
        <v>65</v>
      </c>
      <c r="J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145</v>
      </c>
      <c r="L85" t="s">
        <v>146</v>
      </c>
      <c r="N85" s="29">
        <v>1</v>
      </c>
      <c r="P85" s="29">
        <v>1</v>
      </c>
      <c r="R85" s="29">
        <v>1</v>
      </c>
      <c r="S85" t="s">
        <v>70</v>
      </c>
      <c r="T85" t="s">
        <v>72</v>
      </c>
      <c r="U85" s="32">
        <v>30</v>
      </c>
      <c r="V85">
        <v>30</v>
      </c>
      <c r="W85" t="s">
        <v>79</v>
      </c>
      <c r="X85" t="s">
        <v>240</v>
      </c>
      <c r="Y85" t="s">
        <v>455</v>
      </c>
      <c r="AA85" t="s">
        <v>75</v>
      </c>
      <c r="AC85" t="s">
        <v>83</v>
      </c>
      <c r="AE85" t="s">
        <v>75</v>
      </c>
      <c r="AF85" t="s">
        <v>84</v>
      </c>
      <c r="AG85" t="s">
        <v>84</v>
      </c>
      <c r="AH85" s="33">
        <f t="shared" si="4"/>
      </c>
      <c r="AI85" s="33">
        <f t="shared" si="5"/>
      </c>
    </row>
    <row r="86" ht="27.6" customHeight="1" spans="1:35" x14ac:dyDescent="0.25">
      <c r="A86" s="27" t="s">
        <v>457</v>
      </c>
      <c r="B86">
        <f t="shared" si="3"/>
        <v>0</v>
      </c>
      <c r="C86" t="s">
        <v>64</v>
      </c>
      <c r="D86" s="27" t="s">
        <v>102</v>
      </c>
      <c r="E86" t="s">
        <v>458</v>
      </c>
      <c r="F86" s="28">
        <v>0</v>
      </c>
      <c r="G86" s="29">
        <v>1</v>
      </c>
      <c r="H86" s="30" t="s">
        <v>459</v>
      </c>
      <c r="I86" t="s">
        <v>65</v>
      </c>
      <c r="J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145</v>
      </c>
      <c r="L86" t="s">
        <v>146</v>
      </c>
      <c r="N86" s="29">
        <v>1</v>
      </c>
      <c r="P86" s="29">
        <v>1</v>
      </c>
      <c r="R86" s="29">
        <v>1</v>
      </c>
      <c r="S86" t="s">
        <v>70</v>
      </c>
      <c r="T86" t="s">
        <v>72</v>
      </c>
      <c r="U86" s="32">
        <v>30</v>
      </c>
      <c r="V86">
        <v>30</v>
      </c>
      <c r="W86" t="s">
        <v>79</v>
      </c>
      <c r="X86" t="s">
        <v>240</v>
      </c>
      <c r="Y86" t="s">
        <v>460</v>
      </c>
      <c r="AA86" t="s">
        <v>75</v>
      </c>
      <c r="AC86" t="s">
        <v>83</v>
      </c>
      <c r="AE86" t="s">
        <v>75</v>
      </c>
      <c r="AF86" t="s">
        <v>84</v>
      </c>
      <c r="AG86" t="s">
        <v>84</v>
      </c>
      <c r="AH86" s="33">
        <f t="shared" si="4"/>
      </c>
      <c r="AI86" s="33">
        <f t="shared" si="5"/>
      </c>
    </row>
    <row r="87" ht="27.6" customHeight="1" spans="1:35" x14ac:dyDescent="0.25">
      <c r="A87" s="27" t="s">
        <v>357</v>
      </c>
      <c r="B87">
        <f t="shared" si="3"/>
        <v>0</v>
      </c>
      <c r="C87" t="s">
        <v>64</v>
      </c>
      <c r="D87" s="27" t="s">
        <v>102</v>
      </c>
      <c r="E87" t="s">
        <v>461</v>
      </c>
      <c r="F87" s="28">
        <v>0</v>
      </c>
      <c r="G87" s="29">
        <v>1</v>
      </c>
      <c r="H87" s="30" t="s">
        <v>462</v>
      </c>
      <c r="I87" t="s">
        <v>65</v>
      </c>
      <c r="J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145</v>
      </c>
      <c r="L87" t="s">
        <v>146</v>
      </c>
      <c r="N87" s="29">
        <v>1</v>
      </c>
      <c r="P87" s="29">
        <v>1</v>
      </c>
      <c r="R87" s="29">
        <v>1</v>
      </c>
      <c r="S87" t="s">
        <v>70</v>
      </c>
      <c r="T87" t="s">
        <v>72</v>
      </c>
      <c r="U87" s="32">
        <v>30</v>
      </c>
      <c r="V87">
        <v>30</v>
      </c>
      <c r="W87" t="s">
        <v>79</v>
      </c>
      <c r="X87" t="s">
        <v>240</v>
      </c>
      <c r="Y87" t="s">
        <v>463</v>
      </c>
      <c r="AA87" t="s">
        <v>75</v>
      </c>
      <c r="AC87" t="s">
        <v>83</v>
      </c>
      <c r="AE87" t="s">
        <v>75</v>
      </c>
      <c r="AF87" t="s">
        <v>84</v>
      </c>
      <c r="AG87" t="s">
        <v>84</v>
      </c>
      <c r="AH87" s="33">
        <f t="shared" si="4"/>
      </c>
      <c r="AI87" s="33">
        <f t="shared" si="5"/>
      </c>
    </row>
    <row r="88" ht="27.6" customHeight="1" spans="1:35" x14ac:dyDescent="0.25">
      <c r="A88" s="27" t="s">
        <v>464</v>
      </c>
      <c r="B88">
        <f t="shared" si="3"/>
        <v>0</v>
      </c>
      <c r="C88" t="s">
        <v>64</v>
      </c>
      <c r="D88" s="27" t="s">
        <v>102</v>
      </c>
      <c r="E88" t="s">
        <v>465</v>
      </c>
      <c r="F88" s="28">
        <v>0</v>
      </c>
      <c r="G88" s="29">
        <v>1</v>
      </c>
      <c r="H88" s="30" t="s">
        <v>466</v>
      </c>
      <c r="I88" t="s">
        <v>65</v>
      </c>
      <c r="J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145</v>
      </c>
      <c r="L88" t="s">
        <v>146</v>
      </c>
      <c r="N88" s="29">
        <v>1</v>
      </c>
      <c r="P88" s="29">
        <v>1</v>
      </c>
      <c r="R88" s="29">
        <v>1</v>
      </c>
      <c r="S88" t="s">
        <v>70</v>
      </c>
      <c r="T88" t="s">
        <v>72</v>
      </c>
      <c r="U88" s="32">
        <v>30</v>
      </c>
      <c r="V88">
        <v>30</v>
      </c>
      <c r="W88" t="s">
        <v>79</v>
      </c>
      <c r="X88" t="s">
        <v>240</v>
      </c>
      <c r="Y88" t="s">
        <v>467</v>
      </c>
      <c r="AA88" t="s">
        <v>75</v>
      </c>
      <c r="AC88" t="s">
        <v>83</v>
      </c>
      <c r="AE88" t="s">
        <v>75</v>
      </c>
      <c r="AF88" t="s">
        <v>84</v>
      </c>
      <c r="AG88" t="s">
        <v>84</v>
      </c>
      <c r="AH88" s="33">
        <f t="shared" si="4"/>
      </c>
      <c r="AI88" s="33">
        <f t="shared" si="5"/>
      </c>
    </row>
    <row r="89" ht="27.6" customHeight="1" spans="1:35" x14ac:dyDescent="0.25">
      <c r="A89" s="27" t="s">
        <v>468</v>
      </c>
      <c r="B89">
        <f t="shared" si="3"/>
        <v>0</v>
      </c>
      <c r="C89" t="s">
        <v>64</v>
      </c>
      <c r="D89" s="27" t="s">
        <v>469</v>
      </c>
      <c r="E89" t="s">
        <v>470</v>
      </c>
      <c r="F89" s="28">
        <v>6</v>
      </c>
      <c r="G89" s="29">
        <v>2</v>
      </c>
      <c r="H89" s="30" t="s">
        <v>471</v>
      </c>
      <c r="I89" t="s">
        <v>65</v>
      </c>
      <c r="J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145</v>
      </c>
      <c r="L89" t="s">
        <v>146</v>
      </c>
      <c r="N89" s="29">
        <v>2</v>
      </c>
      <c r="P89" s="29">
        <v>2</v>
      </c>
      <c r="R89" s="29">
        <v>2</v>
      </c>
      <c r="S89" t="s">
        <v>70</v>
      </c>
      <c r="T89" t="s">
        <v>72</v>
      </c>
      <c r="U89" s="32">
        <v>30</v>
      </c>
      <c r="V89">
        <v>30</v>
      </c>
      <c r="W89" t="s">
        <v>79</v>
      </c>
      <c r="X89" t="s">
        <v>240</v>
      </c>
      <c r="Y89" t="s">
        <v>472</v>
      </c>
      <c r="AA89" t="s">
        <v>75</v>
      </c>
      <c r="AC89" t="s">
        <v>83</v>
      </c>
      <c r="AE89" t="s">
        <v>75</v>
      </c>
      <c r="AF89" t="s">
        <v>84</v>
      </c>
      <c r="AG89" t="s">
        <v>84</v>
      </c>
      <c r="AH89" s="33">
        <f t="shared" si="4"/>
      </c>
      <c r="AI89" s="33">
        <f t="shared" si="5"/>
      </c>
    </row>
    <row r="90" ht="27.6" customHeight="1" spans="1:35" x14ac:dyDescent="0.25">
      <c r="A90" s="27" t="s">
        <v>473</v>
      </c>
      <c r="B90">
        <f t="shared" si="3"/>
        <v>0</v>
      </c>
      <c r="C90" t="s">
        <v>64</v>
      </c>
      <c r="D90" s="27" t="s">
        <v>102</v>
      </c>
      <c r="E90" t="s">
        <v>474</v>
      </c>
      <c r="F90" s="28">
        <v>2</v>
      </c>
      <c r="G90" s="29">
        <v>2</v>
      </c>
      <c r="H90" s="30" t="s">
        <v>475</v>
      </c>
      <c r="I90" t="s">
        <v>65</v>
      </c>
      <c r="J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145</v>
      </c>
      <c r="L90" t="s">
        <v>146</v>
      </c>
      <c r="N90" s="29">
        <v>2</v>
      </c>
      <c r="P90" s="29">
        <v>2</v>
      </c>
      <c r="R90" s="29">
        <v>2</v>
      </c>
      <c r="S90" t="s">
        <v>70</v>
      </c>
      <c r="T90" t="s">
        <v>72</v>
      </c>
      <c r="U90" s="32">
        <v>30</v>
      </c>
      <c r="V90">
        <v>30</v>
      </c>
      <c r="W90" t="s">
        <v>79</v>
      </c>
      <c r="X90" t="s">
        <v>240</v>
      </c>
      <c r="Y90" t="s">
        <v>476</v>
      </c>
      <c r="AA90" t="s">
        <v>75</v>
      </c>
      <c r="AC90" t="s">
        <v>83</v>
      </c>
      <c r="AE90" t="s">
        <v>75</v>
      </c>
      <c r="AF90" t="s">
        <v>84</v>
      </c>
      <c r="AG90" t="s">
        <v>84</v>
      </c>
      <c r="AH90" s="33">
        <f t="shared" si="4"/>
      </c>
      <c r="AI90" s="33">
        <f t="shared" si="5"/>
      </c>
    </row>
    <row r="91" ht="27.6" customHeight="1" spans="1:35" x14ac:dyDescent="0.25">
      <c r="A91" s="27" t="s">
        <v>477</v>
      </c>
      <c r="B91">
        <f t="shared" si="3"/>
        <v>0</v>
      </c>
      <c r="C91" t="s">
        <v>64</v>
      </c>
      <c r="D91" s="27" t="s">
        <v>102</v>
      </c>
      <c r="E91" t="s">
        <v>478</v>
      </c>
      <c r="F91" s="28">
        <v>0</v>
      </c>
      <c r="G91" s="29">
        <v>1</v>
      </c>
      <c r="H91" s="30" t="s">
        <v>479</v>
      </c>
      <c r="I91" t="s">
        <v>65</v>
      </c>
      <c r="J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145</v>
      </c>
      <c r="L91" t="s">
        <v>146</v>
      </c>
      <c r="N91" s="29">
        <v>1</v>
      </c>
      <c r="P91" s="29">
        <v>1</v>
      </c>
      <c r="R91" s="29">
        <v>1</v>
      </c>
      <c r="S91" t="s">
        <v>70</v>
      </c>
      <c r="T91" t="s">
        <v>72</v>
      </c>
      <c r="U91" s="32">
        <v>30</v>
      </c>
      <c r="V91">
        <v>30</v>
      </c>
      <c r="W91" t="s">
        <v>79</v>
      </c>
      <c r="X91" t="s">
        <v>240</v>
      </c>
      <c r="Y91" t="s">
        <v>480</v>
      </c>
      <c r="AA91" t="s">
        <v>75</v>
      </c>
      <c r="AC91" t="s">
        <v>83</v>
      </c>
      <c r="AE91" t="s">
        <v>75</v>
      </c>
      <c r="AF91" t="s">
        <v>84</v>
      </c>
      <c r="AG91" t="s">
        <v>84</v>
      </c>
      <c r="AH91" s="33">
        <f t="shared" si="4"/>
      </c>
      <c r="AI91" s="33">
        <f t="shared" si="5"/>
      </c>
    </row>
    <row r="92" ht="27.6" customHeight="1" spans="1:35" x14ac:dyDescent="0.25">
      <c r="A92" s="27" t="s">
        <v>481</v>
      </c>
      <c r="B92">
        <f t="shared" si="3"/>
        <v>0</v>
      </c>
      <c r="C92" t="s">
        <v>64</v>
      </c>
      <c r="D92" s="27" t="s">
        <v>102</v>
      </c>
      <c r="E92" t="s">
        <v>482</v>
      </c>
      <c r="F92" s="28">
        <v>2</v>
      </c>
      <c r="G92" s="29">
        <v>1</v>
      </c>
      <c r="H92" s="30" t="s">
        <v>483</v>
      </c>
      <c r="I92" t="s">
        <v>65</v>
      </c>
      <c r="J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145</v>
      </c>
      <c r="L92" t="s">
        <v>146</v>
      </c>
      <c r="N92" s="29">
        <v>1</v>
      </c>
      <c r="P92" s="29">
        <v>1</v>
      </c>
      <c r="R92" s="29">
        <v>1</v>
      </c>
      <c r="S92" t="s">
        <v>70</v>
      </c>
      <c r="T92" t="s">
        <v>72</v>
      </c>
      <c r="U92" s="32">
        <v>30</v>
      </c>
      <c r="V92">
        <v>30</v>
      </c>
      <c r="W92" t="s">
        <v>79</v>
      </c>
      <c r="X92" t="s">
        <v>240</v>
      </c>
      <c r="Y92" t="s">
        <v>484</v>
      </c>
      <c r="AA92" t="s">
        <v>75</v>
      </c>
      <c r="AC92" t="s">
        <v>83</v>
      </c>
      <c r="AE92" t="s">
        <v>75</v>
      </c>
      <c r="AF92" t="s">
        <v>84</v>
      </c>
      <c r="AG92" t="s">
        <v>84</v>
      </c>
      <c r="AH92" s="33">
        <f t="shared" si="4"/>
      </c>
      <c r="AI92" s="33">
        <f t="shared" si="5"/>
      </c>
    </row>
    <row r="93" ht="27.6" customHeight="1" spans="1:35" x14ac:dyDescent="0.25">
      <c r="A93" s="27" t="s">
        <v>485</v>
      </c>
      <c r="B93">
        <f t="shared" si="3"/>
        <v>0</v>
      </c>
      <c r="C93" t="s">
        <v>64</v>
      </c>
      <c r="D93" s="27" t="s">
        <v>102</v>
      </c>
      <c r="E93" t="s">
        <v>486</v>
      </c>
      <c r="F93" s="28">
        <v>0</v>
      </c>
      <c r="G93" s="29">
        <v>1</v>
      </c>
      <c r="H93" s="30" t="s">
        <v>487</v>
      </c>
      <c r="I93" t="s">
        <v>65</v>
      </c>
      <c r="J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145</v>
      </c>
      <c r="L93" t="s">
        <v>146</v>
      </c>
      <c r="N93" s="29">
        <v>1</v>
      </c>
      <c r="P93" s="29">
        <v>1</v>
      </c>
      <c r="R93" s="29">
        <v>1</v>
      </c>
      <c r="S93" t="s">
        <v>70</v>
      </c>
      <c r="T93" t="s">
        <v>72</v>
      </c>
      <c r="U93" s="32">
        <v>30</v>
      </c>
      <c r="V93">
        <v>30</v>
      </c>
      <c r="W93" t="s">
        <v>79</v>
      </c>
      <c r="X93" t="s">
        <v>240</v>
      </c>
      <c r="Y93" t="s">
        <v>488</v>
      </c>
      <c r="AA93" t="s">
        <v>75</v>
      </c>
      <c r="AC93" t="s">
        <v>83</v>
      </c>
      <c r="AE93" t="s">
        <v>75</v>
      </c>
      <c r="AF93" t="s">
        <v>84</v>
      </c>
      <c r="AG93" t="s">
        <v>84</v>
      </c>
      <c r="AH93" s="33">
        <f t="shared" si="4"/>
      </c>
      <c r="AI93" s="33">
        <f t="shared" si="5"/>
      </c>
    </row>
    <row r="94" ht="27.6" customHeight="1" spans="1:35" x14ac:dyDescent="0.25">
      <c r="A94" s="27" t="s">
        <v>489</v>
      </c>
      <c r="B94">
        <f t="shared" si="3"/>
        <v>0</v>
      </c>
      <c r="C94" t="s">
        <v>64</v>
      </c>
      <c r="D94" s="27" t="s">
        <v>102</v>
      </c>
      <c r="E94" t="s">
        <v>490</v>
      </c>
      <c r="F94" s="28">
        <v>0</v>
      </c>
      <c r="G94" s="29">
        <v>1</v>
      </c>
      <c r="H94" s="30" t="s">
        <v>491</v>
      </c>
      <c r="I94" t="s">
        <v>65</v>
      </c>
      <c r="J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145</v>
      </c>
      <c r="L94" t="s">
        <v>146</v>
      </c>
      <c r="N94" s="29">
        <v>1</v>
      </c>
      <c r="P94" s="29">
        <v>1</v>
      </c>
      <c r="R94" s="29">
        <v>1</v>
      </c>
      <c r="S94" t="s">
        <v>70</v>
      </c>
      <c r="T94" t="s">
        <v>72</v>
      </c>
      <c r="U94" s="32">
        <v>30</v>
      </c>
      <c r="V94">
        <v>30</v>
      </c>
      <c r="W94" t="s">
        <v>79</v>
      </c>
      <c r="X94" t="s">
        <v>240</v>
      </c>
      <c r="Y94" t="s">
        <v>492</v>
      </c>
      <c r="AA94" t="s">
        <v>75</v>
      </c>
      <c r="AC94" t="s">
        <v>83</v>
      </c>
      <c r="AE94" t="s">
        <v>75</v>
      </c>
      <c r="AF94" t="s">
        <v>84</v>
      </c>
      <c r="AG94" t="s">
        <v>84</v>
      </c>
      <c r="AH94" s="33">
        <f t="shared" si="4"/>
      </c>
      <c r="AI94" s="33">
        <f t="shared" si="5"/>
      </c>
    </row>
    <row r="95" ht="27.6" customHeight="1" spans="1:35" x14ac:dyDescent="0.25">
      <c r="A95" s="27" t="s">
        <v>392</v>
      </c>
      <c r="B95">
        <f t="shared" si="3"/>
        <v>0</v>
      </c>
      <c r="C95" t="s">
        <v>64</v>
      </c>
      <c r="D95" s="27" t="s">
        <v>493</v>
      </c>
      <c r="E95" t="s">
        <v>494</v>
      </c>
      <c r="F95" s="28">
        <v>0</v>
      </c>
      <c r="G95" s="29">
        <v>1</v>
      </c>
      <c r="H95" s="30" t="s">
        <v>495</v>
      </c>
      <c r="I95" t="s">
        <v>65</v>
      </c>
      <c r="J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145</v>
      </c>
      <c r="L95" t="s">
        <v>146</v>
      </c>
      <c r="N95" s="29">
        <v>1</v>
      </c>
      <c r="P95" s="29">
        <v>1</v>
      </c>
      <c r="R95" s="29">
        <v>1</v>
      </c>
      <c r="S95" t="s">
        <v>70</v>
      </c>
      <c r="T95" t="s">
        <v>72</v>
      </c>
      <c r="U95" s="32">
        <v>30</v>
      </c>
      <c r="V95">
        <v>30</v>
      </c>
      <c r="W95" t="s">
        <v>79</v>
      </c>
      <c r="X95" t="s">
        <v>240</v>
      </c>
      <c r="Y95" t="s">
        <v>496</v>
      </c>
      <c r="AA95" t="s">
        <v>75</v>
      </c>
      <c r="AC95" t="s">
        <v>83</v>
      </c>
      <c r="AE95" t="s">
        <v>75</v>
      </c>
      <c r="AF95" t="s">
        <v>84</v>
      </c>
      <c r="AG95" t="s">
        <v>84</v>
      </c>
      <c r="AH95" s="33">
        <f t="shared" si="4"/>
      </c>
      <c r="AI95" s="33">
        <f t="shared" si="5"/>
      </c>
    </row>
    <row r="96" ht="27.6" customHeight="1" spans="1:35" x14ac:dyDescent="0.25">
      <c r="A96" s="27" t="s">
        <v>497</v>
      </c>
      <c r="B96">
        <f t="shared" si="3"/>
        <v>0</v>
      </c>
      <c r="C96" t="s">
        <v>64</v>
      </c>
      <c r="D96" s="27" t="s">
        <v>498</v>
      </c>
      <c r="E96" t="s">
        <v>499</v>
      </c>
      <c r="F96" s="28">
        <v>2</v>
      </c>
      <c r="G96" s="29">
        <v>2</v>
      </c>
      <c r="H96" s="30" t="s">
        <v>500</v>
      </c>
      <c r="I96" t="s">
        <v>65</v>
      </c>
      <c r="J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145</v>
      </c>
      <c r="L96" t="s">
        <v>146</v>
      </c>
      <c r="N96" s="29">
        <v>2</v>
      </c>
      <c r="P96" s="29">
        <v>2</v>
      </c>
      <c r="R96" s="29">
        <v>2</v>
      </c>
      <c r="S96" t="s">
        <v>70</v>
      </c>
      <c r="T96" t="s">
        <v>72</v>
      </c>
      <c r="U96" s="32">
        <v>30</v>
      </c>
      <c r="V96">
        <v>30</v>
      </c>
      <c r="W96" t="s">
        <v>79</v>
      </c>
      <c r="X96" t="s">
        <v>240</v>
      </c>
      <c r="Y96" t="s">
        <v>501</v>
      </c>
      <c r="AA96" t="s">
        <v>75</v>
      </c>
      <c r="AC96" t="s">
        <v>83</v>
      </c>
      <c r="AE96" t="s">
        <v>75</v>
      </c>
      <c r="AF96" t="s">
        <v>84</v>
      </c>
      <c r="AG96" t="s">
        <v>84</v>
      </c>
      <c r="AH96" s="33">
        <f t="shared" si="4"/>
      </c>
      <c r="AI96" s="33">
        <f t="shared" si="5"/>
      </c>
    </row>
    <row r="97" ht="27.6" customHeight="1" spans="1:35" x14ac:dyDescent="0.25">
      <c r="A97" s="27" t="s">
        <v>502</v>
      </c>
      <c r="B97">
        <f t="shared" si="3"/>
        <v>0</v>
      </c>
      <c r="C97" t="s">
        <v>64</v>
      </c>
      <c r="D97" s="27" t="s">
        <v>503</v>
      </c>
      <c r="E97" t="s">
        <v>504</v>
      </c>
      <c r="F97" s="28">
        <v>2</v>
      </c>
      <c r="G97" s="29">
        <v>2</v>
      </c>
      <c r="H97" s="30" t="s">
        <v>505</v>
      </c>
      <c r="I97" t="s">
        <v>65</v>
      </c>
      <c r="J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145</v>
      </c>
      <c r="L97" t="s">
        <v>146</v>
      </c>
      <c r="N97" s="29">
        <v>2</v>
      </c>
      <c r="P97" s="29">
        <v>2</v>
      </c>
      <c r="R97" s="29">
        <v>2</v>
      </c>
      <c r="S97" t="s">
        <v>70</v>
      </c>
      <c r="T97" t="s">
        <v>72</v>
      </c>
      <c r="U97" s="32">
        <v>30</v>
      </c>
      <c r="V97">
        <v>30</v>
      </c>
      <c r="W97" t="s">
        <v>79</v>
      </c>
      <c r="X97" t="s">
        <v>240</v>
      </c>
      <c r="Y97" t="s">
        <v>504</v>
      </c>
      <c r="AA97" t="s">
        <v>75</v>
      </c>
      <c r="AC97" t="s">
        <v>83</v>
      </c>
      <c r="AE97" t="s">
        <v>75</v>
      </c>
      <c r="AF97" t="s">
        <v>84</v>
      </c>
      <c r="AG97" t="s">
        <v>84</v>
      </c>
      <c r="AH97" s="33">
        <f t="shared" si="4"/>
      </c>
      <c r="AI97" s="33">
        <f t="shared" si="5"/>
      </c>
    </row>
    <row r="98" ht="27.6" customHeight="1" spans="1:35" x14ac:dyDescent="0.25">
      <c r="A98" s="27" t="s">
        <v>506</v>
      </c>
      <c r="B98">
        <f t="shared" si="3"/>
        <v>0</v>
      </c>
      <c r="C98" t="s">
        <v>64</v>
      </c>
      <c r="D98" s="27" t="s">
        <v>102</v>
      </c>
      <c r="E98" t="s">
        <v>507</v>
      </c>
      <c r="F98" s="28">
        <v>0</v>
      </c>
      <c r="G98" s="29">
        <v>2</v>
      </c>
      <c r="H98" s="30" t="s">
        <v>508</v>
      </c>
      <c r="I98" t="s">
        <v>65</v>
      </c>
      <c r="J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145</v>
      </c>
      <c r="L98" t="s">
        <v>146</v>
      </c>
      <c r="N98" s="29">
        <v>2</v>
      </c>
      <c r="P98" s="29">
        <v>2</v>
      </c>
      <c r="R98" s="29">
        <v>2</v>
      </c>
      <c r="S98" t="s">
        <v>70</v>
      </c>
      <c r="T98" t="s">
        <v>72</v>
      </c>
      <c r="U98" s="32">
        <v>30</v>
      </c>
      <c r="V98">
        <v>30</v>
      </c>
      <c r="W98" t="s">
        <v>79</v>
      </c>
      <c r="X98" t="s">
        <v>240</v>
      </c>
      <c r="Y98" t="s">
        <v>507</v>
      </c>
      <c r="AA98" t="s">
        <v>75</v>
      </c>
      <c r="AC98" t="s">
        <v>83</v>
      </c>
      <c r="AE98" t="s">
        <v>75</v>
      </c>
      <c r="AF98" t="s">
        <v>84</v>
      </c>
      <c r="AG98" t="s">
        <v>84</v>
      </c>
      <c r="AH98" s="33">
        <f t="shared" si="4"/>
      </c>
      <c r="AI98" s="33">
        <f t="shared" si="5"/>
      </c>
    </row>
    <row r="99" ht="27.6" customHeight="1" spans="1:35" x14ac:dyDescent="0.25">
      <c r="A99" s="27" t="s">
        <v>509</v>
      </c>
      <c r="B99">
        <f t="shared" si="3"/>
        <v>0</v>
      </c>
      <c r="C99" t="s">
        <v>64</v>
      </c>
      <c r="D99" s="27" t="s">
        <v>102</v>
      </c>
      <c r="E99" t="s">
        <v>510</v>
      </c>
      <c r="F99" s="28">
        <v>2</v>
      </c>
      <c r="G99" s="29">
        <v>2</v>
      </c>
      <c r="H99" s="30" t="s">
        <v>511</v>
      </c>
      <c r="I99" t="s">
        <v>65</v>
      </c>
      <c r="J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145</v>
      </c>
      <c r="L99" t="s">
        <v>146</v>
      </c>
      <c r="N99" s="29">
        <v>2</v>
      </c>
      <c r="P99" s="29">
        <v>2</v>
      </c>
      <c r="R99" s="29">
        <v>2</v>
      </c>
      <c r="S99" t="s">
        <v>70</v>
      </c>
      <c r="T99" t="s">
        <v>72</v>
      </c>
      <c r="U99" s="32">
        <v>30</v>
      </c>
      <c r="V99">
        <v>30</v>
      </c>
      <c r="W99" t="s">
        <v>79</v>
      </c>
      <c r="X99" t="s">
        <v>240</v>
      </c>
      <c r="Y99" t="s">
        <v>512</v>
      </c>
      <c r="AA99" t="s">
        <v>75</v>
      </c>
      <c r="AC99" t="s">
        <v>83</v>
      </c>
      <c r="AE99" t="s">
        <v>75</v>
      </c>
      <c r="AF99" t="s">
        <v>84</v>
      </c>
      <c r="AG99" t="s">
        <v>84</v>
      </c>
      <c r="AH99" s="33">
        <f t="shared" si="4"/>
      </c>
      <c r="AI99" s="33">
        <f t="shared" si="5"/>
      </c>
    </row>
    <row r="100" ht="27.6" customHeight="1" spans="1:35" x14ac:dyDescent="0.25">
      <c r="A100" s="27" t="s">
        <v>513</v>
      </c>
      <c r="B100">
        <f t="shared" si="3"/>
        <v>0</v>
      </c>
      <c r="C100" t="s">
        <v>64</v>
      </c>
      <c r="D100" s="27" t="s">
        <v>514</v>
      </c>
      <c r="E100" t="s">
        <v>515</v>
      </c>
      <c r="F100" s="28">
        <v>2</v>
      </c>
      <c r="G100" s="29">
        <v>1</v>
      </c>
      <c r="H100" s="30" t="s">
        <v>516</v>
      </c>
      <c r="I100" t="s">
        <v>65</v>
      </c>
      <c r="J1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145</v>
      </c>
      <c r="L100" t="s">
        <v>146</v>
      </c>
      <c r="N100" s="29">
        <v>1</v>
      </c>
      <c r="P100" s="29">
        <v>1</v>
      </c>
      <c r="R100" s="29">
        <v>1</v>
      </c>
      <c r="S100" t="s">
        <v>70</v>
      </c>
      <c r="T100" t="s">
        <v>72</v>
      </c>
      <c r="U100" s="32">
        <v>30</v>
      </c>
      <c r="V100">
        <v>30</v>
      </c>
      <c r="W100" t="s">
        <v>79</v>
      </c>
      <c r="X100" t="s">
        <v>240</v>
      </c>
      <c r="Y100" t="s">
        <v>515</v>
      </c>
      <c r="AA100" t="s">
        <v>75</v>
      </c>
      <c r="AC100" t="s">
        <v>83</v>
      </c>
      <c r="AE100" t="s">
        <v>75</v>
      </c>
      <c r="AF100" t="s">
        <v>84</v>
      </c>
      <c r="AG100" t="s">
        <v>84</v>
      </c>
      <c r="AH100" s="33">
        <f t="shared" si="4"/>
      </c>
      <c r="AI100" s="33">
        <f t="shared" si="5"/>
      </c>
    </row>
    <row r="101" ht="27.6" customHeight="1" spans="1:35" x14ac:dyDescent="0.25">
      <c r="A101" s="27" t="s">
        <v>517</v>
      </c>
      <c r="B101">
        <f t="shared" si="3"/>
        <v>0</v>
      </c>
      <c r="C101" t="s">
        <v>64</v>
      </c>
      <c r="D101" s="27" t="s">
        <v>102</v>
      </c>
      <c r="E101" t="s">
        <v>518</v>
      </c>
      <c r="F101" s="28">
        <v>0</v>
      </c>
      <c r="G101" s="29">
        <v>1</v>
      </c>
      <c r="H101" s="30" t="s">
        <v>519</v>
      </c>
      <c r="I101" t="s">
        <v>65</v>
      </c>
      <c r="J1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145</v>
      </c>
      <c r="L101" t="s">
        <v>146</v>
      </c>
      <c r="N101" s="29">
        <v>1</v>
      </c>
      <c r="P101" s="29">
        <v>1</v>
      </c>
      <c r="R101" s="29">
        <v>1</v>
      </c>
      <c r="S101" t="s">
        <v>70</v>
      </c>
      <c r="T101" t="s">
        <v>72</v>
      </c>
      <c r="U101" s="32">
        <v>30</v>
      </c>
      <c r="V101">
        <v>30</v>
      </c>
      <c r="W101" t="s">
        <v>79</v>
      </c>
      <c r="X101" t="s">
        <v>240</v>
      </c>
      <c r="Y101" t="s">
        <v>520</v>
      </c>
      <c r="AA101" t="s">
        <v>75</v>
      </c>
      <c r="AC101" t="s">
        <v>83</v>
      </c>
      <c r="AE101" t="s">
        <v>75</v>
      </c>
      <c r="AF101" t="s">
        <v>84</v>
      </c>
      <c r="AG101" t="s">
        <v>84</v>
      </c>
      <c r="AH101" s="33">
        <f t="shared" si="4"/>
      </c>
      <c r="AI101" s="33">
        <f t="shared" si="5"/>
      </c>
    </row>
    <row r="102" ht="27.6" customHeight="1" spans="1:35" x14ac:dyDescent="0.25">
      <c r="A102" s="27" t="s">
        <v>521</v>
      </c>
      <c r="B102">
        <f t="shared" si="3"/>
        <v>0</v>
      </c>
      <c r="C102" t="s">
        <v>64</v>
      </c>
      <c r="D102" s="27" t="s">
        <v>102</v>
      </c>
      <c r="E102" t="s">
        <v>518</v>
      </c>
      <c r="F102" s="28">
        <v>0</v>
      </c>
      <c r="G102" s="29">
        <v>1</v>
      </c>
      <c r="H102" s="30" t="s">
        <v>522</v>
      </c>
      <c r="I102" t="s">
        <v>65</v>
      </c>
      <c r="J1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145</v>
      </c>
      <c r="L102" t="s">
        <v>146</v>
      </c>
      <c r="N102" s="29">
        <v>1</v>
      </c>
      <c r="P102" s="29">
        <v>1</v>
      </c>
      <c r="R102" s="29">
        <v>1</v>
      </c>
      <c r="S102" t="s">
        <v>70</v>
      </c>
      <c r="T102" t="s">
        <v>72</v>
      </c>
      <c r="U102" s="32">
        <v>30</v>
      </c>
      <c r="V102">
        <v>30</v>
      </c>
      <c r="W102" t="s">
        <v>79</v>
      </c>
      <c r="X102" t="s">
        <v>240</v>
      </c>
      <c r="Y102" t="s">
        <v>520</v>
      </c>
      <c r="AA102" t="s">
        <v>75</v>
      </c>
      <c r="AC102" t="s">
        <v>83</v>
      </c>
      <c r="AE102" t="s">
        <v>75</v>
      </c>
      <c r="AF102" t="s">
        <v>84</v>
      </c>
      <c r="AG102" t="s">
        <v>84</v>
      </c>
      <c r="AH102" s="33">
        <f t="shared" si="4"/>
      </c>
      <c r="AI102" s="33">
        <f t="shared" si="5"/>
      </c>
    </row>
    <row r="103" ht="27.6" customHeight="1" spans="1:35" x14ac:dyDescent="0.25">
      <c r="A103" s="27" t="s">
        <v>523</v>
      </c>
      <c r="B103">
        <f t="shared" si="3"/>
        <v>0</v>
      </c>
      <c r="C103" t="s">
        <v>64</v>
      </c>
      <c r="D103" s="27" t="s">
        <v>102</v>
      </c>
      <c r="E103" t="s">
        <v>524</v>
      </c>
      <c r="F103" s="28">
        <v>0</v>
      </c>
      <c r="G103" s="29">
        <v>1</v>
      </c>
      <c r="H103" s="30" t="s">
        <v>525</v>
      </c>
      <c r="I103" t="s">
        <v>65</v>
      </c>
      <c r="J1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145</v>
      </c>
      <c r="L103" t="s">
        <v>146</v>
      </c>
      <c r="N103" s="29">
        <v>1</v>
      </c>
      <c r="P103" s="29">
        <v>1</v>
      </c>
      <c r="R103" s="29">
        <v>1</v>
      </c>
      <c r="S103" t="s">
        <v>70</v>
      </c>
      <c r="T103" t="s">
        <v>72</v>
      </c>
      <c r="U103" s="32">
        <v>30</v>
      </c>
      <c r="V103">
        <v>30</v>
      </c>
      <c r="W103" t="s">
        <v>79</v>
      </c>
      <c r="X103" t="s">
        <v>240</v>
      </c>
      <c r="Y103" t="s">
        <v>524</v>
      </c>
      <c r="AA103" t="s">
        <v>75</v>
      </c>
      <c r="AC103" t="s">
        <v>83</v>
      </c>
      <c r="AE103" t="s">
        <v>75</v>
      </c>
      <c r="AF103" t="s">
        <v>84</v>
      </c>
      <c r="AG103" t="s">
        <v>84</v>
      </c>
      <c r="AH103" s="33">
        <f t="shared" si="4"/>
      </c>
      <c r="AI103" s="33">
        <f t="shared" si="5"/>
      </c>
    </row>
    <row r="104" ht="27.6" customHeight="1" spans="1:35" x14ac:dyDescent="0.25">
      <c r="A104" s="27" t="s">
        <v>526</v>
      </c>
      <c r="B104">
        <f t="shared" si="3"/>
        <v>0</v>
      </c>
      <c r="C104" t="s">
        <v>64</v>
      </c>
      <c r="D104" s="27" t="s">
        <v>102</v>
      </c>
      <c r="E104" t="s">
        <v>527</v>
      </c>
      <c r="F104" s="28">
        <v>0</v>
      </c>
      <c r="G104" s="29">
        <v>1</v>
      </c>
      <c r="H104" s="30" t="s">
        <v>528</v>
      </c>
      <c r="I104" t="s">
        <v>65</v>
      </c>
      <c r="J1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145</v>
      </c>
      <c r="L104" t="s">
        <v>146</v>
      </c>
      <c r="N104" s="29">
        <v>1</v>
      </c>
      <c r="P104" s="29">
        <v>1</v>
      </c>
      <c r="R104" s="29">
        <v>1</v>
      </c>
      <c r="S104" t="s">
        <v>70</v>
      </c>
      <c r="T104" t="s">
        <v>72</v>
      </c>
      <c r="U104" s="32">
        <v>30</v>
      </c>
      <c r="V104">
        <v>30</v>
      </c>
      <c r="W104" t="s">
        <v>79</v>
      </c>
      <c r="X104" t="s">
        <v>240</v>
      </c>
      <c r="Y104" t="s">
        <v>529</v>
      </c>
      <c r="AA104" t="s">
        <v>75</v>
      </c>
      <c r="AC104" t="s">
        <v>83</v>
      </c>
      <c r="AE104" t="s">
        <v>75</v>
      </c>
      <c r="AF104" t="s">
        <v>84</v>
      </c>
      <c r="AG104" t="s">
        <v>84</v>
      </c>
      <c r="AH104" s="33">
        <f t="shared" si="4"/>
      </c>
      <c r="AI104" s="33">
        <f t="shared" si="5"/>
      </c>
    </row>
    <row r="105" ht="27.6" customHeight="1" spans="1:35" x14ac:dyDescent="0.25">
      <c r="A105" s="27" t="s">
        <v>530</v>
      </c>
      <c r="B105">
        <f t="shared" si="3"/>
        <v>0</v>
      </c>
      <c r="C105" t="s">
        <v>64</v>
      </c>
      <c r="D105" s="27" t="s">
        <v>102</v>
      </c>
      <c r="E105" t="s">
        <v>531</v>
      </c>
      <c r="F105" s="28">
        <v>0</v>
      </c>
      <c r="G105" s="29">
        <v>2</v>
      </c>
      <c r="H105" s="30" t="s">
        <v>532</v>
      </c>
      <c r="I105" t="s">
        <v>65</v>
      </c>
      <c r="J1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145</v>
      </c>
      <c r="L105" t="s">
        <v>146</v>
      </c>
      <c r="N105" s="29">
        <v>2</v>
      </c>
      <c r="P105" s="29">
        <v>2</v>
      </c>
      <c r="R105" s="29">
        <v>2</v>
      </c>
      <c r="S105" t="s">
        <v>70</v>
      </c>
      <c r="T105" t="s">
        <v>72</v>
      </c>
      <c r="U105" s="32">
        <v>30</v>
      </c>
      <c r="V105">
        <v>30</v>
      </c>
      <c r="W105" t="s">
        <v>79</v>
      </c>
      <c r="X105" t="s">
        <v>240</v>
      </c>
      <c r="Y105" t="s">
        <v>533</v>
      </c>
      <c r="AA105" t="s">
        <v>75</v>
      </c>
      <c r="AC105" t="s">
        <v>83</v>
      </c>
      <c r="AE105" t="s">
        <v>75</v>
      </c>
      <c r="AF105" t="s">
        <v>84</v>
      </c>
      <c r="AG105" t="s">
        <v>84</v>
      </c>
      <c r="AH105" s="33">
        <f t="shared" si="4"/>
      </c>
      <c r="AI105" s="33">
        <f t="shared" si="5"/>
      </c>
    </row>
    <row r="106" ht="27.6" customHeight="1" spans="1:35" x14ac:dyDescent="0.25">
      <c r="A106" s="27" t="s">
        <v>534</v>
      </c>
      <c r="B106">
        <f t="shared" si="3"/>
        <v>0</v>
      </c>
      <c r="C106" t="s">
        <v>64</v>
      </c>
      <c r="D106" s="27" t="s">
        <v>102</v>
      </c>
      <c r="E106" t="s">
        <v>531</v>
      </c>
      <c r="F106" s="28">
        <v>0</v>
      </c>
      <c r="G106" s="29">
        <v>2</v>
      </c>
      <c r="H106" s="30" t="s">
        <v>535</v>
      </c>
      <c r="I106" t="s">
        <v>65</v>
      </c>
      <c r="J1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145</v>
      </c>
      <c r="L106" t="s">
        <v>146</v>
      </c>
      <c r="N106" s="29">
        <v>2</v>
      </c>
      <c r="P106" s="29">
        <v>2</v>
      </c>
      <c r="R106" s="29">
        <v>2</v>
      </c>
      <c r="S106" t="s">
        <v>70</v>
      </c>
      <c r="T106" t="s">
        <v>72</v>
      </c>
      <c r="U106" s="32">
        <v>30</v>
      </c>
      <c r="V106">
        <v>30</v>
      </c>
      <c r="W106" t="s">
        <v>79</v>
      </c>
      <c r="X106" t="s">
        <v>240</v>
      </c>
      <c r="Y106" t="s">
        <v>533</v>
      </c>
      <c r="AA106" t="s">
        <v>75</v>
      </c>
      <c r="AC106" t="s">
        <v>83</v>
      </c>
      <c r="AE106" t="s">
        <v>75</v>
      </c>
      <c r="AF106" t="s">
        <v>84</v>
      </c>
      <c r="AG106" t="s">
        <v>84</v>
      </c>
      <c r="AH106" s="33">
        <f t="shared" si="4"/>
      </c>
      <c r="AI106" s="33">
        <f t="shared" si="5"/>
      </c>
    </row>
    <row r="107" ht="27.6" customHeight="1" spans="1:35" x14ac:dyDescent="0.25">
      <c r="A107" s="27" t="s">
        <v>513</v>
      </c>
      <c r="B107">
        <f t="shared" si="3"/>
        <v>0</v>
      </c>
      <c r="C107" t="s">
        <v>64</v>
      </c>
      <c r="D107" s="27" t="s">
        <v>102</v>
      </c>
      <c r="E107" t="s">
        <v>536</v>
      </c>
      <c r="F107" s="28">
        <v>0</v>
      </c>
      <c r="G107" s="29">
        <v>1</v>
      </c>
      <c r="H107" s="30" t="s">
        <v>537</v>
      </c>
      <c r="I107" t="s">
        <v>65</v>
      </c>
      <c r="J1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145</v>
      </c>
      <c r="L107" t="s">
        <v>146</v>
      </c>
      <c r="N107" s="29">
        <v>1</v>
      </c>
      <c r="P107" s="29">
        <v>1</v>
      </c>
      <c r="R107" s="29">
        <v>1</v>
      </c>
      <c r="S107" t="s">
        <v>70</v>
      </c>
      <c r="T107" t="s">
        <v>72</v>
      </c>
      <c r="U107" s="32">
        <v>30</v>
      </c>
      <c r="V107">
        <v>30</v>
      </c>
      <c r="W107" t="s">
        <v>79</v>
      </c>
      <c r="X107" t="s">
        <v>240</v>
      </c>
      <c r="Y107" t="s">
        <v>515</v>
      </c>
      <c r="AA107" t="s">
        <v>75</v>
      </c>
      <c r="AC107" t="s">
        <v>83</v>
      </c>
      <c r="AE107" t="s">
        <v>75</v>
      </c>
      <c r="AF107" t="s">
        <v>84</v>
      </c>
      <c r="AG107" t="s">
        <v>84</v>
      </c>
      <c r="AH107" s="33">
        <f t="shared" si="4"/>
      </c>
      <c r="AI107" s="33">
        <f t="shared" si="5"/>
      </c>
    </row>
    <row r="108" ht="27.6" customHeight="1" spans="1:35" x14ac:dyDescent="0.25">
      <c r="A108" s="27" t="s">
        <v>513</v>
      </c>
      <c r="B108">
        <f t="shared" si="3"/>
        <v>0</v>
      </c>
      <c r="C108" t="s">
        <v>64</v>
      </c>
      <c r="D108" s="27" t="s">
        <v>102</v>
      </c>
      <c r="E108" t="s">
        <v>538</v>
      </c>
      <c r="F108" s="28">
        <v>0</v>
      </c>
      <c r="G108" s="29">
        <v>1</v>
      </c>
      <c r="H108" s="30" t="s">
        <v>539</v>
      </c>
      <c r="I108" t="s">
        <v>65</v>
      </c>
      <c r="J1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145</v>
      </c>
      <c r="L108" t="s">
        <v>146</v>
      </c>
      <c r="N108" s="29">
        <v>1</v>
      </c>
      <c r="P108" s="29">
        <v>1</v>
      </c>
      <c r="R108" s="29">
        <v>1</v>
      </c>
      <c r="S108" t="s">
        <v>70</v>
      </c>
      <c r="T108" t="s">
        <v>72</v>
      </c>
      <c r="U108" s="32">
        <v>30</v>
      </c>
      <c r="V108">
        <v>30</v>
      </c>
      <c r="W108" t="s">
        <v>79</v>
      </c>
      <c r="X108" t="s">
        <v>240</v>
      </c>
      <c r="Y108" t="s">
        <v>538</v>
      </c>
      <c r="AA108" t="s">
        <v>75</v>
      </c>
      <c r="AC108" t="s">
        <v>83</v>
      </c>
      <c r="AE108" t="s">
        <v>75</v>
      </c>
      <c r="AF108" t="s">
        <v>84</v>
      </c>
      <c r="AG108" t="s">
        <v>84</v>
      </c>
      <c r="AH108" s="33">
        <f t="shared" si="4"/>
      </c>
      <c r="AI108" s="33">
        <f t="shared" si="5"/>
      </c>
    </row>
    <row r="109" ht="27.6" customHeight="1" spans="1:35" x14ac:dyDescent="0.25">
      <c r="A109" s="27" t="s">
        <v>540</v>
      </c>
      <c r="B109">
        <f t="shared" si="3"/>
        <v>0</v>
      </c>
      <c r="C109" t="s">
        <v>64</v>
      </c>
      <c r="D109" s="27" t="s">
        <v>102</v>
      </c>
      <c r="E109" t="s">
        <v>541</v>
      </c>
      <c r="F109" s="28">
        <v>0</v>
      </c>
      <c r="G109" s="29">
        <v>1</v>
      </c>
      <c r="H109" s="30" t="s">
        <v>542</v>
      </c>
      <c r="I109" t="s">
        <v>65</v>
      </c>
      <c r="J1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145</v>
      </c>
      <c r="L109" t="s">
        <v>146</v>
      </c>
      <c r="N109" s="29">
        <v>1</v>
      </c>
      <c r="P109" s="29">
        <v>1</v>
      </c>
      <c r="R109" s="29">
        <v>1</v>
      </c>
      <c r="S109" t="s">
        <v>70</v>
      </c>
      <c r="T109" t="s">
        <v>72</v>
      </c>
      <c r="U109" s="32">
        <v>30</v>
      </c>
      <c r="V109">
        <v>30</v>
      </c>
      <c r="W109" t="s">
        <v>79</v>
      </c>
      <c r="X109" t="s">
        <v>240</v>
      </c>
      <c r="Y109" t="s">
        <v>541</v>
      </c>
      <c r="AA109" t="s">
        <v>75</v>
      </c>
      <c r="AC109" t="s">
        <v>83</v>
      </c>
      <c r="AE109" t="s">
        <v>75</v>
      </c>
      <c r="AF109" t="s">
        <v>84</v>
      </c>
      <c r="AG109" t="s">
        <v>84</v>
      </c>
      <c r="AH109" s="33">
        <f t="shared" si="4"/>
      </c>
      <c r="AI109" s="33">
        <f t="shared" si="5"/>
      </c>
    </row>
    <row r="110" ht="27.6" customHeight="1" spans="1:35" x14ac:dyDescent="0.25">
      <c r="A110" s="27" t="s">
        <v>543</v>
      </c>
      <c r="B110">
        <f t="shared" si="3"/>
        <v>0</v>
      </c>
      <c r="C110" t="s">
        <v>64</v>
      </c>
      <c r="D110" s="27" t="s">
        <v>102</v>
      </c>
      <c r="E110" t="s">
        <v>544</v>
      </c>
      <c r="F110" s="28">
        <v>2</v>
      </c>
      <c r="G110" s="29">
        <v>2</v>
      </c>
      <c r="H110" s="30" t="s">
        <v>545</v>
      </c>
      <c r="I110" t="s">
        <v>65</v>
      </c>
      <c r="J1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145</v>
      </c>
      <c r="L110" t="s">
        <v>146</v>
      </c>
      <c r="N110" s="29">
        <v>2</v>
      </c>
      <c r="P110" s="29">
        <v>2</v>
      </c>
      <c r="R110" s="29">
        <v>2</v>
      </c>
      <c r="S110" t="s">
        <v>70</v>
      </c>
      <c r="T110" t="s">
        <v>72</v>
      </c>
      <c r="U110" s="32">
        <v>30</v>
      </c>
      <c r="V110">
        <v>30</v>
      </c>
      <c r="W110" t="s">
        <v>79</v>
      </c>
      <c r="X110" t="s">
        <v>240</v>
      </c>
      <c r="Y110" t="s">
        <v>544</v>
      </c>
      <c r="AA110" t="s">
        <v>75</v>
      </c>
      <c r="AC110" t="s">
        <v>83</v>
      </c>
      <c r="AE110" t="s">
        <v>75</v>
      </c>
      <c r="AF110" t="s">
        <v>84</v>
      </c>
      <c r="AG110" t="s">
        <v>84</v>
      </c>
      <c r="AH110" s="33">
        <f t="shared" si="4"/>
      </c>
      <c r="AI110" s="33">
        <f t="shared" si="5"/>
      </c>
    </row>
    <row r="111" ht="27.6" customHeight="1" spans="1:35" x14ac:dyDescent="0.25">
      <c r="A111" s="27" t="s">
        <v>546</v>
      </c>
      <c r="B111">
        <f t="shared" si="3"/>
        <v>0</v>
      </c>
      <c r="C111" t="s">
        <v>64</v>
      </c>
      <c r="D111" s="27" t="s">
        <v>102</v>
      </c>
      <c r="E111" t="s">
        <v>547</v>
      </c>
      <c r="F111" s="28">
        <v>0</v>
      </c>
      <c r="G111" s="29">
        <v>1</v>
      </c>
      <c r="H111" s="30" t="s">
        <v>548</v>
      </c>
      <c r="I111" t="s">
        <v>65</v>
      </c>
      <c r="J1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145</v>
      </c>
      <c r="L111" t="s">
        <v>146</v>
      </c>
      <c r="N111" s="29">
        <v>1</v>
      </c>
      <c r="P111" s="29">
        <v>1</v>
      </c>
      <c r="R111" s="29">
        <v>1</v>
      </c>
      <c r="S111" t="s">
        <v>70</v>
      </c>
      <c r="T111" t="s">
        <v>72</v>
      </c>
      <c r="U111" s="32">
        <v>30</v>
      </c>
      <c r="V111">
        <v>30</v>
      </c>
      <c r="W111" t="s">
        <v>79</v>
      </c>
      <c r="X111" t="s">
        <v>240</v>
      </c>
      <c r="Y111" t="s">
        <v>547</v>
      </c>
      <c r="AA111" t="s">
        <v>75</v>
      </c>
      <c r="AC111" t="s">
        <v>83</v>
      </c>
      <c r="AE111" t="s">
        <v>75</v>
      </c>
      <c r="AF111" t="s">
        <v>84</v>
      </c>
      <c r="AG111" t="s">
        <v>84</v>
      </c>
      <c r="AH111" s="33">
        <f t="shared" si="4"/>
      </c>
      <c r="AI111" s="33">
        <f t="shared" si="5"/>
      </c>
    </row>
    <row r="112" ht="27.6" customHeight="1" spans="1:35" x14ac:dyDescent="0.25">
      <c r="A112" s="27" t="s">
        <v>549</v>
      </c>
      <c r="B112">
        <f t="shared" si="3"/>
        <v>0</v>
      </c>
      <c r="C112" t="s">
        <v>64</v>
      </c>
      <c r="D112" s="27" t="s">
        <v>102</v>
      </c>
      <c r="E112" t="s">
        <v>550</v>
      </c>
      <c r="F112" s="28">
        <v>0</v>
      </c>
      <c r="G112" s="29">
        <v>1</v>
      </c>
      <c r="H112" s="30" t="s">
        <v>551</v>
      </c>
      <c r="I112" t="s">
        <v>65</v>
      </c>
      <c r="J1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145</v>
      </c>
      <c r="L112" t="s">
        <v>146</v>
      </c>
      <c r="N112" s="29">
        <v>1</v>
      </c>
      <c r="P112" s="29">
        <v>1</v>
      </c>
      <c r="R112" s="29">
        <v>1</v>
      </c>
      <c r="S112" t="s">
        <v>70</v>
      </c>
      <c r="T112" t="s">
        <v>72</v>
      </c>
      <c r="U112" s="32">
        <v>30</v>
      </c>
      <c r="V112">
        <v>30</v>
      </c>
      <c r="W112" t="s">
        <v>79</v>
      </c>
      <c r="X112" t="s">
        <v>240</v>
      </c>
      <c r="Y112" t="s">
        <v>550</v>
      </c>
      <c r="AA112" t="s">
        <v>75</v>
      </c>
      <c r="AC112" t="s">
        <v>83</v>
      </c>
      <c r="AE112" t="s">
        <v>75</v>
      </c>
      <c r="AF112" t="s">
        <v>84</v>
      </c>
      <c r="AG112" t="s">
        <v>84</v>
      </c>
      <c r="AH112" s="33">
        <f t="shared" si="4"/>
      </c>
      <c r="AI112" s="33">
        <f t="shared" si="5"/>
      </c>
    </row>
    <row r="113" ht="27.6" customHeight="1" spans="1:35" x14ac:dyDescent="0.25">
      <c r="A113" s="27" t="s">
        <v>552</v>
      </c>
      <c r="B113">
        <f t="shared" si="3"/>
        <v>0</v>
      </c>
      <c r="C113" t="s">
        <v>64</v>
      </c>
      <c r="D113" s="27" t="s">
        <v>102</v>
      </c>
      <c r="E113" t="s">
        <v>553</v>
      </c>
      <c r="F113" s="28">
        <v>0</v>
      </c>
      <c r="G113" s="29">
        <v>1</v>
      </c>
      <c r="H113" s="30" t="s">
        <v>554</v>
      </c>
      <c r="I113" t="s">
        <v>65</v>
      </c>
      <c r="J1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145</v>
      </c>
      <c r="L113" t="s">
        <v>146</v>
      </c>
      <c r="N113" s="29">
        <v>1</v>
      </c>
      <c r="P113" s="29">
        <v>1</v>
      </c>
      <c r="R113" s="29">
        <v>1</v>
      </c>
      <c r="S113" t="s">
        <v>70</v>
      </c>
      <c r="T113" t="s">
        <v>72</v>
      </c>
      <c r="U113" s="32">
        <v>30</v>
      </c>
      <c r="V113">
        <v>30</v>
      </c>
      <c r="W113" t="s">
        <v>79</v>
      </c>
      <c r="X113" t="s">
        <v>240</v>
      </c>
      <c r="Y113" t="s">
        <v>553</v>
      </c>
      <c r="AA113" t="s">
        <v>75</v>
      </c>
      <c r="AC113" t="s">
        <v>83</v>
      </c>
      <c r="AE113" t="s">
        <v>75</v>
      </c>
      <c r="AF113" t="s">
        <v>84</v>
      </c>
      <c r="AG113" t="s">
        <v>84</v>
      </c>
      <c r="AH113" s="33">
        <f t="shared" si="4"/>
      </c>
      <c r="AI113" s="33">
        <f t="shared" si="5"/>
      </c>
    </row>
    <row r="114" ht="27.6" customHeight="1" spans="1:35" x14ac:dyDescent="0.25">
      <c r="A114" s="27" t="s">
        <v>555</v>
      </c>
      <c r="B114">
        <f t="shared" si="3"/>
        <v>0</v>
      </c>
      <c r="C114" t="s">
        <v>64</v>
      </c>
      <c r="D114" s="27" t="s">
        <v>556</v>
      </c>
      <c r="E114" t="s">
        <v>557</v>
      </c>
      <c r="F114" s="28">
        <v>2</v>
      </c>
      <c r="G114" s="29">
        <v>2</v>
      </c>
      <c r="H114" s="30" t="s">
        <v>558</v>
      </c>
      <c r="I114" t="s">
        <v>65</v>
      </c>
      <c r="J1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145</v>
      </c>
      <c r="L114" t="s">
        <v>146</v>
      </c>
      <c r="N114" s="29">
        <v>2</v>
      </c>
      <c r="P114" s="29">
        <v>2</v>
      </c>
      <c r="R114" s="29">
        <v>2</v>
      </c>
      <c r="S114" t="s">
        <v>70</v>
      </c>
      <c r="T114" t="s">
        <v>72</v>
      </c>
      <c r="U114" s="32">
        <v>30</v>
      </c>
      <c r="V114">
        <v>30</v>
      </c>
      <c r="W114" t="s">
        <v>79</v>
      </c>
      <c r="X114" t="s">
        <v>240</v>
      </c>
      <c r="Y114" t="s">
        <v>559</v>
      </c>
      <c r="AA114" t="s">
        <v>75</v>
      </c>
      <c r="AC114" t="s">
        <v>83</v>
      </c>
      <c r="AE114" t="s">
        <v>75</v>
      </c>
      <c r="AF114" t="s">
        <v>84</v>
      </c>
      <c r="AG114" t="s">
        <v>84</v>
      </c>
      <c r="AH114" s="33">
        <f t="shared" si="4"/>
      </c>
      <c r="AI114" s="33">
        <f t="shared" si="5"/>
      </c>
    </row>
    <row r="115" ht="27.6" customHeight="1" spans="1:35" x14ac:dyDescent="0.25">
      <c r="A115" s="27" t="s">
        <v>560</v>
      </c>
      <c r="B115">
        <f t="shared" si="3"/>
        <v>0</v>
      </c>
      <c r="C115" t="s">
        <v>64</v>
      </c>
      <c r="D115" s="27" t="s">
        <v>561</v>
      </c>
      <c r="E115" t="s">
        <v>562</v>
      </c>
      <c r="F115" s="28">
        <v>2</v>
      </c>
      <c r="G115" s="29">
        <v>2</v>
      </c>
      <c r="H115" s="30" t="s">
        <v>563</v>
      </c>
      <c r="I115" t="s">
        <v>65</v>
      </c>
      <c r="J1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145</v>
      </c>
      <c r="L115" t="s">
        <v>146</v>
      </c>
      <c r="N115" s="29">
        <v>2</v>
      </c>
      <c r="P115" s="29">
        <v>2</v>
      </c>
      <c r="R115" s="29">
        <v>2</v>
      </c>
      <c r="S115" t="s">
        <v>70</v>
      </c>
      <c r="T115" t="s">
        <v>72</v>
      </c>
      <c r="U115" s="32">
        <v>30</v>
      </c>
      <c r="V115">
        <v>30</v>
      </c>
      <c r="W115" t="s">
        <v>79</v>
      </c>
      <c r="X115" t="s">
        <v>240</v>
      </c>
      <c r="Y115" t="s">
        <v>564</v>
      </c>
      <c r="AA115" t="s">
        <v>75</v>
      </c>
      <c r="AC115" t="s">
        <v>83</v>
      </c>
      <c r="AE115" t="s">
        <v>75</v>
      </c>
      <c r="AF115" t="s">
        <v>84</v>
      </c>
      <c r="AG115" t="s">
        <v>84</v>
      </c>
      <c r="AH115" s="33">
        <f t="shared" si="4"/>
      </c>
      <c r="AI115" s="33">
        <f t="shared" si="5"/>
      </c>
    </row>
    <row r="116" ht="27.6" customHeight="1" spans="1:35" x14ac:dyDescent="0.25">
      <c r="A116" s="27" t="s">
        <v>565</v>
      </c>
      <c r="B116">
        <f t="shared" si="3"/>
        <v>0</v>
      </c>
      <c r="C116" t="s">
        <v>64</v>
      </c>
      <c r="D116" s="27" t="s">
        <v>561</v>
      </c>
      <c r="E116" t="s">
        <v>562</v>
      </c>
      <c r="F116" s="28">
        <v>2</v>
      </c>
      <c r="G116" s="29">
        <v>2</v>
      </c>
      <c r="H116" s="30" t="s">
        <v>566</v>
      </c>
      <c r="I116" t="s">
        <v>65</v>
      </c>
      <c r="J1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145</v>
      </c>
      <c r="L116" t="s">
        <v>146</v>
      </c>
      <c r="N116" s="29">
        <v>2</v>
      </c>
      <c r="P116" s="29">
        <v>2</v>
      </c>
      <c r="R116" s="29">
        <v>2</v>
      </c>
      <c r="S116" t="s">
        <v>70</v>
      </c>
      <c r="T116" t="s">
        <v>72</v>
      </c>
      <c r="U116" s="32">
        <v>30</v>
      </c>
      <c r="V116">
        <v>30</v>
      </c>
      <c r="W116" t="s">
        <v>79</v>
      </c>
      <c r="X116" t="s">
        <v>240</v>
      </c>
      <c r="Y116" t="s">
        <v>564</v>
      </c>
      <c r="AA116" t="s">
        <v>75</v>
      </c>
      <c r="AC116" t="s">
        <v>83</v>
      </c>
      <c r="AE116" t="s">
        <v>75</v>
      </c>
      <c r="AF116" t="s">
        <v>84</v>
      </c>
      <c r="AG116" t="s">
        <v>84</v>
      </c>
      <c r="AH116" s="33">
        <f t="shared" si="4"/>
      </c>
      <c r="AI116" s="33">
        <f t="shared" si="5"/>
      </c>
    </row>
    <row r="117" ht="27.6" customHeight="1" spans="1:35" x14ac:dyDescent="0.25">
      <c r="A117" s="27" t="s">
        <v>567</v>
      </c>
      <c r="B117">
        <f t="shared" si="3"/>
        <v>0</v>
      </c>
      <c r="C117" t="s">
        <v>64</v>
      </c>
      <c r="D117" s="27" t="s">
        <v>561</v>
      </c>
      <c r="E117" t="s">
        <v>562</v>
      </c>
      <c r="F117" s="28">
        <v>2</v>
      </c>
      <c r="G117" s="29">
        <v>2</v>
      </c>
      <c r="H117" s="30" t="s">
        <v>568</v>
      </c>
      <c r="I117" t="s">
        <v>65</v>
      </c>
      <c r="J1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145</v>
      </c>
      <c r="L117" t="s">
        <v>146</v>
      </c>
      <c r="N117" s="29">
        <v>2</v>
      </c>
      <c r="P117" s="29">
        <v>2</v>
      </c>
      <c r="R117" s="29">
        <v>2</v>
      </c>
      <c r="S117" t="s">
        <v>70</v>
      </c>
      <c r="T117" t="s">
        <v>72</v>
      </c>
      <c r="U117" s="32">
        <v>30</v>
      </c>
      <c r="V117">
        <v>30</v>
      </c>
      <c r="W117" t="s">
        <v>79</v>
      </c>
      <c r="X117" t="s">
        <v>240</v>
      </c>
      <c r="Y117" t="s">
        <v>564</v>
      </c>
      <c r="AA117" t="s">
        <v>75</v>
      </c>
      <c r="AC117" t="s">
        <v>83</v>
      </c>
      <c r="AE117" t="s">
        <v>75</v>
      </c>
      <c r="AF117" t="s">
        <v>84</v>
      </c>
      <c r="AG117" t="s">
        <v>84</v>
      </c>
      <c r="AH117" s="33">
        <f t="shared" si="4"/>
      </c>
      <c r="AI117" s="33">
        <f t="shared" si="5"/>
      </c>
    </row>
    <row r="118" ht="27.6" customHeight="1" spans="1:35" x14ac:dyDescent="0.25">
      <c r="A118" s="27" t="s">
        <v>569</v>
      </c>
      <c r="B118">
        <f t="shared" si="3"/>
        <v>0</v>
      </c>
      <c r="C118" t="s">
        <v>64</v>
      </c>
      <c r="D118" s="27" t="s">
        <v>102</v>
      </c>
      <c r="E118" t="s">
        <v>570</v>
      </c>
      <c r="F118" s="28">
        <v>0</v>
      </c>
      <c r="G118" s="29">
        <v>1</v>
      </c>
      <c r="H118" s="30" t="s">
        <v>571</v>
      </c>
      <c r="I118" t="s">
        <v>65</v>
      </c>
      <c r="J1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145</v>
      </c>
      <c r="L118" t="s">
        <v>146</v>
      </c>
      <c r="N118" s="29">
        <v>1</v>
      </c>
      <c r="P118" s="29">
        <v>1</v>
      </c>
      <c r="R118" s="29">
        <v>1</v>
      </c>
      <c r="S118" t="s">
        <v>70</v>
      </c>
      <c r="T118" t="s">
        <v>72</v>
      </c>
      <c r="U118" s="32">
        <v>30</v>
      </c>
      <c r="V118">
        <v>30</v>
      </c>
      <c r="W118" t="s">
        <v>79</v>
      </c>
      <c r="X118" t="s">
        <v>572</v>
      </c>
      <c r="Y118" t="s">
        <v>570</v>
      </c>
      <c r="AA118" t="s">
        <v>75</v>
      </c>
      <c r="AC118" t="s">
        <v>83</v>
      </c>
      <c r="AE118" t="s">
        <v>75</v>
      </c>
      <c r="AF118" t="s">
        <v>84</v>
      </c>
      <c r="AG118" t="s">
        <v>84</v>
      </c>
      <c r="AH118" s="33">
        <f t="shared" si="4"/>
      </c>
      <c r="AI118" s="33">
        <f t="shared" si="5"/>
      </c>
    </row>
    <row r="119" ht="27.6" customHeight="1" spans="1:35" x14ac:dyDescent="0.25">
      <c r="A119" s="27" t="s">
        <v>573</v>
      </c>
      <c r="B119">
        <f t="shared" si="3"/>
        <v>0</v>
      </c>
      <c r="C119" t="s">
        <v>64</v>
      </c>
      <c r="D119" s="27" t="s">
        <v>574</v>
      </c>
      <c r="E119" t="s">
        <v>575</v>
      </c>
      <c r="F119" s="28">
        <v>0</v>
      </c>
      <c r="G119" s="29">
        <v>1</v>
      </c>
      <c r="H119" s="30" t="s">
        <v>576</v>
      </c>
      <c r="I119" t="s">
        <v>65</v>
      </c>
      <c r="J1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145</v>
      </c>
      <c r="L119" t="s">
        <v>146</v>
      </c>
      <c r="N119" s="29">
        <v>1</v>
      </c>
      <c r="P119" s="29">
        <v>1</v>
      </c>
      <c r="R119" s="29">
        <v>1</v>
      </c>
      <c r="S119" t="s">
        <v>70</v>
      </c>
      <c r="T119" t="s">
        <v>72</v>
      </c>
      <c r="U119" s="32">
        <v>30</v>
      </c>
      <c r="V119">
        <v>30</v>
      </c>
      <c r="W119" t="s">
        <v>79</v>
      </c>
      <c r="X119" t="s">
        <v>171</v>
      </c>
      <c r="Y119" t="s">
        <v>577</v>
      </c>
      <c r="AA119" t="s">
        <v>75</v>
      </c>
      <c r="AC119" t="s">
        <v>83</v>
      </c>
      <c r="AE119" t="s">
        <v>75</v>
      </c>
      <c r="AF119" t="s">
        <v>84</v>
      </c>
      <c r="AG119" t="s">
        <v>84</v>
      </c>
      <c r="AH119" s="33">
        <f t="shared" si="4"/>
      </c>
      <c r="AI119" s="33">
        <f t="shared" si="5"/>
      </c>
    </row>
    <row r="120" ht="27.6" customHeight="1" spans="1:35" x14ac:dyDescent="0.25">
      <c r="A120" s="27" t="s">
        <v>578</v>
      </c>
      <c r="B120">
        <f t="shared" si="3"/>
        <v>0</v>
      </c>
      <c r="C120" t="s">
        <v>64</v>
      </c>
      <c r="D120" s="27" t="s">
        <v>102</v>
      </c>
      <c r="E120" t="s">
        <v>579</v>
      </c>
      <c r="F120" s="28">
        <v>0</v>
      </c>
      <c r="G120" s="29">
        <v>1</v>
      </c>
      <c r="H120" s="30" t="s">
        <v>580</v>
      </c>
      <c r="I120" t="s">
        <v>65</v>
      </c>
      <c r="J1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145</v>
      </c>
      <c r="L120" t="s">
        <v>146</v>
      </c>
      <c r="N120" s="29">
        <v>1</v>
      </c>
      <c r="P120" s="29">
        <v>1</v>
      </c>
      <c r="R120" s="29">
        <v>1</v>
      </c>
      <c r="S120" t="s">
        <v>70</v>
      </c>
      <c r="T120" t="s">
        <v>72</v>
      </c>
      <c r="U120" s="32">
        <v>30</v>
      </c>
      <c r="V120">
        <v>30</v>
      </c>
      <c r="W120" t="s">
        <v>79</v>
      </c>
      <c r="X120" t="s">
        <v>581</v>
      </c>
      <c r="Y120" t="s">
        <v>582</v>
      </c>
      <c r="AA120" t="s">
        <v>75</v>
      </c>
      <c r="AC120" t="s">
        <v>83</v>
      </c>
      <c r="AE120" t="s">
        <v>75</v>
      </c>
      <c r="AF120" t="s">
        <v>84</v>
      </c>
      <c r="AG120" t="s">
        <v>84</v>
      </c>
      <c r="AH120" s="33">
        <f t="shared" si="4"/>
      </c>
      <c r="AI120" s="33">
        <f t="shared" si="5"/>
      </c>
    </row>
    <row r="121" ht="27.6" customHeight="1" spans="1:35" x14ac:dyDescent="0.25">
      <c r="A121" s="27" t="s">
        <v>578</v>
      </c>
      <c r="B121">
        <f t="shared" si="3"/>
        <v>0</v>
      </c>
      <c r="C121" t="s">
        <v>64</v>
      </c>
      <c r="D121" s="27" t="s">
        <v>583</v>
      </c>
      <c r="E121" t="s">
        <v>584</v>
      </c>
      <c r="F121" s="28">
        <v>0</v>
      </c>
      <c r="G121" s="29">
        <v>1</v>
      </c>
      <c r="H121" s="30" t="s">
        <v>585</v>
      </c>
      <c r="I121" t="s">
        <v>65</v>
      </c>
      <c r="J1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145</v>
      </c>
      <c r="L121" t="s">
        <v>146</v>
      </c>
      <c r="N121" s="29">
        <v>1</v>
      </c>
      <c r="P121" s="29">
        <v>1</v>
      </c>
      <c r="R121" s="29">
        <v>1</v>
      </c>
      <c r="S121" t="s">
        <v>70</v>
      </c>
      <c r="T121" t="s">
        <v>72</v>
      </c>
      <c r="U121" s="32">
        <v>30</v>
      </c>
      <c r="V121">
        <v>30</v>
      </c>
      <c r="W121" t="s">
        <v>79</v>
      </c>
      <c r="X121" t="s">
        <v>581</v>
      </c>
      <c r="Y121" t="s">
        <v>586</v>
      </c>
      <c r="AA121" t="s">
        <v>75</v>
      </c>
      <c r="AC121" t="s">
        <v>83</v>
      </c>
      <c r="AE121" t="s">
        <v>75</v>
      </c>
      <c r="AF121" t="s">
        <v>84</v>
      </c>
      <c r="AG121" t="s">
        <v>84</v>
      </c>
      <c r="AH121" s="33">
        <f t="shared" si="4"/>
      </c>
      <c r="AI121" s="33">
        <f t="shared" si="5"/>
      </c>
    </row>
    <row r="122" ht="27.6" customHeight="1" spans="1:35" x14ac:dyDescent="0.25">
      <c r="A122" s="27" t="s">
        <v>587</v>
      </c>
      <c r="B122">
        <f t="shared" si="3"/>
        <v>0</v>
      </c>
      <c r="C122" t="s">
        <v>64</v>
      </c>
      <c r="D122" s="27" t="s">
        <v>588</v>
      </c>
      <c r="E122" t="s">
        <v>589</v>
      </c>
      <c r="F122" s="28">
        <v>0</v>
      </c>
      <c r="G122" s="29">
        <v>1</v>
      </c>
      <c r="H122" s="30" t="s">
        <v>590</v>
      </c>
      <c r="I122" t="s">
        <v>65</v>
      </c>
      <c r="J1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145</v>
      </c>
      <c r="L122" t="s">
        <v>146</v>
      </c>
      <c r="N122" s="29">
        <v>1</v>
      </c>
      <c r="P122" s="29">
        <v>1</v>
      </c>
      <c r="R122" s="29">
        <v>1</v>
      </c>
      <c r="S122" t="s">
        <v>70</v>
      </c>
      <c r="T122" t="s">
        <v>72</v>
      </c>
      <c r="U122" s="32">
        <v>30</v>
      </c>
      <c r="V122">
        <v>30</v>
      </c>
      <c r="W122" t="s">
        <v>79</v>
      </c>
      <c r="X122" t="s">
        <v>591</v>
      </c>
      <c r="Y122" t="s">
        <v>592</v>
      </c>
      <c r="AA122" t="s">
        <v>75</v>
      </c>
      <c r="AC122" t="s">
        <v>83</v>
      </c>
      <c r="AE122" t="s">
        <v>75</v>
      </c>
      <c r="AF122" t="s">
        <v>84</v>
      </c>
      <c r="AG122" t="s">
        <v>84</v>
      </c>
      <c r="AH122" s="33">
        <f t="shared" si="4"/>
      </c>
      <c r="AI122" s="33">
        <f t="shared" si="5"/>
      </c>
    </row>
    <row r="123" ht="27.6" customHeight="1" spans="1:35" x14ac:dyDescent="0.25">
      <c r="A123" s="27" t="s">
        <v>593</v>
      </c>
      <c r="B123">
        <f t="shared" si="3"/>
        <v>0</v>
      </c>
      <c r="C123" t="s">
        <v>64</v>
      </c>
      <c r="D123" s="27" t="s">
        <v>588</v>
      </c>
      <c r="E123" t="s">
        <v>589</v>
      </c>
      <c r="F123" s="28">
        <v>0</v>
      </c>
      <c r="G123" s="29">
        <v>1</v>
      </c>
      <c r="H123" s="30" t="s">
        <v>594</v>
      </c>
      <c r="I123" t="s">
        <v>65</v>
      </c>
      <c r="J1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145</v>
      </c>
      <c r="L123" t="s">
        <v>146</v>
      </c>
      <c r="N123" s="29">
        <v>1</v>
      </c>
      <c r="P123" s="29">
        <v>1</v>
      </c>
      <c r="R123" s="29">
        <v>1</v>
      </c>
      <c r="S123" t="s">
        <v>70</v>
      </c>
      <c r="T123" t="s">
        <v>72</v>
      </c>
      <c r="U123" s="32">
        <v>30</v>
      </c>
      <c r="V123">
        <v>30</v>
      </c>
      <c r="W123" t="s">
        <v>79</v>
      </c>
      <c r="X123" t="s">
        <v>591</v>
      </c>
      <c r="Y123" t="s">
        <v>592</v>
      </c>
      <c r="AA123" t="s">
        <v>75</v>
      </c>
      <c r="AC123" t="s">
        <v>83</v>
      </c>
      <c r="AE123" t="s">
        <v>75</v>
      </c>
      <c r="AF123" t="s">
        <v>84</v>
      </c>
      <c r="AG123" t="s">
        <v>84</v>
      </c>
      <c r="AH123" s="33">
        <f t="shared" si="4"/>
      </c>
      <c r="AI123" s="33">
        <f t="shared" si="5"/>
      </c>
    </row>
    <row r="124" ht="27.6" customHeight="1" spans="1:35" x14ac:dyDescent="0.25">
      <c r="A124" s="27" t="s">
        <v>352</v>
      </c>
      <c r="B124">
        <f t="shared" si="3"/>
        <v>0</v>
      </c>
      <c r="C124" t="s">
        <v>64</v>
      </c>
      <c r="D124" s="27" t="s">
        <v>102</v>
      </c>
      <c r="E124" t="s">
        <v>356</v>
      </c>
      <c r="F124" s="28">
        <v>0</v>
      </c>
      <c r="G124" s="29">
        <v>1</v>
      </c>
      <c r="H124" s="30" t="s">
        <v>595</v>
      </c>
      <c r="I124" t="s">
        <v>65</v>
      </c>
      <c r="J1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145</v>
      </c>
      <c r="L124" t="s">
        <v>146</v>
      </c>
      <c r="N124" s="29">
        <v>1</v>
      </c>
      <c r="P124" s="29">
        <v>1</v>
      </c>
      <c r="R124" s="29">
        <v>1</v>
      </c>
      <c r="S124" t="s">
        <v>70</v>
      </c>
      <c r="T124" t="s">
        <v>72</v>
      </c>
      <c r="U124" s="32">
        <v>30</v>
      </c>
      <c r="V124">
        <v>30</v>
      </c>
      <c r="W124" t="s">
        <v>79</v>
      </c>
      <c r="X124" t="s">
        <v>166</v>
      </c>
      <c r="Y124" t="s">
        <v>354</v>
      </c>
      <c r="AA124" t="s">
        <v>75</v>
      </c>
      <c r="AC124" t="s">
        <v>83</v>
      </c>
      <c r="AE124" t="s">
        <v>75</v>
      </c>
      <c r="AF124" t="s">
        <v>84</v>
      </c>
      <c r="AG124" t="s">
        <v>84</v>
      </c>
      <c r="AH124" s="33">
        <f t="shared" si="4"/>
      </c>
      <c r="AI124" s="33">
        <f t="shared" si="5"/>
      </c>
    </row>
    <row r="125" ht="27.6" customHeight="1" spans="1:35" x14ac:dyDescent="0.25">
      <c r="A125" s="27" t="s">
        <v>596</v>
      </c>
      <c r="B125">
        <f t="shared" si="3"/>
        <v>0</v>
      </c>
      <c r="C125" t="s">
        <v>64</v>
      </c>
      <c r="D125" s="27" t="s">
        <v>102</v>
      </c>
      <c r="E125" t="s">
        <v>597</v>
      </c>
      <c r="F125" s="28">
        <v>0</v>
      </c>
      <c r="G125" s="29">
        <v>1</v>
      </c>
      <c r="H125" s="30" t="s">
        <v>598</v>
      </c>
      <c r="I125" t="s">
        <v>65</v>
      </c>
      <c r="J1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145</v>
      </c>
      <c r="L125" t="s">
        <v>146</v>
      </c>
      <c r="N125" s="29">
        <v>1</v>
      </c>
      <c r="P125" s="29">
        <v>1</v>
      </c>
      <c r="R125" s="29">
        <v>1</v>
      </c>
      <c r="S125" t="s">
        <v>70</v>
      </c>
      <c r="T125" t="s">
        <v>72</v>
      </c>
      <c r="U125" s="32">
        <v>30</v>
      </c>
      <c r="V125">
        <v>30</v>
      </c>
      <c r="W125" t="s">
        <v>79</v>
      </c>
      <c r="X125" t="s">
        <v>599</v>
      </c>
      <c r="Y125" t="s">
        <v>600</v>
      </c>
      <c r="AA125" t="s">
        <v>75</v>
      </c>
      <c r="AC125" t="s">
        <v>83</v>
      </c>
      <c r="AE125" t="s">
        <v>75</v>
      </c>
      <c r="AF125" t="s">
        <v>84</v>
      </c>
      <c r="AG125" t="s">
        <v>84</v>
      </c>
      <c r="AH125" s="33">
        <f t="shared" si="4"/>
      </c>
      <c r="AI125" s="33">
        <f t="shared" si="5"/>
      </c>
    </row>
    <row r="126" ht="27.6" customHeight="1" spans="1:35" x14ac:dyDescent="0.25">
      <c r="A126" s="27" t="s">
        <v>601</v>
      </c>
      <c r="B126">
        <f t="shared" si="3"/>
        <v>0</v>
      </c>
      <c r="C126" t="s">
        <v>64</v>
      </c>
      <c r="D126" s="27" t="s">
        <v>102</v>
      </c>
      <c r="E126" t="s">
        <v>602</v>
      </c>
      <c r="F126" s="28">
        <v>0</v>
      </c>
      <c r="G126" s="29">
        <v>1</v>
      </c>
      <c r="H126" s="30" t="s">
        <v>603</v>
      </c>
      <c r="I126" t="s">
        <v>65</v>
      </c>
      <c r="J1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145</v>
      </c>
      <c r="L126" t="s">
        <v>146</v>
      </c>
      <c r="N126" s="29">
        <v>1</v>
      </c>
      <c r="P126" s="29">
        <v>1</v>
      </c>
      <c r="R126" s="29">
        <v>1</v>
      </c>
      <c r="S126" t="s">
        <v>70</v>
      </c>
      <c r="T126" t="s">
        <v>72</v>
      </c>
      <c r="U126" s="32">
        <v>30</v>
      </c>
      <c r="V126">
        <v>30</v>
      </c>
      <c r="W126" t="s">
        <v>79</v>
      </c>
      <c r="X126" t="s">
        <v>171</v>
      </c>
      <c r="Y126" t="s">
        <v>604</v>
      </c>
      <c r="AA126" t="s">
        <v>75</v>
      </c>
      <c r="AC126" t="s">
        <v>83</v>
      </c>
      <c r="AE126" t="s">
        <v>75</v>
      </c>
      <c r="AF126" t="s">
        <v>84</v>
      </c>
      <c r="AG126" t="s">
        <v>84</v>
      </c>
      <c r="AH126" s="33">
        <f t="shared" si="4"/>
      </c>
      <c r="AI126" s="33">
        <f t="shared" si="5"/>
      </c>
    </row>
    <row r="127" ht="27.6" customHeight="1" spans="1:35" x14ac:dyDescent="0.25">
      <c r="A127" s="27" t="s">
        <v>605</v>
      </c>
      <c r="B127">
        <f t="shared" si="3"/>
        <v>0</v>
      </c>
      <c r="C127" t="s">
        <v>64</v>
      </c>
      <c r="D127" s="27" t="s">
        <v>102</v>
      </c>
      <c r="E127" t="s">
        <v>606</v>
      </c>
      <c r="F127" s="28">
        <v>0</v>
      </c>
      <c r="G127" s="29">
        <v>1</v>
      </c>
      <c r="H127" s="30" t="s">
        <v>607</v>
      </c>
      <c r="I127" t="s">
        <v>65</v>
      </c>
      <c r="J1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145</v>
      </c>
      <c r="L127" t="s">
        <v>146</v>
      </c>
      <c r="N127" s="29">
        <v>1</v>
      </c>
      <c r="P127" s="29">
        <v>1</v>
      </c>
      <c r="R127" s="29">
        <v>1</v>
      </c>
      <c r="S127" t="s">
        <v>70</v>
      </c>
      <c r="T127" t="s">
        <v>72</v>
      </c>
      <c r="U127" s="32">
        <v>30</v>
      </c>
      <c r="V127">
        <v>30</v>
      </c>
      <c r="W127" t="s">
        <v>79</v>
      </c>
      <c r="X127" t="s">
        <v>171</v>
      </c>
      <c r="Y127" t="s">
        <v>608</v>
      </c>
      <c r="AA127" t="s">
        <v>75</v>
      </c>
      <c r="AC127" t="s">
        <v>83</v>
      </c>
      <c r="AE127" t="s">
        <v>75</v>
      </c>
      <c r="AF127" t="s">
        <v>84</v>
      </c>
      <c r="AG127" t="s">
        <v>84</v>
      </c>
      <c r="AH127" s="33">
        <f t="shared" si="4"/>
      </c>
      <c r="AI127" s="33">
        <f t="shared" si="5"/>
      </c>
    </row>
    <row r="128" ht="27.6" customHeight="1" spans="1:35" x14ac:dyDescent="0.25">
      <c r="A128" s="27" t="s">
        <v>609</v>
      </c>
      <c r="B128">
        <f t="shared" si="3"/>
        <v>0</v>
      </c>
      <c r="C128" t="s">
        <v>64</v>
      </c>
      <c r="D128" s="27" t="s">
        <v>610</v>
      </c>
      <c r="E128" t="s">
        <v>611</v>
      </c>
      <c r="F128" s="28">
        <v>0</v>
      </c>
      <c r="G128" s="29">
        <v>1</v>
      </c>
      <c r="H128" s="30" t="s">
        <v>612</v>
      </c>
      <c r="I128" t="s">
        <v>65</v>
      </c>
      <c r="J1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145</v>
      </c>
      <c r="L128" t="s">
        <v>146</v>
      </c>
      <c r="N128" s="29">
        <v>1</v>
      </c>
      <c r="P128" s="29">
        <v>1</v>
      </c>
      <c r="R128" s="29">
        <v>1</v>
      </c>
      <c r="S128" t="s">
        <v>70</v>
      </c>
      <c r="T128" t="s">
        <v>72</v>
      </c>
      <c r="U128" s="32">
        <v>30</v>
      </c>
      <c r="V128">
        <v>30</v>
      </c>
      <c r="W128" t="s">
        <v>79</v>
      </c>
      <c r="X128" t="s">
        <v>171</v>
      </c>
      <c r="Y128" t="s">
        <v>613</v>
      </c>
      <c r="AA128" t="s">
        <v>75</v>
      </c>
      <c r="AC128" t="s">
        <v>83</v>
      </c>
      <c r="AE128" t="s">
        <v>75</v>
      </c>
      <c r="AF128" t="s">
        <v>84</v>
      </c>
      <c r="AG128" t="s">
        <v>84</v>
      </c>
      <c r="AH128" s="33">
        <f t="shared" si="4"/>
      </c>
      <c r="AI128" s="33">
        <f t="shared" si="5"/>
      </c>
    </row>
    <row r="129" ht="27.6" customHeight="1" spans="1:35" x14ac:dyDescent="0.25">
      <c r="A129" s="27" t="s">
        <v>614</v>
      </c>
      <c r="B129">
        <f t="shared" si="3"/>
        <v>0</v>
      </c>
      <c r="C129" t="s">
        <v>64</v>
      </c>
      <c r="D129" s="27" t="s">
        <v>102</v>
      </c>
      <c r="E129" t="s">
        <v>615</v>
      </c>
      <c r="F129" s="28">
        <v>0</v>
      </c>
      <c r="G129" s="29">
        <v>1</v>
      </c>
      <c r="H129" s="30" t="s">
        <v>616</v>
      </c>
      <c r="I129" t="s">
        <v>65</v>
      </c>
      <c r="J1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145</v>
      </c>
      <c r="L129" t="s">
        <v>146</v>
      </c>
      <c r="N129" s="29">
        <v>1</v>
      </c>
      <c r="P129" s="29">
        <v>1</v>
      </c>
      <c r="R129" s="29">
        <v>1</v>
      </c>
      <c r="S129" t="s">
        <v>70</v>
      </c>
      <c r="T129" t="s">
        <v>72</v>
      </c>
      <c r="U129" s="32">
        <v>30</v>
      </c>
      <c r="V129">
        <v>30</v>
      </c>
      <c r="W129" t="s">
        <v>79</v>
      </c>
      <c r="X129" t="s">
        <v>166</v>
      </c>
      <c r="Y129" t="s">
        <v>615</v>
      </c>
      <c r="AA129" t="s">
        <v>75</v>
      </c>
      <c r="AC129" t="s">
        <v>83</v>
      </c>
      <c r="AE129" t="s">
        <v>75</v>
      </c>
      <c r="AF129" t="s">
        <v>84</v>
      </c>
      <c r="AG129" t="s">
        <v>84</v>
      </c>
      <c r="AH129" s="33">
        <f t="shared" si="4"/>
      </c>
      <c r="AI129" s="33">
        <f t="shared" si="5"/>
      </c>
    </row>
    <row r="130" ht="27.6" customHeight="1" spans="1:35" x14ac:dyDescent="0.25">
      <c r="A130" s="27" t="s">
        <v>617</v>
      </c>
      <c r="B130">
        <f t="shared" si="3"/>
        <v>0</v>
      </c>
      <c r="C130" t="s">
        <v>64</v>
      </c>
      <c r="D130" s="27" t="s">
        <v>102</v>
      </c>
      <c r="E130" t="s">
        <v>618</v>
      </c>
      <c r="F130" s="28">
        <v>0</v>
      </c>
      <c r="G130" s="29">
        <v>1</v>
      </c>
      <c r="H130" s="30" t="s">
        <v>619</v>
      </c>
      <c r="I130" t="s">
        <v>65</v>
      </c>
      <c r="J1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145</v>
      </c>
      <c r="L130" t="s">
        <v>146</v>
      </c>
      <c r="N130" s="29">
        <v>1</v>
      </c>
      <c r="P130" s="29">
        <v>1</v>
      </c>
      <c r="R130" s="29">
        <v>1</v>
      </c>
      <c r="S130" t="s">
        <v>70</v>
      </c>
      <c r="T130" t="s">
        <v>72</v>
      </c>
      <c r="U130" s="32">
        <v>30</v>
      </c>
      <c r="V130">
        <v>30</v>
      </c>
      <c r="W130" t="s">
        <v>79</v>
      </c>
      <c r="X130" t="s">
        <v>599</v>
      </c>
      <c r="Y130" t="s">
        <v>618</v>
      </c>
      <c r="AA130" t="s">
        <v>75</v>
      </c>
      <c r="AC130" t="s">
        <v>83</v>
      </c>
      <c r="AE130" t="s">
        <v>75</v>
      </c>
      <c r="AF130" t="s">
        <v>84</v>
      </c>
      <c r="AG130" t="s">
        <v>84</v>
      </c>
      <c r="AH130" s="33">
        <f t="shared" si="4"/>
      </c>
      <c r="AI130" s="33">
        <f t="shared" si="5"/>
      </c>
    </row>
    <row r="131" ht="27.6" customHeight="1" spans="1:35" x14ac:dyDescent="0.25">
      <c r="A131" s="27" t="s">
        <v>620</v>
      </c>
      <c r="B131">
        <f t="shared" si="3"/>
        <v>0</v>
      </c>
      <c r="C131" t="s">
        <v>64</v>
      </c>
      <c r="D131" s="27" t="s">
        <v>102</v>
      </c>
      <c r="E131" t="s">
        <v>621</v>
      </c>
      <c r="F131" s="28">
        <v>0</v>
      </c>
      <c r="G131" s="29">
        <v>1</v>
      </c>
      <c r="H131" s="30" t="s">
        <v>622</v>
      </c>
      <c r="I131" t="s">
        <v>65</v>
      </c>
      <c r="J1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145</v>
      </c>
      <c r="L131" t="s">
        <v>146</v>
      </c>
      <c r="N131" s="29">
        <v>1</v>
      </c>
      <c r="P131" s="29">
        <v>1</v>
      </c>
      <c r="R131" s="29">
        <v>1</v>
      </c>
      <c r="S131" t="s">
        <v>70</v>
      </c>
      <c r="T131" t="s">
        <v>72</v>
      </c>
      <c r="U131" s="32">
        <v>30</v>
      </c>
      <c r="V131">
        <v>30</v>
      </c>
      <c r="W131" t="s">
        <v>79</v>
      </c>
      <c r="X131" t="s">
        <v>166</v>
      </c>
      <c r="Y131" t="s">
        <v>623</v>
      </c>
      <c r="AA131" t="s">
        <v>75</v>
      </c>
      <c r="AC131" t="s">
        <v>83</v>
      </c>
      <c r="AE131" t="s">
        <v>75</v>
      </c>
      <c r="AF131" t="s">
        <v>84</v>
      </c>
      <c r="AG131" t="s">
        <v>84</v>
      </c>
      <c r="AH131" s="33">
        <f t="shared" si="4"/>
      </c>
      <c r="AI131" s="33">
        <f t="shared" si="5"/>
      </c>
    </row>
    <row r="132" ht="27.6" customHeight="1" spans="1:35" x14ac:dyDescent="0.25">
      <c r="A132" s="27" t="s">
        <v>624</v>
      </c>
      <c r="B132">
        <f t="shared" si="3"/>
        <v>0</v>
      </c>
      <c r="C132" t="s">
        <v>64</v>
      </c>
      <c r="D132" s="27" t="s">
        <v>102</v>
      </c>
      <c r="E132" t="s">
        <v>625</v>
      </c>
      <c r="F132" s="28">
        <v>0</v>
      </c>
      <c r="G132" s="29">
        <v>1</v>
      </c>
      <c r="H132" s="30" t="s">
        <v>626</v>
      </c>
      <c r="I132" t="s">
        <v>65</v>
      </c>
      <c r="J1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145</v>
      </c>
      <c r="L132" t="s">
        <v>146</v>
      </c>
      <c r="N132" s="29">
        <v>1</v>
      </c>
      <c r="P132" s="29">
        <v>1</v>
      </c>
      <c r="R132" s="29">
        <v>1</v>
      </c>
      <c r="S132" t="s">
        <v>70</v>
      </c>
      <c r="T132" t="s">
        <v>72</v>
      </c>
      <c r="U132" s="32">
        <v>30</v>
      </c>
      <c r="V132">
        <v>30</v>
      </c>
      <c r="W132" t="s">
        <v>79</v>
      </c>
      <c r="X132" t="s">
        <v>166</v>
      </c>
      <c r="Y132" t="s">
        <v>627</v>
      </c>
      <c r="AA132" t="s">
        <v>75</v>
      </c>
      <c r="AC132" t="s">
        <v>83</v>
      </c>
      <c r="AE132" t="s">
        <v>75</v>
      </c>
      <c r="AF132" t="s">
        <v>84</v>
      </c>
      <c r="AG132" t="s">
        <v>84</v>
      </c>
      <c r="AH132" s="33">
        <f t="shared" si="4"/>
      </c>
      <c r="AI132" s="33">
        <f t="shared" si="5"/>
      </c>
    </row>
    <row r="133" ht="27.6" customHeight="1" spans="1:35" x14ac:dyDescent="0.25">
      <c r="A133" s="27" t="s">
        <v>628</v>
      </c>
      <c r="B133">
        <f t="shared" si="3"/>
        <v>0</v>
      </c>
      <c r="C133" t="s">
        <v>64</v>
      </c>
      <c r="D133" s="27" t="s">
        <v>102</v>
      </c>
      <c r="E133" t="s">
        <v>625</v>
      </c>
      <c r="F133" s="28">
        <v>0</v>
      </c>
      <c r="G133" s="29">
        <v>1</v>
      </c>
      <c r="H133" s="30" t="s">
        <v>629</v>
      </c>
      <c r="I133" t="s">
        <v>65</v>
      </c>
      <c r="J1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145</v>
      </c>
      <c r="L133" t="s">
        <v>146</v>
      </c>
      <c r="N133" s="29">
        <v>1</v>
      </c>
      <c r="P133" s="29">
        <v>1</v>
      </c>
      <c r="R133" s="29">
        <v>1</v>
      </c>
      <c r="S133" t="s">
        <v>70</v>
      </c>
      <c r="T133" t="s">
        <v>72</v>
      </c>
      <c r="U133" s="32">
        <v>30</v>
      </c>
      <c r="V133">
        <v>30</v>
      </c>
      <c r="W133" t="s">
        <v>79</v>
      </c>
      <c r="X133" t="s">
        <v>166</v>
      </c>
      <c r="Y133" t="s">
        <v>627</v>
      </c>
      <c r="AA133" t="s">
        <v>75</v>
      </c>
      <c r="AC133" t="s">
        <v>83</v>
      </c>
      <c r="AE133" t="s">
        <v>75</v>
      </c>
      <c r="AF133" t="s">
        <v>84</v>
      </c>
      <c r="AG133" t="s">
        <v>84</v>
      </c>
      <c r="AH133" s="33">
        <f t="shared" si="4"/>
      </c>
      <c r="AI133" s="33">
        <f t="shared" si="5"/>
      </c>
    </row>
    <row r="134" ht="27.6" customHeight="1" spans="1:35" x14ac:dyDescent="0.25">
      <c r="A134" s="27" t="s">
        <v>630</v>
      </c>
      <c r="B134">
        <f t="shared" si="3"/>
        <v>0</v>
      </c>
      <c r="C134" t="s">
        <v>64</v>
      </c>
      <c r="D134" s="27" t="s">
        <v>102</v>
      </c>
      <c r="E134" t="s">
        <v>625</v>
      </c>
      <c r="F134" s="28">
        <v>0</v>
      </c>
      <c r="G134" s="29">
        <v>1</v>
      </c>
      <c r="H134" s="30" t="s">
        <v>631</v>
      </c>
      <c r="I134" t="s">
        <v>65</v>
      </c>
      <c r="J1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145</v>
      </c>
      <c r="L134" t="s">
        <v>146</v>
      </c>
      <c r="N134" s="29">
        <v>1</v>
      </c>
      <c r="P134" s="29">
        <v>1</v>
      </c>
      <c r="R134" s="29">
        <v>1</v>
      </c>
      <c r="S134" t="s">
        <v>70</v>
      </c>
      <c r="T134" t="s">
        <v>72</v>
      </c>
      <c r="U134" s="32">
        <v>30</v>
      </c>
      <c r="V134">
        <v>30</v>
      </c>
      <c r="W134" t="s">
        <v>79</v>
      </c>
      <c r="X134" t="s">
        <v>166</v>
      </c>
      <c r="Y134" t="s">
        <v>627</v>
      </c>
      <c r="AA134" t="s">
        <v>75</v>
      </c>
      <c r="AC134" t="s">
        <v>83</v>
      </c>
      <c r="AE134" t="s">
        <v>75</v>
      </c>
      <c r="AF134" t="s">
        <v>84</v>
      </c>
      <c r="AG134" t="s">
        <v>84</v>
      </c>
      <c r="AH134" s="33">
        <f t="shared" si="4"/>
      </c>
      <c r="AI134" s="33">
        <f t="shared" si="5"/>
      </c>
    </row>
    <row r="135" ht="27.6" customHeight="1" spans="1:35" x14ac:dyDescent="0.25">
      <c r="A135" s="27" t="s">
        <v>632</v>
      </c>
      <c r="B135">
        <f t="shared" si="3"/>
        <v>0</v>
      </c>
      <c r="C135" t="s">
        <v>64</v>
      </c>
      <c r="D135" s="27" t="s">
        <v>102</v>
      </c>
      <c r="E135" t="s">
        <v>633</v>
      </c>
      <c r="F135" s="28">
        <v>0</v>
      </c>
      <c r="G135" s="29">
        <v>1</v>
      </c>
      <c r="H135" s="30" t="s">
        <v>634</v>
      </c>
      <c r="I135" t="s">
        <v>65</v>
      </c>
      <c r="J1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145</v>
      </c>
      <c r="L135" t="s">
        <v>146</v>
      </c>
      <c r="N135" s="29">
        <v>1</v>
      </c>
      <c r="P135" s="29">
        <v>1</v>
      </c>
      <c r="R135" s="29">
        <v>1</v>
      </c>
      <c r="S135" t="s">
        <v>70</v>
      </c>
      <c r="T135" t="s">
        <v>72</v>
      </c>
      <c r="U135" s="32">
        <v>30</v>
      </c>
      <c r="V135">
        <v>30</v>
      </c>
      <c r="W135" t="s">
        <v>79</v>
      </c>
      <c r="X135" t="s">
        <v>166</v>
      </c>
      <c r="Y135" t="s">
        <v>635</v>
      </c>
      <c r="AA135" t="s">
        <v>75</v>
      </c>
      <c r="AC135" t="s">
        <v>83</v>
      </c>
      <c r="AE135" t="s">
        <v>75</v>
      </c>
      <c r="AF135" t="s">
        <v>84</v>
      </c>
      <c r="AG135" t="s">
        <v>84</v>
      </c>
      <c r="AH135" s="33">
        <f t="shared" si="4"/>
      </c>
      <c r="AI135" s="33">
        <f t="shared" si="5"/>
      </c>
    </row>
    <row r="136" ht="27.6" customHeight="1" spans="1:35" x14ac:dyDescent="0.25">
      <c r="A136" s="27" t="s">
        <v>636</v>
      </c>
      <c r="B136">
        <f t="shared" ref="B136:B199" si="6">LEN(INDIRECT(ADDRESS(ROW() + (0),COLUMN() + (-1))))</f>
        <v>0</v>
      </c>
      <c r="C136" t="s">
        <v>64</v>
      </c>
      <c r="D136" s="27" t="s">
        <v>102</v>
      </c>
      <c r="E136" t="s">
        <v>637</v>
      </c>
      <c r="F136" s="28">
        <v>0</v>
      </c>
      <c r="G136" s="29">
        <v>1</v>
      </c>
      <c r="H136" s="30" t="s">
        <v>638</v>
      </c>
      <c r="I136" t="s">
        <v>65</v>
      </c>
      <c r="J1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145</v>
      </c>
      <c r="L136" t="s">
        <v>146</v>
      </c>
      <c r="N136" s="29">
        <v>1</v>
      </c>
      <c r="P136" s="29">
        <v>1</v>
      </c>
      <c r="R136" s="29">
        <v>1</v>
      </c>
      <c r="S136" t="s">
        <v>70</v>
      </c>
      <c r="T136" t="s">
        <v>72</v>
      </c>
      <c r="U136" s="32">
        <v>30</v>
      </c>
      <c r="V136">
        <v>30</v>
      </c>
      <c r="W136" t="s">
        <v>79</v>
      </c>
      <c r="X136" t="s">
        <v>166</v>
      </c>
      <c r="Y136" t="s">
        <v>639</v>
      </c>
      <c r="AA136" t="s">
        <v>75</v>
      </c>
      <c r="AC136" t="s">
        <v>83</v>
      </c>
      <c r="AE136" t="s">
        <v>75</v>
      </c>
      <c r="AF136" t="s">
        <v>84</v>
      </c>
      <c r="AG136" t="s">
        <v>84</v>
      </c>
      <c r="AH136" s="33">
        <f t="shared" ref="AH136:AH199" si="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136" s="33">
        <f t="shared" ref="AI136:AI199" si="8">IF(TRIM(INDIRECT("A"&amp;ROW())) &lt;&gt; "",FALSE,"")</f>
      </c>
    </row>
    <row r="137" ht="27.6" customHeight="1" spans="1:35" x14ac:dyDescent="0.25">
      <c r="A137" s="27" t="s">
        <v>624</v>
      </c>
      <c r="B137">
        <f t="shared" si="6"/>
        <v>0</v>
      </c>
      <c r="C137" t="s">
        <v>64</v>
      </c>
      <c r="D137" s="27" t="s">
        <v>102</v>
      </c>
      <c r="E137" t="s">
        <v>640</v>
      </c>
      <c r="F137" s="28">
        <v>0</v>
      </c>
      <c r="G137" s="29">
        <v>1</v>
      </c>
      <c r="H137" s="30" t="s">
        <v>641</v>
      </c>
      <c r="I137" t="s">
        <v>65</v>
      </c>
      <c r="J1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145</v>
      </c>
      <c r="L137" t="s">
        <v>146</v>
      </c>
      <c r="N137" s="29">
        <v>1</v>
      </c>
      <c r="P137" s="29">
        <v>1</v>
      </c>
      <c r="R137" s="29">
        <v>1</v>
      </c>
      <c r="S137" t="s">
        <v>70</v>
      </c>
      <c r="T137" t="s">
        <v>72</v>
      </c>
      <c r="U137" s="32">
        <v>30</v>
      </c>
      <c r="V137">
        <v>30</v>
      </c>
      <c r="W137" t="s">
        <v>79</v>
      </c>
      <c r="X137" t="s">
        <v>166</v>
      </c>
      <c r="Y137" t="s">
        <v>627</v>
      </c>
      <c r="AA137" t="s">
        <v>75</v>
      </c>
      <c r="AC137" t="s">
        <v>83</v>
      </c>
      <c r="AE137" t="s">
        <v>75</v>
      </c>
      <c r="AF137" t="s">
        <v>84</v>
      </c>
      <c r="AG137" t="s">
        <v>84</v>
      </c>
      <c r="AH137" s="33">
        <f t="shared" si="7"/>
      </c>
      <c r="AI137" s="33">
        <f t="shared" si="8"/>
      </c>
    </row>
    <row r="138" ht="27.6" customHeight="1" spans="1:35" x14ac:dyDescent="0.25">
      <c r="A138" s="27" t="s">
        <v>628</v>
      </c>
      <c r="B138">
        <f t="shared" si="6"/>
        <v>0</v>
      </c>
      <c r="C138" t="s">
        <v>64</v>
      </c>
      <c r="D138" s="27" t="s">
        <v>102</v>
      </c>
      <c r="E138" t="s">
        <v>640</v>
      </c>
      <c r="F138" s="28">
        <v>0</v>
      </c>
      <c r="G138" s="29">
        <v>1</v>
      </c>
      <c r="H138" s="30" t="s">
        <v>642</v>
      </c>
      <c r="I138" t="s">
        <v>65</v>
      </c>
      <c r="J1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145</v>
      </c>
      <c r="L138" t="s">
        <v>146</v>
      </c>
      <c r="N138" s="29">
        <v>1</v>
      </c>
      <c r="P138" s="29">
        <v>1</v>
      </c>
      <c r="R138" s="29">
        <v>1</v>
      </c>
      <c r="S138" t="s">
        <v>70</v>
      </c>
      <c r="T138" t="s">
        <v>72</v>
      </c>
      <c r="U138" s="32">
        <v>30</v>
      </c>
      <c r="V138">
        <v>30</v>
      </c>
      <c r="W138" t="s">
        <v>79</v>
      </c>
      <c r="X138" t="s">
        <v>166</v>
      </c>
      <c r="Y138" t="s">
        <v>627</v>
      </c>
      <c r="AA138" t="s">
        <v>75</v>
      </c>
      <c r="AC138" t="s">
        <v>83</v>
      </c>
      <c r="AE138" t="s">
        <v>75</v>
      </c>
      <c r="AF138" t="s">
        <v>84</v>
      </c>
      <c r="AG138" t="s">
        <v>84</v>
      </c>
      <c r="AH138" s="33">
        <f t="shared" si="7"/>
      </c>
      <c r="AI138" s="33">
        <f t="shared" si="8"/>
      </c>
    </row>
    <row r="139" ht="27.6" customHeight="1" spans="1:35" x14ac:dyDescent="0.25">
      <c r="A139" s="27" t="s">
        <v>630</v>
      </c>
      <c r="B139">
        <f t="shared" si="6"/>
        <v>0</v>
      </c>
      <c r="C139" t="s">
        <v>64</v>
      </c>
      <c r="D139" s="27" t="s">
        <v>102</v>
      </c>
      <c r="E139" t="s">
        <v>640</v>
      </c>
      <c r="F139" s="28">
        <v>0</v>
      </c>
      <c r="G139" s="29">
        <v>1</v>
      </c>
      <c r="H139" s="30" t="s">
        <v>643</v>
      </c>
      <c r="I139" t="s">
        <v>65</v>
      </c>
      <c r="J1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145</v>
      </c>
      <c r="L139" t="s">
        <v>146</v>
      </c>
      <c r="N139" s="29">
        <v>1</v>
      </c>
      <c r="P139" s="29">
        <v>1</v>
      </c>
      <c r="R139" s="29">
        <v>1</v>
      </c>
      <c r="S139" t="s">
        <v>70</v>
      </c>
      <c r="T139" t="s">
        <v>72</v>
      </c>
      <c r="U139" s="32">
        <v>30</v>
      </c>
      <c r="V139">
        <v>30</v>
      </c>
      <c r="W139" t="s">
        <v>79</v>
      </c>
      <c r="X139" t="s">
        <v>166</v>
      </c>
      <c r="Y139" t="s">
        <v>627</v>
      </c>
      <c r="AA139" t="s">
        <v>75</v>
      </c>
      <c r="AC139" t="s">
        <v>83</v>
      </c>
      <c r="AE139" t="s">
        <v>75</v>
      </c>
      <c r="AF139" t="s">
        <v>84</v>
      </c>
      <c r="AG139" t="s">
        <v>84</v>
      </c>
      <c r="AH139" s="33">
        <f t="shared" si="7"/>
      </c>
      <c r="AI139" s="33">
        <f t="shared" si="8"/>
      </c>
    </row>
    <row r="140" ht="27.6" customHeight="1" spans="1:35" x14ac:dyDescent="0.25">
      <c r="A140" s="27" t="s">
        <v>644</v>
      </c>
      <c r="B140">
        <f t="shared" si="6"/>
        <v>0</v>
      </c>
      <c r="C140" t="s">
        <v>64</v>
      </c>
      <c r="D140" s="27" t="s">
        <v>102</v>
      </c>
      <c r="E140" t="s">
        <v>645</v>
      </c>
      <c r="F140" s="28">
        <v>0</v>
      </c>
      <c r="G140" s="29">
        <v>1</v>
      </c>
      <c r="H140" s="30" t="s">
        <v>646</v>
      </c>
      <c r="I140" t="s">
        <v>65</v>
      </c>
      <c r="J1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145</v>
      </c>
      <c r="L140" t="s">
        <v>146</v>
      </c>
      <c r="N140" s="29">
        <v>1</v>
      </c>
      <c r="P140" s="29">
        <v>1</v>
      </c>
      <c r="R140" s="29">
        <v>1</v>
      </c>
      <c r="S140" t="s">
        <v>70</v>
      </c>
      <c r="T140" t="s">
        <v>72</v>
      </c>
      <c r="U140" s="32">
        <v>30</v>
      </c>
      <c r="V140">
        <v>30</v>
      </c>
      <c r="W140" t="s">
        <v>79</v>
      </c>
      <c r="X140" t="s">
        <v>166</v>
      </c>
      <c r="Y140" t="s">
        <v>647</v>
      </c>
      <c r="AA140" t="s">
        <v>75</v>
      </c>
      <c r="AC140" t="s">
        <v>83</v>
      </c>
      <c r="AE140" t="s">
        <v>75</v>
      </c>
      <c r="AF140" t="s">
        <v>84</v>
      </c>
      <c r="AG140" t="s">
        <v>84</v>
      </c>
      <c r="AH140" s="33">
        <f t="shared" si="7"/>
      </c>
      <c r="AI140" s="33">
        <f t="shared" si="8"/>
      </c>
    </row>
    <row r="141" ht="27.6" customHeight="1" spans="1:35" x14ac:dyDescent="0.25">
      <c r="A141" s="27" t="s">
        <v>305</v>
      </c>
      <c r="B141">
        <f t="shared" si="6"/>
        <v>0</v>
      </c>
      <c r="C141" t="s">
        <v>64</v>
      </c>
      <c r="D141" s="27" t="s">
        <v>102</v>
      </c>
      <c r="E141" t="s">
        <v>648</v>
      </c>
      <c r="F141" s="28">
        <v>0</v>
      </c>
      <c r="G141" s="29">
        <v>1</v>
      </c>
      <c r="H141" s="30" t="s">
        <v>649</v>
      </c>
      <c r="I141" t="s">
        <v>65</v>
      </c>
      <c r="J1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145</v>
      </c>
      <c r="L141" t="s">
        <v>146</v>
      </c>
      <c r="N141" s="29">
        <v>1</v>
      </c>
      <c r="P141" s="29">
        <v>1</v>
      </c>
      <c r="R141" s="29">
        <v>1</v>
      </c>
      <c r="S141" t="s">
        <v>70</v>
      </c>
      <c r="T141" t="s">
        <v>72</v>
      </c>
      <c r="U141" s="32">
        <v>30</v>
      </c>
      <c r="V141">
        <v>30</v>
      </c>
      <c r="W141" t="s">
        <v>79</v>
      </c>
      <c r="X141" t="s">
        <v>166</v>
      </c>
      <c r="Y141" t="s">
        <v>308</v>
      </c>
      <c r="AA141" t="s">
        <v>75</v>
      </c>
      <c r="AC141" t="s">
        <v>83</v>
      </c>
      <c r="AE141" t="s">
        <v>75</v>
      </c>
      <c r="AF141" t="s">
        <v>84</v>
      </c>
      <c r="AG141" t="s">
        <v>84</v>
      </c>
      <c r="AH141" s="33">
        <f t="shared" si="7"/>
      </c>
      <c r="AI141" s="33">
        <f t="shared" si="8"/>
      </c>
    </row>
    <row r="142" ht="27.6" customHeight="1" spans="1:35" x14ac:dyDescent="0.25">
      <c r="A142" s="27" t="s">
        <v>650</v>
      </c>
      <c r="B142">
        <f t="shared" si="6"/>
        <v>0</v>
      </c>
      <c r="C142" t="s">
        <v>64</v>
      </c>
      <c r="D142" s="27" t="s">
        <v>651</v>
      </c>
      <c r="E142" t="s">
        <v>652</v>
      </c>
      <c r="F142" s="28">
        <v>0</v>
      </c>
      <c r="G142" s="29">
        <v>1</v>
      </c>
      <c r="H142" s="30" t="s">
        <v>653</v>
      </c>
      <c r="I142" t="s">
        <v>65</v>
      </c>
      <c r="J1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145</v>
      </c>
      <c r="L142" t="s">
        <v>146</v>
      </c>
      <c r="N142" s="29">
        <v>1</v>
      </c>
      <c r="P142" s="29">
        <v>1</v>
      </c>
      <c r="R142" s="29">
        <v>1</v>
      </c>
      <c r="S142" t="s">
        <v>70</v>
      </c>
      <c r="T142" t="s">
        <v>72</v>
      </c>
      <c r="U142" s="32">
        <v>30</v>
      </c>
      <c r="V142">
        <v>30</v>
      </c>
      <c r="W142" t="s">
        <v>79</v>
      </c>
      <c r="X142" t="s">
        <v>171</v>
      </c>
      <c r="Y142" t="s">
        <v>654</v>
      </c>
      <c r="AA142" t="s">
        <v>75</v>
      </c>
      <c r="AC142" t="s">
        <v>83</v>
      </c>
      <c r="AE142" t="s">
        <v>75</v>
      </c>
      <c r="AF142" t="s">
        <v>84</v>
      </c>
      <c r="AG142" t="s">
        <v>84</v>
      </c>
      <c r="AH142" s="33">
        <f t="shared" si="7"/>
      </c>
      <c r="AI142" s="33">
        <f t="shared" si="8"/>
      </c>
    </row>
    <row r="143" ht="27.6" customHeight="1" spans="1:35" x14ac:dyDescent="0.25">
      <c r="A143" s="27" t="s">
        <v>655</v>
      </c>
      <c r="B143">
        <f t="shared" si="6"/>
        <v>0</v>
      </c>
      <c r="C143" t="s">
        <v>64</v>
      </c>
      <c r="D143" s="27" t="s">
        <v>102</v>
      </c>
      <c r="E143" t="s">
        <v>656</v>
      </c>
      <c r="F143" s="28">
        <v>0</v>
      </c>
      <c r="G143" s="29">
        <v>1</v>
      </c>
      <c r="H143" s="30" t="s">
        <v>657</v>
      </c>
      <c r="I143" t="s">
        <v>65</v>
      </c>
      <c r="J1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145</v>
      </c>
      <c r="L143" t="s">
        <v>146</v>
      </c>
      <c r="N143" s="29">
        <v>1</v>
      </c>
      <c r="P143" s="29">
        <v>1</v>
      </c>
      <c r="R143" s="29">
        <v>1</v>
      </c>
      <c r="S143" t="s">
        <v>70</v>
      </c>
      <c r="T143" t="s">
        <v>72</v>
      </c>
      <c r="U143" s="32">
        <v>30</v>
      </c>
      <c r="V143">
        <v>30</v>
      </c>
      <c r="W143" t="s">
        <v>79</v>
      </c>
      <c r="X143" t="s">
        <v>171</v>
      </c>
      <c r="Y143" t="s">
        <v>658</v>
      </c>
      <c r="AA143" t="s">
        <v>75</v>
      </c>
      <c r="AC143" t="s">
        <v>83</v>
      </c>
      <c r="AE143" t="s">
        <v>75</v>
      </c>
      <c r="AF143" t="s">
        <v>84</v>
      </c>
      <c r="AG143" t="s">
        <v>84</v>
      </c>
      <c r="AH143" s="33">
        <f t="shared" si="7"/>
      </c>
      <c r="AI143" s="33">
        <f t="shared" si="8"/>
      </c>
    </row>
    <row r="144" ht="27.6" customHeight="1" spans="1:35" x14ac:dyDescent="0.25">
      <c r="A144" s="27" t="s">
        <v>659</v>
      </c>
      <c r="B144">
        <f t="shared" si="6"/>
        <v>0</v>
      </c>
      <c r="C144" t="s">
        <v>64</v>
      </c>
      <c r="D144" s="27" t="s">
        <v>102</v>
      </c>
      <c r="E144" t="s">
        <v>656</v>
      </c>
      <c r="F144" s="28">
        <v>0</v>
      </c>
      <c r="G144" s="29">
        <v>1</v>
      </c>
      <c r="H144" s="30" t="s">
        <v>660</v>
      </c>
      <c r="I144" t="s">
        <v>65</v>
      </c>
      <c r="J1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145</v>
      </c>
      <c r="L144" t="s">
        <v>146</v>
      </c>
      <c r="N144" s="29">
        <v>1</v>
      </c>
      <c r="P144" s="29">
        <v>1</v>
      </c>
      <c r="R144" s="29">
        <v>1</v>
      </c>
      <c r="S144" t="s">
        <v>70</v>
      </c>
      <c r="T144" t="s">
        <v>72</v>
      </c>
      <c r="U144" s="32">
        <v>30</v>
      </c>
      <c r="V144">
        <v>30</v>
      </c>
      <c r="W144" t="s">
        <v>79</v>
      </c>
      <c r="X144" t="s">
        <v>171</v>
      </c>
      <c r="Y144" t="s">
        <v>658</v>
      </c>
      <c r="AA144" t="s">
        <v>75</v>
      </c>
      <c r="AC144" t="s">
        <v>83</v>
      </c>
      <c r="AE144" t="s">
        <v>75</v>
      </c>
      <c r="AF144" t="s">
        <v>84</v>
      </c>
      <c r="AG144" t="s">
        <v>84</v>
      </c>
      <c r="AH144" s="33">
        <f t="shared" si="7"/>
      </c>
      <c r="AI144" s="33">
        <f t="shared" si="8"/>
      </c>
    </row>
    <row r="145" ht="27.6" customHeight="1" spans="1:35" x14ac:dyDescent="0.25">
      <c r="A145" s="27" t="s">
        <v>661</v>
      </c>
      <c r="B145">
        <f t="shared" si="6"/>
        <v>0</v>
      </c>
      <c r="C145" t="s">
        <v>64</v>
      </c>
      <c r="D145" s="27" t="s">
        <v>662</v>
      </c>
      <c r="E145" t="s">
        <v>663</v>
      </c>
      <c r="F145" s="28">
        <v>0</v>
      </c>
      <c r="G145" s="29">
        <v>1</v>
      </c>
      <c r="H145" s="30" t="s">
        <v>664</v>
      </c>
      <c r="I145" t="s">
        <v>65</v>
      </c>
      <c r="J1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145</v>
      </c>
      <c r="L145" t="s">
        <v>146</v>
      </c>
      <c r="N145" s="29">
        <v>1</v>
      </c>
      <c r="P145" s="29">
        <v>1</v>
      </c>
      <c r="R145" s="29">
        <v>1</v>
      </c>
      <c r="S145" t="s">
        <v>70</v>
      </c>
      <c r="T145" t="s">
        <v>72</v>
      </c>
      <c r="U145" s="32">
        <v>30</v>
      </c>
      <c r="V145">
        <v>30</v>
      </c>
      <c r="W145" t="s">
        <v>79</v>
      </c>
      <c r="X145" t="s">
        <v>171</v>
      </c>
      <c r="Y145" t="s">
        <v>665</v>
      </c>
      <c r="AA145" t="s">
        <v>75</v>
      </c>
      <c r="AC145" t="s">
        <v>83</v>
      </c>
      <c r="AE145" t="s">
        <v>75</v>
      </c>
      <c r="AF145" t="s">
        <v>84</v>
      </c>
      <c r="AG145" t="s">
        <v>84</v>
      </c>
      <c r="AH145" s="33">
        <f t="shared" si="7"/>
      </c>
      <c r="AI145" s="33">
        <f t="shared" si="8"/>
      </c>
    </row>
    <row r="146" ht="27.6" customHeight="1" spans="1:35" x14ac:dyDescent="0.25">
      <c r="A146" s="27" t="s">
        <v>666</v>
      </c>
      <c r="B146">
        <f t="shared" si="6"/>
        <v>0</v>
      </c>
      <c r="C146" t="s">
        <v>64</v>
      </c>
      <c r="D146" s="27" t="s">
        <v>102</v>
      </c>
      <c r="E146" t="s">
        <v>667</v>
      </c>
      <c r="F146" s="28">
        <v>0</v>
      </c>
      <c r="G146" s="29">
        <v>1</v>
      </c>
      <c r="H146" s="30" t="s">
        <v>668</v>
      </c>
      <c r="I146" t="s">
        <v>65</v>
      </c>
      <c r="J1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145</v>
      </c>
      <c r="L146" t="s">
        <v>146</v>
      </c>
      <c r="N146" s="29">
        <v>1</v>
      </c>
      <c r="P146" s="29">
        <v>1</v>
      </c>
      <c r="R146" s="29">
        <v>1</v>
      </c>
      <c r="S146" t="s">
        <v>70</v>
      </c>
      <c r="T146" t="s">
        <v>72</v>
      </c>
      <c r="U146" s="32">
        <v>30</v>
      </c>
      <c r="V146">
        <v>30</v>
      </c>
      <c r="W146" t="s">
        <v>79</v>
      </c>
      <c r="X146" t="s">
        <v>171</v>
      </c>
      <c r="Y146" t="s">
        <v>669</v>
      </c>
      <c r="AA146" t="s">
        <v>75</v>
      </c>
      <c r="AC146" t="s">
        <v>83</v>
      </c>
      <c r="AE146" t="s">
        <v>75</v>
      </c>
      <c r="AF146" t="s">
        <v>84</v>
      </c>
      <c r="AG146" t="s">
        <v>84</v>
      </c>
      <c r="AH146" s="33">
        <f t="shared" si="7"/>
      </c>
      <c r="AI146" s="33">
        <f t="shared" si="8"/>
      </c>
    </row>
    <row r="147" ht="27.6" customHeight="1" spans="1:35" x14ac:dyDescent="0.25">
      <c r="A147" s="27" t="s">
        <v>251</v>
      </c>
      <c r="B147">
        <f t="shared" si="6"/>
        <v>0</v>
      </c>
      <c r="C147" t="s">
        <v>64</v>
      </c>
      <c r="D147" s="27" t="s">
        <v>102</v>
      </c>
      <c r="E147" t="s">
        <v>670</v>
      </c>
      <c r="F147" s="28">
        <v>0</v>
      </c>
      <c r="G147" s="29">
        <v>1</v>
      </c>
      <c r="H147" s="30" t="s">
        <v>671</v>
      </c>
      <c r="I147" t="s">
        <v>65</v>
      </c>
      <c r="J1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145</v>
      </c>
      <c r="L147" t="s">
        <v>146</v>
      </c>
      <c r="N147" s="29">
        <v>1</v>
      </c>
      <c r="P147" s="29">
        <v>1</v>
      </c>
      <c r="R147" s="29">
        <v>1</v>
      </c>
      <c r="S147" t="s">
        <v>70</v>
      </c>
      <c r="T147" t="s">
        <v>72</v>
      </c>
      <c r="U147" s="32">
        <v>30</v>
      </c>
      <c r="V147">
        <v>30</v>
      </c>
      <c r="W147" t="s">
        <v>79</v>
      </c>
      <c r="X147" t="s">
        <v>171</v>
      </c>
      <c r="Y147" t="s">
        <v>672</v>
      </c>
      <c r="AA147" t="s">
        <v>75</v>
      </c>
      <c r="AC147" t="s">
        <v>83</v>
      </c>
      <c r="AE147" t="s">
        <v>75</v>
      </c>
      <c r="AF147" t="s">
        <v>84</v>
      </c>
      <c r="AG147" t="s">
        <v>84</v>
      </c>
      <c r="AH147" s="33">
        <f t="shared" si="7"/>
      </c>
      <c r="AI147" s="33">
        <f t="shared" si="8"/>
      </c>
    </row>
    <row r="148" ht="27.6" customHeight="1" spans="1:35" x14ac:dyDescent="0.25">
      <c r="A148" s="27" t="s">
        <v>673</v>
      </c>
      <c r="B148">
        <f t="shared" si="6"/>
        <v>0</v>
      </c>
      <c r="C148" t="s">
        <v>64</v>
      </c>
      <c r="D148" s="27" t="s">
        <v>102</v>
      </c>
      <c r="E148" t="s">
        <v>674</v>
      </c>
      <c r="F148" s="28">
        <v>0</v>
      </c>
      <c r="G148" s="29">
        <v>1</v>
      </c>
      <c r="H148" s="30" t="s">
        <v>675</v>
      </c>
      <c r="I148" t="s">
        <v>65</v>
      </c>
      <c r="J1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145</v>
      </c>
      <c r="L148" t="s">
        <v>146</v>
      </c>
      <c r="N148" s="29">
        <v>1</v>
      </c>
      <c r="P148" s="29">
        <v>1</v>
      </c>
      <c r="R148" s="29">
        <v>1</v>
      </c>
      <c r="S148" t="s">
        <v>70</v>
      </c>
      <c r="T148" t="s">
        <v>72</v>
      </c>
      <c r="U148" s="32">
        <v>30</v>
      </c>
      <c r="V148">
        <v>30</v>
      </c>
      <c r="W148" t="s">
        <v>79</v>
      </c>
      <c r="X148" t="s">
        <v>171</v>
      </c>
      <c r="Y148" t="s">
        <v>676</v>
      </c>
      <c r="AA148" t="s">
        <v>75</v>
      </c>
      <c r="AC148" t="s">
        <v>83</v>
      </c>
      <c r="AE148" t="s">
        <v>75</v>
      </c>
      <c r="AF148" t="s">
        <v>84</v>
      </c>
      <c r="AG148" t="s">
        <v>84</v>
      </c>
      <c r="AH148" s="33">
        <f t="shared" si="7"/>
      </c>
      <c r="AI148" s="33">
        <f t="shared" si="8"/>
      </c>
    </row>
    <row r="149" ht="27.6" customHeight="1" spans="1:35" x14ac:dyDescent="0.25">
      <c r="A149" s="27" t="s">
        <v>258</v>
      </c>
      <c r="B149">
        <f t="shared" si="6"/>
        <v>0</v>
      </c>
      <c r="C149" t="s">
        <v>64</v>
      </c>
      <c r="D149" s="27" t="s">
        <v>102</v>
      </c>
      <c r="E149" t="s">
        <v>677</v>
      </c>
      <c r="F149" s="28">
        <v>0</v>
      </c>
      <c r="G149" s="29">
        <v>1</v>
      </c>
      <c r="H149" s="30" t="s">
        <v>678</v>
      </c>
      <c r="I149" t="s">
        <v>65</v>
      </c>
      <c r="J1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145</v>
      </c>
      <c r="L149" t="s">
        <v>146</v>
      </c>
      <c r="N149" s="29">
        <v>1</v>
      </c>
      <c r="P149" s="29">
        <v>1</v>
      </c>
      <c r="R149" s="29">
        <v>1</v>
      </c>
      <c r="S149" t="s">
        <v>70</v>
      </c>
      <c r="T149" t="s">
        <v>72</v>
      </c>
      <c r="U149" s="32">
        <v>30</v>
      </c>
      <c r="V149">
        <v>30</v>
      </c>
      <c r="W149" t="s">
        <v>79</v>
      </c>
      <c r="X149" t="s">
        <v>166</v>
      </c>
      <c r="Y149" t="s">
        <v>679</v>
      </c>
      <c r="AA149" t="s">
        <v>75</v>
      </c>
      <c r="AC149" t="s">
        <v>83</v>
      </c>
      <c r="AE149" t="s">
        <v>75</v>
      </c>
      <c r="AF149" t="s">
        <v>84</v>
      </c>
      <c r="AG149" t="s">
        <v>84</v>
      </c>
      <c r="AH149" s="33">
        <f t="shared" si="7"/>
      </c>
      <c r="AI149" s="33">
        <f t="shared" si="8"/>
      </c>
    </row>
    <row r="150" ht="27.6" customHeight="1" spans="1:35" x14ac:dyDescent="0.25">
      <c r="A150" s="27" t="s">
        <v>262</v>
      </c>
      <c r="B150">
        <f t="shared" si="6"/>
        <v>0</v>
      </c>
      <c r="C150" t="s">
        <v>64</v>
      </c>
      <c r="D150" s="27" t="s">
        <v>102</v>
      </c>
      <c r="E150" t="s">
        <v>677</v>
      </c>
      <c r="F150" s="28">
        <v>0</v>
      </c>
      <c r="G150" s="29">
        <v>1</v>
      </c>
      <c r="H150" s="30" t="s">
        <v>680</v>
      </c>
      <c r="I150" t="s">
        <v>65</v>
      </c>
      <c r="J1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145</v>
      </c>
      <c r="L150" t="s">
        <v>146</v>
      </c>
      <c r="N150" s="29">
        <v>1</v>
      </c>
      <c r="P150" s="29">
        <v>1</v>
      </c>
      <c r="R150" s="29">
        <v>1</v>
      </c>
      <c r="S150" t="s">
        <v>70</v>
      </c>
      <c r="T150" t="s">
        <v>72</v>
      </c>
      <c r="U150" s="32">
        <v>30</v>
      </c>
      <c r="V150">
        <v>30</v>
      </c>
      <c r="W150" t="s">
        <v>79</v>
      </c>
      <c r="X150" t="s">
        <v>166</v>
      </c>
      <c r="Y150" t="s">
        <v>679</v>
      </c>
      <c r="AA150" t="s">
        <v>75</v>
      </c>
      <c r="AC150" t="s">
        <v>83</v>
      </c>
      <c r="AE150" t="s">
        <v>75</v>
      </c>
      <c r="AF150" t="s">
        <v>84</v>
      </c>
      <c r="AG150" t="s">
        <v>84</v>
      </c>
      <c r="AH150" s="33">
        <f t="shared" si="7"/>
      </c>
      <c r="AI150" s="33">
        <f t="shared" si="8"/>
      </c>
    </row>
    <row r="151" ht="27.6" customHeight="1" spans="1:35" x14ac:dyDescent="0.25">
      <c r="A151" s="27" t="s">
        <v>264</v>
      </c>
      <c r="B151">
        <f t="shared" si="6"/>
        <v>0</v>
      </c>
      <c r="C151" t="s">
        <v>64</v>
      </c>
      <c r="D151" s="27" t="s">
        <v>102</v>
      </c>
      <c r="E151" t="s">
        <v>677</v>
      </c>
      <c r="F151" s="28">
        <v>0</v>
      </c>
      <c r="G151" s="29">
        <v>1</v>
      </c>
      <c r="H151" s="30" t="s">
        <v>681</v>
      </c>
      <c r="I151" t="s">
        <v>65</v>
      </c>
      <c r="J1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145</v>
      </c>
      <c r="L151" t="s">
        <v>146</v>
      </c>
      <c r="N151" s="29">
        <v>1</v>
      </c>
      <c r="P151" s="29">
        <v>1</v>
      </c>
      <c r="R151" s="29">
        <v>1</v>
      </c>
      <c r="S151" t="s">
        <v>70</v>
      </c>
      <c r="T151" t="s">
        <v>72</v>
      </c>
      <c r="U151" s="32">
        <v>30</v>
      </c>
      <c r="V151">
        <v>30</v>
      </c>
      <c r="W151" t="s">
        <v>79</v>
      </c>
      <c r="X151" t="s">
        <v>166</v>
      </c>
      <c r="Y151" t="s">
        <v>679</v>
      </c>
      <c r="AA151" t="s">
        <v>75</v>
      </c>
      <c r="AC151" t="s">
        <v>83</v>
      </c>
      <c r="AE151" t="s">
        <v>75</v>
      </c>
      <c r="AF151" t="s">
        <v>84</v>
      </c>
      <c r="AG151" t="s">
        <v>84</v>
      </c>
      <c r="AH151" s="33">
        <f t="shared" si="7"/>
      </c>
      <c r="AI151" s="33">
        <f t="shared" si="8"/>
      </c>
    </row>
    <row r="152" ht="27.6" customHeight="1" spans="1:35" x14ac:dyDescent="0.25">
      <c r="A152" s="27" t="s">
        <v>289</v>
      </c>
      <c r="B152">
        <f t="shared" si="6"/>
        <v>0</v>
      </c>
      <c r="C152" t="s">
        <v>64</v>
      </c>
      <c r="D152" s="27" t="s">
        <v>102</v>
      </c>
      <c r="E152" t="s">
        <v>682</v>
      </c>
      <c r="F152" s="28">
        <v>0</v>
      </c>
      <c r="G152" s="29">
        <v>1</v>
      </c>
      <c r="H152" s="30" t="s">
        <v>683</v>
      </c>
      <c r="I152" t="s">
        <v>65</v>
      </c>
      <c r="J1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145</v>
      </c>
      <c r="L152" t="s">
        <v>146</v>
      </c>
      <c r="N152" s="29">
        <v>1</v>
      </c>
      <c r="P152" s="29">
        <v>1</v>
      </c>
      <c r="R152" s="29">
        <v>1</v>
      </c>
      <c r="S152" t="s">
        <v>70</v>
      </c>
      <c r="T152" t="s">
        <v>72</v>
      </c>
      <c r="U152" s="32">
        <v>30</v>
      </c>
      <c r="V152">
        <v>30</v>
      </c>
      <c r="W152" t="s">
        <v>79</v>
      </c>
      <c r="X152" t="s">
        <v>171</v>
      </c>
      <c r="Y152" t="s">
        <v>684</v>
      </c>
      <c r="AA152" t="s">
        <v>75</v>
      </c>
      <c r="AC152" t="s">
        <v>83</v>
      </c>
      <c r="AE152" t="s">
        <v>75</v>
      </c>
      <c r="AF152" t="s">
        <v>84</v>
      </c>
      <c r="AG152" t="s">
        <v>84</v>
      </c>
      <c r="AH152" s="33">
        <f t="shared" si="7"/>
      </c>
      <c r="AI152" s="33">
        <f t="shared" si="8"/>
      </c>
    </row>
    <row r="153" ht="27.6" customHeight="1" spans="1:35" x14ac:dyDescent="0.25">
      <c r="A153" s="27" t="s">
        <v>587</v>
      </c>
      <c r="B153">
        <f t="shared" si="6"/>
        <v>0</v>
      </c>
      <c r="C153" t="s">
        <v>64</v>
      </c>
      <c r="D153" s="27" t="s">
        <v>102</v>
      </c>
      <c r="E153" t="s">
        <v>685</v>
      </c>
      <c r="F153" s="28">
        <v>0</v>
      </c>
      <c r="G153" s="29">
        <v>1</v>
      </c>
      <c r="H153" s="30" t="s">
        <v>686</v>
      </c>
      <c r="I153" t="s">
        <v>65</v>
      </c>
      <c r="J1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145</v>
      </c>
      <c r="L153" t="s">
        <v>146</v>
      </c>
      <c r="N153" s="29">
        <v>1</v>
      </c>
      <c r="P153" s="29">
        <v>1</v>
      </c>
      <c r="R153" s="29">
        <v>1</v>
      </c>
      <c r="S153" t="s">
        <v>70</v>
      </c>
      <c r="T153" t="s">
        <v>72</v>
      </c>
      <c r="U153" s="32">
        <v>30</v>
      </c>
      <c r="V153">
        <v>30</v>
      </c>
      <c r="W153" t="s">
        <v>79</v>
      </c>
      <c r="X153" t="s">
        <v>687</v>
      </c>
      <c r="Y153" t="s">
        <v>688</v>
      </c>
      <c r="AA153" t="s">
        <v>75</v>
      </c>
      <c r="AC153" t="s">
        <v>83</v>
      </c>
      <c r="AE153" t="s">
        <v>75</v>
      </c>
      <c r="AF153" t="s">
        <v>84</v>
      </c>
      <c r="AG153" t="s">
        <v>84</v>
      </c>
      <c r="AH153" s="33">
        <f t="shared" si="7"/>
      </c>
      <c r="AI153" s="33">
        <f t="shared" si="8"/>
      </c>
    </row>
    <row r="154" ht="27.6" customHeight="1" spans="1:35" x14ac:dyDescent="0.25">
      <c r="A154" s="27" t="s">
        <v>689</v>
      </c>
      <c r="B154">
        <f t="shared" si="6"/>
        <v>0</v>
      </c>
      <c r="C154" t="s">
        <v>64</v>
      </c>
      <c r="D154" s="27" t="s">
        <v>102</v>
      </c>
      <c r="E154" t="s">
        <v>685</v>
      </c>
      <c r="F154" s="28">
        <v>0</v>
      </c>
      <c r="G154" s="29">
        <v>1</v>
      </c>
      <c r="H154" s="30" t="s">
        <v>690</v>
      </c>
      <c r="I154" t="s">
        <v>65</v>
      </c>
      <c r="J1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145</v>
      </c>
      <c r="L154" t="s">
        <v>146</v>
      </c>
      <c r="N154" s="29">
        <v>1</v>
      </c>
      <c r="P154" s="29">
        <v>1</v>
      </c>
      <c r="R154" s="29">
        <v>1</v>
      </c>
      <c r="S154" t="s">
        <v>70</v>
      </c>
      <c r="T154" t="s">
        <v>72</v>
      </c>
      <c r="U154" s="32">
        <v>30</v>
      </c>
      <c r="V154">
        <v>30</v>
      </c>
      <c r="W154" t="s">
        <v>79</v>
      </c>
      <c r="X154" t="s">
        <v>687</v>
      </c>
      <c r="Y154" t="s">
        <v>688</v>
      </c>
      <c r="AA154" t="s">
        <v>75</v>
      </c>
      <c r="AC154" t="s">
        <v>83</v>
      </c>
      <c r="AE154" t="s">
        <v>75</v>
      </c>
      <c r="AF154" t="s">
        <v>84</v>
      </c>
      <c r="AG154" t="s">
        <v>84</v>
      </c>
      <c r="AH154" s="33">
        <f t="shared" si="7"/>
      </c>
      <c r="AI154" s="33">
        <f t="shared" si="8"/>
      </c>
    </row>
    <row r="155" ht="27.6" customHeight="1" spans="1:35" x14ac:dyDescent="0.25">
      <c r="A155" s="27" t="s">
        <v>691</v>
      </c>
      <c r="B155">
        <f t="shared" si="6"/>
        <v>0</v>
      </c>
      <c r="C155" t="s">
        <v>64</v>
      </c>
      <c r="D155" s="27" t="s">
        <v>102</v>
      </c>
      <c r="E155" t="s">
        <v>692</v>
      </c>
      <c r="F155" s="28">
        <v>0</v>
      </c>
      <c r="G155" s="29">
        <v>1</v>
      </c>
      <c r="H155" s="30" t="s">
        <v>693</v>
      </c>
      <c r="I155" t="s">
        <v>65</v>
      </c>
      <c r="J1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145</v>
      </c>
      <c r="L155" t="s">
        <v>146</v>
      </c>
      <c r="N155" s="29">
        <v>1</v>
      </c>
      <c r="P155" s="29">
        <v>1</v>
      </c>
      <c r="R155" s="29">
        <v>1</v>
      </c>
      <c r="S155" t="s">
        <v>70</v>
      </c>
      <c r="T155" t="s">
        <v>72</v>
      </c>
      <c r="U155" s="32">
        <v>30</v>
      </c>
      <c r="V155">
        <v>30</v>
      </c>
      <c r="W155" t="s">
        <v>79</v>
      </c>
      <c r="X155" t="s">
        <v>687</v>
      </c>
      <c r="Y155" t="s">
        <v>694</v>
      </c>
      <c r="AA155" t="s">
        <v>75</v>
      </c>
      <c r="AC155" t="s">
        <v>83</v>
      </c>
      <c r="AE155" t="s">
        <v>75</v>
      </c>
      <c r="AF155" t="s">
        <v>84</v>
      </c>
      <c r="AG155" t="s">
        <v>84</v>
      </c>
      <c r="AH155" s="33">
        <f t="shared" si="7"/>
      </c>
      <c r="AI155" s="33">
        <f t="shared" si="8"/>
      </c>
    </row>
    <row r="156" ht="27.6" customHeight="1" spans="1:35" x14ac:dyDescent="0.25">
      <c r="A156" s="27" t="s">
        <v>695</v>
      </c>
      <c r="B156">
        <f t="shared" si="6"/>
        <v>0</v>
      </c>
      <c r="C156" t="s">
        <v>64</v>
      </c>
      <c r="D156" s="27" t="s">
        <v>102</v>
      </c>
      <c r="E156" t="s">
        <v>696</v>
      </c>
      <c r="F156" s="28">
        <v>0</v>
      </c>
      <c r="G156" s="29">
        <v>1</v>
      </c>
      <c r="H156" s="30" t="s">
        <v>697</v>
      </c>
      <c r="I156" t="s">
        <v>65</v>
      </c>
      <c r="J1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145</v>
      </c>
      <c r="L156" t="s">
        <v>146</v>
      </c>
      <c r="N156" s="29">
        <v>1</v>
      </c>
      <c r="P156" s="29">
        <v>1</v>
      </c>
      <c r="R156" s="29">
        <v>1</v>
      </c>
      <c r="S156" t="s">
        <v>70</v>
      </c>
      <c r="T156" t="s">
        <v>72</v>
      </c>
      <c r="U156" s="32">
        <v>30</v>
      </c>
      <c r="V156">
        <v>30</v>
      </c>
      <c r="W156" t="s">
        <v>79</v>
      </c>
      <c r="X156" t="s">
        <v>687</v>
      </c>
      <c r="Y156" t="s">
        <v>698</v>
      </c>
      <c r="AA156" t="s">
        <v>75</v>
      </c>
      <c r="AC156" t="s">
        <v>83</v>
      </c>
      <c r="AE156" t="s">
        <v>75</v>
      </c>
      <c r="AF156" t="s">
        <v>84</v>
      </c>
      <c r="AG156" t="s">
        <v>84</v>
      </c>
      <c r="AH156" s="33">
        <f t="shared" si="7"/>
      </c>
      <c r="AI156" s="33">
        <f t="shared" si="8"/>
      </c>
    </row>
    <row r="157" ht="27.6" customHeight="1" spans="1:35" x14ac:dyDescent="0.25">
      <c r="A157" s="27" t="s">
        <v>699</v>
      </c>
      <c r="B157">
        <f t="shared" si="6"/>
        <v>0</v>
      </c>
      <c r="C157" t="s">
        <v>64</v>
      </c>
      <c r="D157" s="27" t="s">
        <v>102</v>
      </c>
      <c r="E157" t="s">
        <v>700</v>
      </c>
      <c r="F157" s="28">
        <v>0</v>
      </c>
      <c r="G157" s="29">
        <v>1</v>
      </c>
      <c r="H157" s="30" t="s">
        <v>701</v>
      </c>
      <c r="I157" t="s">
        <v>65</v>
      </c>
      <c r="J1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145</v>
      </c>
      <c r="L157" t="s">
        <v>146</v>
      </c>
      <c r="N157" s="29">
        <v>1</v>
      </c>
      <c r="P157" s="29">
        <v>1</v>
      </c>
      <c r="R157" s="29">
        <v>1</v>
      </c>
      <c r="S157" t="s">
        <v>70</v>
      </c>
      <c r="T157" t="s">
        <v>72</v>
      </c>
      <c r="U157" s="32">
        <v>30</v>
      </c>
      <c r="V157">
        <v>30</v>
      </c>
      <c r="W157" t="s">
        <v>79</v>
      </c>
      <c r="X157" t="s">
        <v>687</v>
      </c>
      <c r="Y157" t="s">
        <v>702</v>
      </c>
      <c r="AA157" t="s">
        <v>75</v>
      </c>
      <c r="AC157" t="s">
        <v>83</v>
      </c>
      <c r="AE157" t="s">
        <v>75</v>
      </c>
      <c r="AF157" t="s">
        <v>84</v>
      </c>
      <c r="AG157" t="s">
        <v>84</v>
      </c>
      <c r="AH157" s="33">
        <f t="shared" si="7"/>
      </c>
      <c r="AI157" s="33">
        <f t="shared" si="8"/>
      </c>
    </row>
    <row r="158" ht="27.6" customHeight="1" spans="1:35" x14ac:dyDescent="0.25">
      <c r="A158" s="27" t="s">
        <v>703</v>
      </c>
      <c r="B158">
        <f t="shared" si="6"/>
        <v>0</v>
      </c>
      <c r="C158" t="s">
        <v>64</v>
      </c>
      <c r="D158" s="27" t="s">
        <v>102</v>
      </c>
      <c r="E158" t="s">
        <v>704</v>
      </c>
      <c r="F158" s="28">
        <v>0</v>
      </c>
      <c r="G158" s="29">
        <v>1</v>
      </c>
      <c r="H158" s="30" t="s">
        <v>705</v>
      </c>
      <c r="I158" t="s">
        <v>65</v>
      </c>
      <c r="J1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145</v>
      </c>
      <c r="L158" t="s">
        <v>146</v>
      </c>
      <c r="N158" s="29">
        <v>1</v>
      </c>
      <c r="P158" s="29">
        <v>1</v>
      </c>
      <c r="R158" s="29">
        <v>1</v>
      </c>
      <c r="S158" t="s">
        <v>70</v>
      </c>
      <c r="T158" t="s">
        <v>72</v>
      </c>
      <c r="U158" s="32">
        <v>30</v>
      </c>
      <c r="V158">
        <v>30</v>
      </c>
      <c r="W158" t="s">
        <v>79</v>
      </c>
      <c r="X158" t="s">
        <v>687</v>
      </c>
      <c r="Y158" t="s">
        <v>706</v>
      </c>
      <c r="AA158" t="s">
        <v>75</v>
      </c>
      <c r="AC158" t="s">
        <v>83</v>
      </c>
      <c r="AE158" t="s">
        <v>75</v>
      </c>
      <c r="AF158" t="s">
        <v>84</v>
      </c>
      <c r="AG158" t="s">
        <v>84</v>
      </c>
      <c r="AH158" s="33">
        <f t="shared" si="7"/>
      </c>
      <c r="AI158" s="33">
        <f t="shared" si="8"/>
      </c>
    </row>
    <row r="159" ht="27.6" customHeight="1" spans="1:35" x14ac:dyDescent="0.25">
      <c r="A159" s="27" t="s">
        <v>313</v>
      </c>
      <c r="B159">
        <f t="shared" si="6"/>
        <v>0</v>
      </c>
      <c r="C159" t="s">
        <v>64</v>
      </c>
      <c r="D159" s="27" t="s">
        <v>707</v>
      </c>
      <c r="E159" t="s">
        <v>708</v>
      </c>
      <c r="F159" s="28">
        <v>0</v>
      </c>
      <c r="G159" s="29">
        <v>1</v>
      </c>
      <c r="H159" s="30" t="s">
        <v>709</v>
      </c>
      <c r="I159" t="s">
        <v>65</v>
      </c>
      <c r="J1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145</v>
      </c>
      <c r="L159" t="s">
        <v>146</v>
      </c>
      <c r="N159" s="29">
        <v>1</v>
      </c>
      <c r="P159" s="29">
        <v>1</v>
      </c>
      <c r="R159" s="29">
        <v>1</v>
      </c>
      <c r="S159" t="s">
        <v>70</v>
      </c>
      <c r="T159" t="s">
        <v>72</v>
      </c>
      <c r="U159" s="32">
        <v>30</v>
      </c>
      <c r="V159">
        <v>30</v>
      </c>
      <c r="W159" t="s">
        <v>79</v>
      </c>
      <c r="X159" t="s">
        <v>171</v>
      </c>
      <c r="Y159" t="s">
        <v>710</v>
      </c>
      <c r="AA159" t="s">
        <v>75</v>
      </c>
      <c r="AC159" t="s">
        <v>83</v>
      </c>
      <c r="AE159" t="s">
        <v>75</v>
      </c>
      <c r="AF159" t="s">
        <v>84</v>
      </c>
      <c r="AG159" t="s">
        <v>84</v>
      </c>
      <c r="AH159" s="33">
        <f t="shared" si="7"/>
      </c>
      <c r="AI159" s="33">
        <f t="shared" si="8"/>
      </c>
    </row>
    <row r="160" ht="27.6" customHeight="1" spans="1:35" x14ac:dyDescent="0.25">
      <c r="A160" s="27" t="s">
        <v>316</v>
      </c>
      <c r="B160">
        <f t="shared" si="6"/>
        <v>0</v>
      </c>
      <c r="C160" t="s">
        <v>64</v>
      </c>
      <c r="D160" s="27" t="s">
        <v>707</v>
      </c>
      <c r="E160" t="s">
        <v>708</v>
      </c>
      <c r="F160" s="28">
        <v>0</v>
      </c>
      <c r="G160" s="29">
        <v>1</v>
      </c>
      <c r="H160" s="30" t="s">
        <v>711</v>
      </c>
      <c r="I160" t="s">
        <v>65</v>
      </c>
      <c r="J1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145</v>
      </c>
      <c r="L160" t="s">
        <v>146</v>
      </c>
      <c r="N160" s="29">
        <v>1</v>
      </c>
      <c r="P160" s="29">
        <v>1</v>
      </c>
      <c r="R160" s="29">
        <v>1</v>
      </c>
      <c r="S160" t="s">
        <v>70</v>
      </c>
      <c r="T160" t="s">
        <v>72</v>
      </c>
      <c r="U160" s="32">
        <v>30</v>
      </c>
      <c r="V160">
        <v>30</v>
      </c>
      <c r="W160" t="s">
        <v>79</v>
      </c>
      <c r="X160" t="s">
        <v>171</v>
      </c>
      <c r="Y160" t="s">
        <v>710</v>
      </c>
      <c r="AA160" t="s">
        <v>75</v>
      </c>
      <c r="AC160" t="s">
        <v>83</v>
      </c>
      <c r="AE160" t="s">
        <v>75</v>
      </c>
      <c r="AF160" t="s">
        <v>84</v>
      </c>
      <c r="AG160" t="s">
        <v>84</v>
      </c>
      <c r="AH160" s="33">
        <f t="shared" si="7"/>
      </c>
      <c r="AI160" s="33">
        <f t="shared" si="8"/>
      </c>
    </row>
    <row r="161" ht="27.6" customHeight="1" spans="1:35" x14ac:dyDescent="0.25">
      <c r="A161" s="27" t="s">
        <v>712</v>
      </c>
      <c r="B161">
        <f t="shared" si="6"/>
        <v>0</v>
      </c>
      <c r="C161" t="s">
        <v>64</v>
      </c>
      <c r="D161" s="27" t="s">
        <v>713</v>
      </c>
      <c r="E161" t="s">
        <v>714</v>
      </c>
      <c r="F161" s="28">
        <v>0</v>
      </c>
      <c r="G161" s="29">
        <v>1</v>
      </c>
      <c r="H161" s="30" t="s">
        <v>715</v>
      </c>
      <c r="I161" t="s">
        <v>65</v>
      </c>
      <c r="J1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145</v>
      </c>
      <c r="L161" t="s">
        <v>146</v>
      </c>
      <c r="N161" s="29">
        <v>1</v>
      </c>
      <c r="P161" s="29">
        <v>1</v>
      </c>
      <c r="R161" s="29">
        <v>1</v>
      </c>
      <c r="S161" t="s">
        <v>70</v>
      </c>
      <c r="T161" t="s">
        <v>72</v>
      </c>
      <c r="U161" s="32">
        <v>30</v>
      </c>
      <c r="V161">
        <v>30</v>
      </c>
      <c r="W161" t="s">
        <v>79</v>
      </c>
      <c r="X161" t="s">
        <v>171</v>
      </c>
      <c r="Y161" t="s">
        <v>716</v>
      </c>
      <c r="AA161" t="s">
        <v>75</v>
      </c>
      <c r="AC161" t="s">
        <v>83</v>
      </c>
      <c r="AE161" t="s">
        <v>75</v>
      </c>
      <c r="AF161" t="s">
        <v>84</v>
      </c>
      <c r="AG161" t="s">
        <v>84</v>
      </c>
      <c r="AH161" s="33">
        <f t="shared" si="7"/>
      </c>
      <c r="AI161" s="33">
        <f t="shared" si="8"/>
      </c>
    </row>
    <row r="162" ht="27.6" customHeight="1" spans="1:35" x14ac:dyDescent="0.25">
      <c r="A162" s="27" t="s">
        <v>717</v>
      </c>
      <c r="B162">
        <f t="shared" si="6"/>
        <v>0</v>
      </c>
      <c r="C162" t="s">
        <v>64</v>
      </c>
      <c r="D162" s="27" t="s">
        <v>102</v>
      </c>
      <c r="E162" t="s">
        <v>718</v>
      </c>
      <c r="F162" s="28">
        <v>0</v>
      </c>
      <c r="G162" s="29">
        <v>1</v>
      </c>
      <c r="H162" s="30" t="s">
        <v>719</v>
      </c>
      <c r="I162" t="s">
        <v>65</v>
      </c>
      <c r="J1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145</v>
      </c>
      <c r="L162" t="s">
        <v>146</v>
      </c>
      <c r="N162" s="29">
        <v>1</v>
      </c>
      <c r="P162" s="29">
        <v>1</v>
      </c>
      <c r="R162" s="29">
        <v>1</v>
      </c>
      <c r="S162" t="s">
        <v>70</v>
      </c>
      <c r="T162" t="s">
        <v>72</v>
      </c>
      <c r="U162" s="32">
        <v>30</v>
      </c>
      <c r="V162">
        <v>30</v>
      </c>
      <c r="W162" t="s">
        <v>79</v>
      </c>
      <c r="X162" t="s">
        <v>171</v>
      </c>
      <c r="Y162" t="s">
        <v>720</v>
      </c>
      <c r="AA162" t="s">
        <v>75</v>
      </c>
      <c r="AC162" t="s">
        <v>83</v>
      </c>
      <c r="AE162" t="s">
        <v>75</v>
      </c>
      <c r="AF162" t="s">
        <v>84</v>
      </c>
      <c r="AG162" t="s">
        <v>84</v>
      </c>
      <c r="AH162" s="33">
        <f t="shared" si="7"/>
      </c>
      <c r="AI162" s="33">
        <f t="shared" si="8"/>
      </c>
    </row>
    <row r="163" ht="27.6" customHeight="1" spans="1:35" x14ac:dyDescent="0.25">
      <c r="A163" s="27" t="s">
        <v>386</v>
      </c>
      <c r="B163">
        <f t="shared" si="6"/>
        <v>0</v>
      </c>
      <c r="C163" t="s">
        <v>64</v>
      </c>
      <c r="D163" s="27" t="s">
        <v>102</v>
      </c>
      <c r="E163" t="s">
        <v>721</v>
      </c>
      <c r="F163" s="28">
        <v>0</v>
      </c>
      <c r="G163" s="29">
        <v>1</v>
      </c>
      <c r="H163" s="30" t="s">
        <v>722</v>
      </c>
      <c r="I163" t="s">
        <v>65</v>
      </c>
      <c r="J1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145</v>
      </c>
      <c r="L163" t="s">
        <v>146</v>
      </c>
      <c r="N163" s="29">
        <v>1</v>
      </c>
      <c r="P163" s="29">
        <v>1</v>
      </c>
      <c r="R163" s="29">
        <v>1</v>
      </c>
      <c r="S163" t="s">
        <v>70</v>
      </c>
      <c r="T163" t="s">
        <v>72</v>
      </c>
      <c r="U163" s="32">
        <v>30</v>
      </c>
      <c r="V163">
        <v>30</v>
      </c>
      <c r="W163" t="s">
        <v>79</v>
      </c>
      <c r="X163" t="s">
        <v>171</v>
      </c>
      <c r="Y163" t="s">
        <v>723</v>
      </c>
      <c r="AA163" t="s">
        <v>75</v>
      </c>
      <c r="AC163" t="s">
        <v>83</v>
      </c>
      <c r="AE163" t="s">
        <v>75</v>
      </c>
      <c r="AF163" t="s">
        <v>84</v>
      </c>
      <c r="AG163" t="s">
        <v>84</v>
      </c>
      <c r="AH163" s="33">
        <f t="shared" si="7"/>
      </c>
      <c r="AI163" s="33">
        <f t="shared" si="8"/>
      </c>
    </row>
    <row r="164" ht="27.6" customHeight="1" spans="1:35" x14ac:dyDescent="0.25">
      <c r="A164" s="27" t="s">
        <v>390</v>
      </c>
      <c r="B164">
        <f t="shared" si="6"/>
        <v>0</v>
      </c>
      <c r="C164" t="s">
        <v>64</v>
      </c>
      <c r="D164" s="27" t="s">
        <v>102</v>
      </c>
      <c r="E164" t="s">
        <v>721</v>
      </c>
      <c r="F164" s="28">
        <v>0</v>
      </c>
      <c r="G164" s="29">
        <v>1</v>
      </c>
      <c r="H164" s="30" t="s">
        <v>724</v>
      </c>
      <c r="I164" t="s">
        <v>65</v>
      </c>
      <c r="J1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145</v>
      </c>
      <c r="L164" t="s">
        <v>146</v>
      </c>
      <c r="N164" s="29">
        <v>1</v>
      </c>
      <c r="P164" s="29">
        <v>1</v>
      </c>
      <c r="R164" s="29">
        <v>1</v>
      </c>
      <c r="S164" t="s">
        <v>70</v>
      </c>
      <c r="T164" t="s">
        <v>72</v>
      </c>
      <c r="U164" s="32">
        <v>30</v>
      </c>
      <c r="V164">
        <v>30</v>
      </c>
      <c r="W164" t="s">
        <v>79</v>
      </c>
      <c r="X164" t="s">
        <v>171</v>
      </c>
      <c r="Y164" t="s">
        <v>723</v>
      </c>
      <c r="AA164" t="s">
        <v>75</v>
      </c>
      <c r="AC164" t="s">
        <v>83</v>
      </c>
      <c r="AE164" t="s">
        <v>75</v>
      </c>
      <c r="AF164" t="s">
        <v>84</v>
      </c>
      <c r="AG164" t="s">
        <v>84</v>
      </c>
      <c r="AH164" s="33">
        <f t="shared" si="7"/>
      </c>
      <c r="AI164" s="33">
        <f t="shared" si="8"/>
      </c>
    </row>
    <row r="165" ht="27.6" customHeight="1" spans="1:35" x14ac:dyDescent="0.25">
      <c r="A165" s="27" t="s">
        <v>392</v>
      </c>
      <c r="B165">
        <f t="shared" si="6"/>
        <v>0</v>
      </c>
      <c r="C165" t="s">
        <v>64</v>
      </c>
      <c r="D165" s="27" t="s">
        <v>725</v>
      </c>
      <c r="E165" t="s">
        <v>726</v>
      </c>
      <c r="F165" s="28">
        <v>0</v>
      </c>
      <c r="G165" s="29">
        <v>1</v>
      </c>
      <c r="H165" s="30" t="s">
        <v>727</v>
      </c>
      <c r="I165" t="s">
        <v>65</v>
      </c>
      <c r="J1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145</v>
      </c>
      <c r="L165" t="s">
        <v>146</v>
      </c>
      <c r="N165" s="29">
        <v>1</v>
      </c>
      <c r="P165" s="29">
        <v>1</v>
      </c>
      <c r="R165" s="29">
        <v>1</v>
      </c>
      <c r="S165" t="s">
        <v>70</v>
      </c>
      <c r="T165" t="s">
        <v>72</v>
      </c>
      <c r="U165" s="32">
        <v>30</v>
      </c>
      <c r="V165">
        <v>30</v>
      </c>
      <c r="W165" t="s">
        <v>79</v>
      </c>
      <c r="X165" t="s">
        <v>171</v>
      </c>
      <c r="Y165" t="s">
        <v>728</v>
      </c>
      <c r="AA165" t="s">
        <v>75</v>
      </c>
      <c r="AC165" t="s">
        <v>83</v>
      </c>
      <c r="AE165" t="s">
        <v>75</v>
      </c>
      <c r="AF165" t="s">
        <v>84</v>
      </c>
      <c r="AG165" t="s">
        <v>84</v>
      </c>
      <c r="AH165" s="33">
        <f t="shared" si="7"/>
      </c>
      <c r="AI165" s="33">
        <f t="shared" si="8"/>
      </c>
    </row>
    <row r="166" ht="27.6" customHeight="1" spans="1:35" x14ac:dyDescent="0.25">
      <c r="A166" s="27" t="s">
        <v>283</v>
      </c>
      <c r="B166">
        <f t="shared" si="6"/>
        <v>0</v>
      </c>
      <c r="C166" t="s">
        <v>64</v>
      </c>
      <c r="D166" s="27" t="s">
        <v>729</v>
      </c>
      <c r="E166" t="s">
        <v>730</v>
      </c>
      <c r="F166" s="28">
        <v>0</v>
      </c>
      <c r="G166" s="29">
        <v>1</v>
      </c>
      <c r="H166" s="30" t="s">
        <v>731</v>
      </c>
      <c r="I166" t="s">
        <v>65</v>
      </c>
      <c r="J1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145</v>
      </c>
      <c r="L166" t="s">
        <v>146</v>
      </c>
      <c r="N166" s="29">
        <v>1</v>
      </c>
      <c r="P166" s="29">
        <v>1</v>
      </c>
      <c r="R166" s="29">
        <v>1</v>
      </c>
      <c r="S166" t="s">
        <v>70</v>
      </c>
      <c r="T166" t="s">
        <v>72</v>
      </c>
      <c r="U166" s="32">
        <v>30</v>
      </c>
      <c r="V166">
        <v>30</v>
      </c>
      <c r="W166" t="s">
        <v>79</v>
      </c>
      <c r="X166" t="s">
        <v>171</v>
      </c>
      <c r="Y166" t="s">
        <v>732</v>
      </c>
      <c r="AA166" t="s">
        <v>75</v>
      </c>
      <c r="AC166" t="s">
        <v>83</v>
      </c>
      <c r="AE166" t="s">
        <v>75</v>
      </c>
      <c r="AF166" t="s">
        <v>84</v>
      </c>
      <c r="AG166" t="s">
        <v>84</v>
      </c>
      <c r="AH166" s="33">
        <f t="shared" si="7"/>
      </c>
      <c r="AI166" s="33">
        <f t="shared" si="8"/>
      </c>
    </row>
    <row r="167" ht="27.6" customHeight="1" spans="1:35" x14ac:dyDescent="0.25">
      <c r="A167" s="27" t="s">
        <v>287</v>
      </c>
      <c r="B167">
        <f t="shared" si="6"/>
        <v>0</v>
      </c>
      <c r="C167" t="s">
        <v>64</v>
      </c>
      <c r="D167" s="27" t="s">
        <v>729</v>
      </c>
      <c r="E167" t="s">
        <v>730</v>
      </c>
      <c r="F167" s="28">
        <v>0</v>
      </c>
      <c r="G167" s="29">
        <v>1</v>
      </c>
      <c r="H167" s="30" t="s">
        <v>733</v>
      </c>
      <c r="I167" t="s">
        <v>65</v>
      </c>
      <c r="J1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145</v>
      </c>
      <c r="L167" t="s">
        <v>146</v>
      </c>
      <c r="N167" s="29">
        <v>1</v>
      </c>
      <c r="P167" s="29">
        <v>1</v>
      </c>
      <c r="R167" s="29">
        <v>1</v>
      </c>
      <c r="S167" t="s">
        <v>70</v>
      </c>
      <c r="T167" t="s">
        <v>72</v>
      </c>
      <c r="U167" s="32">
        <v>30</v>
      </c>
      <c r="V167">
        <v>30</v>
      </c>
      <c r="W167" t="s">
        <v>79</v>
      </c>
      <c r="X167" t="s">
        <v>171</v>
      </c>
      <c r="Y167" t="s">
        <v>732</v>
      </c>
      <c r="AA167" t="s">
        <v>75</v>
      </c>
      <c r="AC167" t="s">
        <v>83</v>
      </c>
      <c r="AE167" t="s">
        <v>75</v>
      </c>
      <c r="AF167" t="s">
        <v>84</v>
      </c>
      <c r="AG167" t="s">
        <v>84</v>
      </c>
      <c r="AH167" s="33">
        <f t="shared" si="7"/>
      </c>
      <c r="AI167" s="33">
        <f t="shared" si="8"/>
      </c>
    </row>
    <row r="168" ht="27.6" customHeight="1" spans="1:35" x14ac:dyDescent="0.25">
      <c r="A168" s="27" t="s">
        <v>734</v>
      </c>
      <c r="B168">
        <f t="shared" si="6"/>
        <v>0</v>
      </c>
      <c r="C168" t="s">
        <v>64</v>
      </c>
      <c r="D168" s="27" t="s">
        <v>102</v>
      </c>
      <c r="E168" t="s">
        <v>735</v>
      </c>
      <c r="F168" s="28">
        <v>0</v>
      </c>
      <c r="G168" s="29">
        <v>1</v>
      </c>
      <c r="H168" s="30" t="s">
        <v>736</v>
      </c>
      <c r="I168" t="s">
        <v>65</v>
      </c>
      <c r="J1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145</v>
      </c>
      <c r="L168" t="s">
        <v>146</v>
      </c>
      <c r="N168" s="29">
        <v>1</v>
      </c>
      <c r="P168" s="29">
        <v>1</v>
      </c>
      <c r="R168" s="29">
        <v>1</v>
      </c>
      <c r="S168" t="s">
        <v>70</v>
      </c>
      <c r="T168" t="s">
        <v>72</v>
      </c>
      <c r="U168" s="32">
        <v>30</v>
      </c>
      <c r="V168">
        <v>30</v>
      </c>
      <c r="W168" t="s">
        <v>79</v>
      </c>
      <c r="X168" t="s">
        <v>171</v>
      </c>
      <c r="Y168" t="s">
        <v>735</v>
      </c>
      <c r="AA168" t="s">
        <v>75</v>
      </c>
      <c r="AC168" t="s">
        <v>83</v>
      </c>
      <c r="AE168" t="s">
        <v>75</v>
      </c>
      <c r="AF168" t="s">
        <v>84</v>
      </c>
      <c r="AG168" t="s">
        <v>84</v>
      </c>
      <c r="AH168" s="33">
        <f t="shared" si="7"/>
      </c>
      <c r="AI168" s="33">
        <f t="shared" si="8"/>
      </c>
    </row>
    <row r="169" ht="27.6" customHeight="1" spans="1:35" x14ac:dyDescent="0.25">
      <c r="A169" s="27" t="s">
        <v>737</v>
      </c>
      <c r="B169">
        <f t="shared" si="6"/>
        <v>0</v>
      </c>
      <c r="C169" t="s">
        <v>64</v>
      </c>
      <c r="D169" s="27" t="s">
        <v>102</v>
      </c>
      <c r="E169" t="s">
        <v>738</v>
      </c>
      <c r="F169" s="28">
        <v>0</v>
      </c>
      <c r="G169" s="29">
        <v>1</v>
      </c>
      <c r="H169" s="30" t="s">
        <v>739</v>
      </c>
      <c r="I169" t="s">
        <v>65</v>
      </c>
      <c r="J1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145</v>
      </c>
      <c r="L169" t="s">
        <v>146</v>
      </c>
      <c r="N169" s="29">
        <v>1</v>
      </c>
      <c r="P169" s="29">
        <v>1</v>
      </c>
      <c r="R169" s="29">
        <v>1</v>
      </c>
      <c r="S169" t="s">
        <v>70</v>
      </c>
      <c r="T169" t="s">
        <v>72</v>
      </c>
      <c r="U169" s="32">
        <v>30</v>
      </c>
      <c r="V169">
        <v>30</v>
      </c>
      <c r="W169" t="s">
        <v>79</v>
      </c>
      <c r="X169" t="s">
        <v>171</v>
      </c>
      <c r="Y169" t="s">
        <v>738</v>
      </c>
      <c r="AA169" t="s">
        <v>75</v>
      </c>
      <c r="AC169" t="s">
        <v>83</v>
      </c>
      <c r="AE169" t="s">
        <v>75</v>
      </c>
      <c r="AF169" t="s">
        <v>84</v>
      </c>
      <c r="AG169" t="s">
        <v>84</v>
      </c>
      <c r="AH169" s="33">
        <f t="shared" si="7"/>
      </c>
      <c r="AI169" s="33">
        <f t="shared" si="8"/>
      </c>
    </row>
    <row r="170" ht="27.6" customHeight="1" spans="1:35" x14ac:dyDescent="0.25">
      <c r="A170" s="27" t="s">
        <v>740</v>
      </c>
      <c r="B170">
        <f t="shared" si="6"/>
        <v>0</v>
      </c>
      <c r="C170" t="s">
        <v>64</v>
      </c>
      <c r="D170" s="27" t="s">
        <v>102</v>
      </c>
      <c r="E170" t="s">
        <v>741</v>
      </c>
      <c r="F170" s="28">
        <v>0</v>
      </c>
      <c r="G170" s="29">
        <v>1</v>
      </c>
      <c r="H170" s="30" t="s">
        <v>742</v>
      </c>
      <c r="I170" t="s">
        <v>65</v>
      </c>
      <c r="J1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145</v>
      </c>
      <c r="L170" t="s">
        <v>146</v>
      </c>
      <c r="N170" s="29">
        <v>1</v>
      </c>
      <c r="P170" s="29">
        <v>1</v>
      </c>
      <c r="R170" s="29">
        <v>1</v>
      </c>
      <c r="S170" t="s">
        <v>70</v>
      </c>
      <c r="T170" t="s">
        <v>72</v>
      </c>
      <c r="U170" s="32">
        <v>30</v>
      </c>
      <c r="V170">
        <v>30</v>
      </c>
      <c r="W170" t="s">
        <v>79</v>
      </c>
      <c r="X170" t="s">
        <v>171</v>
      </c>
      <c r="Y170" t="s">
        <v>741</v>
      </c>
      <c r="AA170" t="s">
        <v>75</v>
      </c>
      <c r="AC170" t="s">
        <v>83</v>
      </c>
      <c r="AE170" t="s">
        <v>75</v>
      </c>
      <c r="AF170" t="s">
        <v>84</v>
      </c>
      <c r="AG170" t="s">
        <v>84</v>
      </c>
      <c r="AH170" s="33">
        <f t="shared" si="7"/>
      </c>
      <c r="AI170" s="33">
        <f t="shared" si="8"/>
      </c>
    </row>
    <row r="171" ht="27.6" customHeight="1" spans="1:35" x14ac:dyDescent="0.25">
      <c r="A171" s="27" t="s">
        <v>377</v>
      </c>
      <c r="B171">
        <f t="shared" si="6"/>
        <v>0</v>
      </c>
      <c r="C171" t="s">
        <v>64</v>
      </c>
      <c r="D171" s="27" t="s">
        <v>743</v>
      </c>
      <c r="E171" t="s">
        <v>744</v>
      </c>
      <c r="F171" s="28">
        <v>0</v>
      </c>
      <c r="G171" s="29">
        <v>1</v>
      </c>
      <c r="H171" s="30" t="s">
        <v>745</v>
      </c>
      <c r="I171" t="s">
        <v>65</v>
      </c>
      <c r="J1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145</v>
      </c>
      <c r="L171" t="s">
        <v>146</v>
      </c>
      <c r="N171" s="29">
        <v>1</v>
      </c>
      <c r="P171" s="29">
        <v>1</v>
      </c>
      <c r="R171" s="29">
        <v>1</v>
      </c>
      <c r="S171" t="s">
        <v>70</v>
      </c>
      <c r="T171" t="s">
        <v>72</v>
      </c>
      <c r="U171" s="32">
        <v>30</v>
      </c>
      <c r="V171">
        <v>30</v>
      </c>
      <c r="W171" t="s">
        <v>79</v>
      </c>
      <c r="X171" t="s">
        <v>171</v>
      </c>
      <c r="Y171" t="s">
        <v>381</v>
      </c>
      <c r="AA171" t="s">
        <v>75</v>
      </c>
      <c r="AC171" t="s">
        <v>83</v>
      </c>
      <c r="AE171" t="s">
        <v>75</v>
      </c>
      <c r="AF171" t="s">
        <v>84</v>
      </c>
      <c r="AG171" t="s">
        <v>84</v>
      </c>
      <c r="AH171" s="33">
        <f t="shared" si="7"/>
      </c>
      <c r="AI171" s="33">
        <f t="shared" si="8"/>
      </c>
    </row>
    <row r="172" ht="27.6" customHeight="1" spans="1:35" x14ac:dyDescent="0.25">
      <c r="A172" s="27" t="s">
        <v>382</v>
      </c>
      <c r="B172">
        <f t="shared" si="6"/>
        <v>0</v>
      </c>
      <c r="C172" t="s">
        <v>64</v>
      </c>
      <c r="D172" s="27" t="s">
        <v>746</v>
      </c>
      <c r="E172" t="s">
        <v>747</v>
      </c>
      <c r="F172" s="28">
        <v>0</v>
      </c>
      <c r="G172" s="29">
        <v>1</v>
      </c>
      <c r="H172" s="30" t="s">
        <v>748</v>
      </c>
      <c r="I172" t="s">
        <v>65</v>
      </c>
      <c r="J1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145</v>
      </c>
      <c r="L172" t="s">
        <v>146</v>
      </c>
      <c r="N172" s="29">
        <v>1</v>
      </c>
      <c r="P172" s="29">
        <v>1</v>
      </c>
      <c r="R172" s="29">
        <v>1</v>
      </c>
      <c r="S172" t="s">
        <v>70</v>
      </c>
      <c r="T172" t="s">
        <v>72</v>
      </c>
      <c r="U172" s="32">
        <v>30</v>
      </c>
      <c r="V172">
        <v>30</v>
      </c>
      <c r="W172" t="s">
        <v>79</v>
      </c>
      <c r="X172" t="s">
        <v>171</v>
      </c>
      <c r="Y172" t="s">
        <v>749</v>
      </c>
      <c r="AA172" t="s">
        <v>75</v>
      </c>
      <c r="AC172" t="s">
        <v>83</v>
      </c>
      <c r="AE172" t="s">
        <v>75</v>
      </c>
      <c r="AF172" t="s">
        <v>84</v>
      </c>
      <c r="AG172" t="s">
        <v>84</v>
      </c>
      <c r="AH172" s="33">
        <f t="shared" si="7"/>
      </c>
      <c r="AI172" s="33">
        <f t="shared" si="8"/>
      </c>
    </row>
    <row r="173" ht="27.6" customHeight="1" spans="1:35" x14ac:dyDescent="0.25">
      <c r="A173" s="27" t="s">
        <v>673</v>
      </c>
      <c r="B173">
        <f t="shared" si="6"/>
        <v>0</v>
      </c>
      <c r="C173" t="s">
        <v>64</v>
      </c>
      <c r="D173" s="27" t="s">
        <v>102</v>
      </c>
      <c r="E173" t="s">
        <v>750</v>
      </c>
      <c r="F173" s="28">
        <v>0</v>
      </c>
      <c r="G173" s="29">
        <v>1</v>
      </c>
      <c r="H173" s="30" t="s">
        <v>751</v>
      </c>
      <c r="I173" t="s">
        <v>65</v>
      </c>
      <c r="J1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145</v>
      </c>
      <c r="L173" t="s">
        <v>146</v>
      </c>
      <c r="N173" s="29">
        <v>1</v>
      </c>
      <c r="P173" s="29">
        <v>1</v>
      </c>
      <c r="R173" s="29">
        <v>1</v>
      </c>
      <c r="S173" t="s">
        <v>70</v>
      </c>
      <c r="T173" t="s">
        <v>72</v>
      </c>
      <c r="U173" s="32">
        <v>30</v>
      </c>
      <c r="V173">
        <v>30</v>
      </c>
      <c r="W173" t="s">
        <v>79</v>
      </c>
      <c r="X173" t="s">
        <v>171</v>
      </c>
      <c r="Y173" t="s">
        <v>676</v>
      </c>
      <c r="AA173" t="s">
        <v>75</v>
      </c>
      <c r="AC173" t="s">
        <v>83</v>
      </c>
      <c r="AE173" t="s">
        <v>75</v>
      </c>
      <c r="AF173" t="s">
        <v>84</v>
      </c>
      <c r="AG173" t="s">
        <v>84</v>
      </c>
      <c r="AH173" s="33">
        <f t="shared" si="7"/>
      </c>
      <c r="AI173" s="33">
        <f t="shared" si="8"/>
      </c>
    </row>
    <row r="174" ht="27.6" customHeight="1" spans="1:35" x14ac:dyDescent="0.25">
      <c r="A174" s="27" t="s">
        <v>752</v>
      </c>
      <c r="B174">
        <f t="shared" si="6"/>
        <v>0</v>
      </c>
      <c r="C174" t="s">
        <v>64</v>
      </c>
      <c r="D174" s="27" t="s">
        <v>102</v>
      </c>
      <c r="E174" t="s">
        <v>753</v>
      </c>
      <c r="F174" s="28">
        <v>0</v>
      </c>
      <c r="G174" s="29">
        <v>1</v>
      </c>
      <c r="H174" s="30" t="s">
        <v>754</v>
      </c>
      <c r="I174" t="s">
        <v>65</v>
      </c>
      <c r="J1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145</v>
      </c>
      <c r="L174" t="s">
        <v>146</v>
      </c>
      <c r="N174" s="29">
        <v>1</v>
      </c>
      <c r="P174" s="29">
        <v>1</v>
      </c>
      <c r="R174" s="29">
        <v>1</v>
      </c>
      <c r="S174" t="s">
        <v>70</v>
      </c>
      <c r="T174" t="s">
        <v>72</v>
      </c>
      <c r="U174" s="32">
        <v>30</v>
      </c>
      <c r="V174">
        <v>30</v>
      </c>
      <c r="W174" t="s">
        <v>79</v>
      </c>
      <c r="X174" t="s">
        <v>171</v>
      </c>
      <c r="Y174" t="s">
        <v>755</v>
      </c>
      <c r="AA174" t="s">
        <v>75</v>
      </c>
      <c r="AC174" t="s">
        <v>83</v>
      </c>
      <c r="AE174" t="s">
        <v>75</v>
      </c>
      <c r="AF174" t="s">
        <v>84</v>
      </c>
      <c r="AG174" t="s">
        <v>84</v>
      </c>
      <c r="AH174" s="33">
        <f t="shared" si="7"/>
      </c>
      <c r="AI174" s="33">
        <f t="shared" si="8"/>
      </c>
    </row>
    <row r="175" ht="27.6" customHeight="1" spans="1:35" x14ac:dyDescent="0.25">
      <c r="A175" s="27" t="s">
        <v>756</v>
      </c>
      <c r="B175">
        <f t="shared" si="6"/>
        <v>0</v>
      </c>
      <c r="C175" t="s">
        <v>64</v>
      </c>
      <c r="D175" s="27" t="s">
        <v>757</v>
      </c>
      <c r="E175" t="s">
        <v>758</v>
      </c>
      <c r="F175" s="28">
        <v>0</v>
      </c>
      <c r="G175" s="29">
        <v>1</v>
      </c>
      <c r="H175" s="30" t="s">
        <v>759</v>
      </c>
      <c r="I175" t="s">
        <v>65</v>
      </c>
      <c r="J1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145</v>
      </c>
      <c r="L175" t="s">
        <v>146</v>
      </c>
      <c r="N175" s="29">
        <v>1</v>
      </c>
      <c r="P175" s="29">
        <v>1</v>
      </c>
      <c r="R175" s="29">
        <v>1</v>
      </c>
      <c r="S175" t="s">
        <v>70</v>
      </c>
      <c r="T175" t="s">
        <v>72</v>
      </c>
      <c r="U175" s="32">
        <v>30</v>
      </c>
      <c r="V175">
        <v>30</v>
      </c>
      <c r="W175" t="s">
        <v>79</v>
      </c>
      <c r="X175" t="s">
        <v>171</v>
      </c>
      <c r="Y175" t="s">
        <v>758</v>
      </c>
      <c r="AA175" t="s">
        <v>75</v>
      </c>
      <c r="AC175" t="s">
        <v>83</v>
      </c>
      <c r="AE175" t="s">
        <v>75</v>
      </c>
      <c r="AF175" t="s">
        <v>84</v>
      </c>
      <c r="AG175" t="s">
        <v>84</v>
      </c>
      <c r="AH175" s="33">
        <f t="shared" si="7"/>
      </c>
      <c r="AI175" s="33">
        <f t="shared" si="8"/>
      </c>
    </row>
    <row r="176" ht="27.6" customHeight="1" spans="1:35" x14ac:dyDescent="0.25">
      <c r="A176" s="27" t="s">
        <v>760</v>
      </c>
      <c r="B176">
        <f t="shared" si="6"/>
        <v>0</v>
      </c>
      <c r="C176" t="s">
        <v>64</v>
      </c>
      <c r="D176" s="27" t="s">
        <v>102</v>
      </c>
      <c r="E176" t="s">
        <v>761</v>
      </c>
      <c r="F176" s="28">
        <v>0</v>
      </c>
      <c r="G176" s="29">
        <v>1</v>
      </c>
      <c r="H176" s="30" t="s">
        <v>762</v>
      </c>
      <c r="I176" t="s">
        <v>65</v>
      </c>
      <c r="J1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145</v>
      </c>
      <c r="L176" t="s">
        <v>146</v>
      </c>
      <c r="N176" s="29">
        <v>1</v>
      </c>
      <c r="P176" s="29">
        <v>1</v>
      </c>
      <c r="R176" s="29">
        <v>1</v>
      </c>
      <c r="S176" t="s">
        <v>70</v>
      </c>
      <c r="T176" t="s">
        <v>72</v>
      </c>
      <c r="U176" s="32">
        <v>30</v>
      </c>
      <c r="V176">
        <v>30</v>
      </c>
      <c r="W176" t="s">
        <v>79</v>
      </c>
      <c r="X176" t="s">
        <v>171</v>
      </c>
      <c r="Y176" t="s">
        <v>761</v>
      </c>
      <c r="AA176" t="s">
        <v>75</v>
      </c>
      <c r="AC176" t="s">
        <v>83</v>
      </c>
      <c r="AE176" t="s">
        <v>75</v>
      </c>
      <c r="AF176" t="s">
        <v>84</v>
      </c>
      <c r="AG176" t="s">
        <v>84</v>
      </c>
      <c r="AH176" s="33">
        <f t="shared" si="7"/>
      </c>
      <c r="AI176" s="33">
        <f t="shared" si="8"/>
      </c>
    </row>
    <row r="177" ht="27.6" customHeight="1" spans="1:35" x14ac:dyDescent="0.25">
      <c r="A177" s="27" t="s">
        <v>464</v>
      </c>
      <c r="B177">
        <f t="shared" si="6"/>
        <v>0</v>
      </c>
      <c r="C177" t="s">
        <v>64</v>
      </c>
      <c r="D177" s="27" t="s">
        <v>763</v>
      </c>
      <c r="E177" t="s">
        <v>764</v>
      </c>
      <c r="F177" s="28">
        <v>0</v>
      </c>
      <c r="G177" s="29">
        <v>1</v>
      </c>
      <c r="H177" s="30" t="s">
        <v>765</v>
      </c>
      <c r="I177" t="s">
        <v>65</v>
      </c>
      <c r="J1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145</v>
      </c>
      <c r="L177" t="s">
        <v>146</v>
      </c>
      <c r="N177" s="29">
        <v>1</v>
      </c>
      <c r="P177" s="29">
        <v>1</v>
      </c>
      <c r="R177" s="29">
        <v>1</v>
      </c>
      <c r="S177" t="s">
        <v>70</v>
      </c>
      <c r="T177" t="s">
        <v>72</v>
      </c>
      <c r="U177" s="32">
        <v>30</v>
      </c>
      <c r="V177">
        <v>30</v>
      </c>
      <c r="W177" t="s">
        <v>79</v>
      </c>
      <c r="X177" t="s">
        <v>171</v>
      </c>
      <c r="Y177" t="s">
        <v>766</v>
      </c>
      <c r="AA177" t="s">
        <v>75</v>
      </c>
      <c r="AC177" t="s">
        <v>83</v>
      </c>
      <c r="AE177" t="s">
        <v>75</v>
      </c>
      <c r="AF177" t="s">
        <v>84</v>
      </c>
      <c r="AG177" t="s">
        <v>84</v>
      </c>
      <c r="AH177" s="33">
        <f t="shared" si="7"/>
      </c>
      <c r="AI177" s="33">
        <f t="shared" si="8"/>
      </c>
    </row>
    <row r="178" ht="27.6" customHeight="1" spans="1:35" x14ac:dyDescent="0.25">
      <c r="A178" s="27" t="s">
        <v>767</v>
      </c>
      <c r="B178">
        <f t="shared" si="6"/>
        <v>0</v>
      </c>
      <c r="C178" t="s">
        <v>64</v>
      </c>
      <c r="D178" s="27" t="s">
        <v>102</v>
      </c>
      <c r="E178" t="s">
        <v>768</v>
      </c>
      <c r="F178" s="28">
        <v>0</v>
      </c>
      <c r="G178" s="29">
        <v>1</v>
      </c>
      <c r="H178" s="30" t="s">
        <v>769</v>
      </c>
      <c r="I178" t="s">
        <v>65</v>
      </c>
      <c r="J1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145</v>
      </c>
      <c r="L178" t="s">
        <v>146</v>
      </c>
      <c r="N178" s="29">
        <v>1</v>
      </c>
      <c r="P178" s="29">
        <v>1</v>
      </c>
      <c r="R178" s="29">
        <v>1</v>
      </c>
      <c r="S178" t="s">
        <v>70</v>
      </c>
      <c r="T178" t="s">
        <v>72</v>
      </c>
      <c r="U178" s="32">
        <v>30</v>
      </c>
      <c r="V178">
        <v>30</v>
      </c>
      <c r="W178" t="s">
        <v>79</v>
      </c>
      <c r="X178" t="s">
        <v>770</v>
      </c>
      <c r="Y178" t="s">
        <v>768</v>
      </c>
      <c r="AA178" t="s">
        <v>75</v>
      </c>
      <c r="AC178" t="s">
        <v>83</v>
      </c>
      <c r="AE178" t="s">
        <v>75</v>
      </c>
      <c r="AF178" t="s">
        <v>84</v>
      </c>
      <c r="AG178" t="s">
        <v>84</v>
      </c>
      <c r="AH178" s="33">
        <f t="shared" si="7"/>
      </c>
      <c r="AI178" s="33">
        <f t="shared" si="8"/>
      </c>
    </row>
    <row r="179" ht="27.6" customHeight="1" spans="1:35" x14ac:dyDescent="0.25">
      <c r="A179" s="27" t="s">
        <v>771</v>
      </c>
      <c r="B179">
        <f t="shared" si="6"/>
        <v>0</v>
      </c>
      <c r="C179" t="s">
        <v>64</v>
      </c>
      <c r="D179" s="27" t="s">
        <v>772</v>
      </c>
      <c r="E179" t="s">
        <v>773</v>
      </c>
      <c r="F179" s="28">
        <v>0</v>
      </c>
      <c r="G179" s="29">
        <v>1</v>
      </c>
      <c r="H179" s="30" t="s">
        <v>774</v>
      </c>
      <c r="I179" t="s">
        <v>65</v>
      </c>
      <c r="J1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145</v>
      </c>
      <c r="L179" t="s">
        <v>146</v>
      </c>
      <c r="N179" s="29">
        <v>1</v>
      </c>
      <c r="P179" s="29">
        <v>1</v>
      </c>
      <c r="R179" s="29">
        <v>1</v>
      </c>
      <c r="S179" t="s">
        <v>70</v>
      </c>
      <c r="T179" t="s">
        <v>72</v>
      </c>
      <c r="U179" s="32">
        <v>30</v>
      </c>
      <c r="V179">
        <v>30</v>
      </c>
      <c r="W179" t="s">
        <v>79</v>
      </c>
      <c r="X179" t="s">
        <v>171</v>
      </c>
      <c r="Y179" t="s">
        <v>775</v>
      </c>
      <c r="AA179" t="s">
        <v>75</v>
      </c>
      <c r="AC179" t="s">
        <v>83</v>
      </c>
      <c r="AE179" t="s">
        <v>75</v>
      </c>
      <c r="AF179" t="s">
        <v>84</v>
      </c>
      <c r="AG179" t="s">
        <v>84</v>
      </c>
      <c r="AH179" s="33">
        <f t="shared" si="7"/>
      </c>
      <c r="AI179" s="33">
        <f t="shared" si="8"/>
      </c>
    </row>
    <row r="180" ht="27.6" customHeight="1" spans="1:35" x14ac:dyDescent="0.25">
      <c r="A180" s="27" t="s">
        <v>776</v>
      </c>
      <c r="B180">
        <f t="shared" si="6"/>
        <v>0</v>
      </c>
      <c r="C180" t="s">
        <v>64</v>
      </c>
      <c r="D180" s="27" t="s">
        <v>777</v>
      </c>
      <c r="E180" t="s">
        <v>778</v>
      </c>
      <c r="F180" s="28">
        <v>0</v>
      </c>
      <c r="G180" s="29">
        <v>1</v>
      </c>
      <c r="H180" s="30" t="s">
        <v>779</v>
      </c>
      <c r="I180" t="s">
        <v>65</v>
      </c>
      <c r="J1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145</v>
      </c>
      <c r="L180" t="s">
        <v>146</v>
      </c>
      <c r="N180" s="29">
        <v>1</v>
      </c>
      <c r="P180" s="29">
        <v>1</v>
      </c>
      <c r="R180" s="29">
        <v>1</v>
      </c>
      <c r="S180" t="s">
        <v>70</v>
      </c>
      <c r="T180" t="s">
        <v>72</v>
      </c>
      <c r="U180" s="32">
        <v>30</v>
      </c>
      <c r="V180">
        <v>30</v>
      </c>
      <c r="W180" t="s">
        <v>79</v>
      </c>
      <c r="X180" t="s">
        <v>171</v>
      </c>
      <c r="Y180" t="s">
        <v>780</v>
      </c>
      <c r="AA180" t="s">
        <v>75</v>
      </c>
      <c r="AC180" t="s">
        <v>83</v>
      </c>
      <c r="AE180" t="s">
        <v>75</v>
      </c>
      <c r="AF180" t="s">
        <v>84</v>
      </c>
      <c r="AG180" t="s">
        <v>84</v>
      </c>
      <c r="AH180" s="33">
        <f t="shared" si="7"/>
      </c>
      <c r="AI180" s="33">
        <f t="shared" si="8"/>
      </c>
    </row>
    <row r="181" ht="27.6" customHeight="1" spans="1:35" x14ac:dyDescent="0.25">
      <c r="A181" s="27" t="s">
        <v>781</v>
      </c>
      <c r="B181">
        <f t="shared" si="6"/>
        <v>0</v>
      </c>
      <c r="C181" t="s">
        <v>64</v>
      </c>
      <c r="D181" s="27" t="s">
        <v>102</v>
      </c>
      <c r="E181" t="s">
        <v>782</v>
      </c>
      <c r="F181" s="28">
        <v>0</v>
      </c>
      <c r="G181" s="29">
        <v>1</v>
      </c>
      <c r="H181" s="30" t="s">
        <v>783</v>
      </c>
      <c r="I181" t="s">
        <v>65</v>
      </c>
      <c r="J1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145</v>
      </c>
      <c r="L181" t="s">
        <v>146</v>
      </c>
      <c r="N181" s="29">
        <v>1</v>
      </c>
      <c r="P181" s="29">
        <v>1</v>
      </c>
      <c r="R181" s="29">
        <v>1</v>
      </c>
      <c r="S181" t="s">
        <v>70</v>
      </c>
      <c r="T181" t="s">
        <v>72</v>
      </c>
      <c r="U181" s="32">
        <v>30</v>
      </c>
      <c r="V181">
        <v>30</v>
      </c>
      <c r="W181" t="s">
        <v>79</v>
      </c>
      <c r="X181" t="s">
        <v>770</v>
      </c>
      <c r="Y181" t="s">
        <v>784</v>
      </c>
      <c r="AA181" t="s">
        <v>75</v>
      </c>
      <c r="AC181" t="s">
        <v>83</v>
      </c>
      <c r="AE181" t="s">
        <v>75</v>
      </c>
      <c r="AF181" t="s">
        <v>84</v>
      </c>
      <c r="AG181" t="s">
        <v>84</v>
      </c>
      <c r="AH181" s="33">
        <f t="shared" si="7"/>
      </c>
      <c r="AI181" s="33">
        <f t="shared" si="8"/>
      </c>
    </row>
    <row r="182" ht="27.6" customHeight="1" spans="1:35" x14ac:dyDescent="0.25">
      <c r="A182" s="27" t="s">
        <v>785</v>
      </c>
      <c r="B182">
        <f t="shared" si="6"/>
        <v>0</v>
      </c>
      <c r="C182" t="s">
        <v>64</v>
      </c>
      <c r="D182" s="27" t="s">
        <v>786</v>
      </c>
      <c r="E182" t="s">
        <v>787</v>
      </c>
      <c r="F182" s="28">
        <v>0</v>
      </c>
      <c r="G182" s="29">
        <v>1</v>
      </c>
      <c r="H182" s="30" t="s">
        <v>788</v>
      </c>
      <c r="I182" t="s">
        <v>65</v>
      </c>
      <c r="J1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145</v>
      </c>
      <c r="L182" t="s">
        <v>146</v>
      </c>
      <c r="N182" s="29">
        <v>1</v>
      </c>
      <c r="P182" s="29">
        <v>1</v>
      </c>
      <c r="R182" s="29">
        <v>1</v>
      </c>
      <c r="S182" t="s">
        <v>70</v>
      </c>
      <c r="T182" t="s">
        <v>72</v>
      </c>
      <c r="U182" s="32">
        <v>30</v>
      </c>
      <c r="V182">
        <v>30</v>
      </c>
      <c r="W182" t="s">
        <v>79</v>
      </c>
      <c r="X182" t="s">
        <v>171</v>
      </c>
      <c r="Y182" t="s">
        <v>789</v>
      </c>
      <c r="AA182" t="s">
        <v>75</v>
      </c>
      <c r="AC182" t="s">
        <v>83</v>
      </c>
      <c r="AE182" t="s">
        <v>75</v>
      </c>
      <c r="AF182" t="s">
        <v>84</v>
      </c>
      <c r="AG182" t="s">
        <v>84</v>
      </c>
      <c r="AH182" s="33">
        <f t="shared" si="7"/>
      </c>
      <c r="AI182" s="33">
        <f t="shared" si="8"/>
      </c>
    </row>
    <row r="183" ht="27.6" customHeight="1" spans="1:35" x14ac:dyDescent="0.25">
      <c r="A183" s="27" t="s">
        <v>790</v>
      </c>
      <c r="B183">
        <f t="shared" si="6"/>
        <v>0</v>
      </c>
      <c r="C183" t="s">
        <v>64</v>
      </c>
      <c r="D183" s="27" t="s">
        <v>786</v>
      </c>
      <c r="E183" t="s">
        <v>787</v>
      </c>
      <c r="F183" s="28">
        <v>0</v>
      </c>
      <c r="G183" s="29">
        <v>1</v>
      </c>
      <c r="H183" s="30" t="s">
        <v>791</v>
      </c>
      <c r="I183" t="s">
        <v>65</v>
      </c>
      <c r="J1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145</v>
      </c>
      <c r="L183" t="s">
        <v>146</v>
      </c>
      <c r="N183" s="29">
        <v>1</v>
      </c>
      <c r="P183" s="29">
        <v>1</v>
      </c>
      <c r="R183" s="29">
        <v>1</v>
      </c>
      <c r="S183" t="s">
        <v>70</v>
      </c>
      <c r="T183" t="s">
        <v>72</v>
      </c>
      <c r="U183" s="32">
        <v>30</v>
      </c>
      <c r="V183">
        <v>30</v>
      </c>
      <c r="W183" t="s">
        <v>79</v>
      </c>
      <c r="X183" t="s">
        <v>171</v>
      </c>
      <c r="Y183" t="s">
        <v>789</v>
      </c>
      <c r="AA183" t="s">
        <v>75</v>
      </c>
      <c r="AC183" t="s">
        <v>83</v>
      </c>
      <c r="AE183" t="s">
        <v>75</v>
      </c>
      <c r="AF183" t="s">
        <v>84</v>
      </c>
      <c r="AG183" t="s">
        <v>84</v>
      </c>
      <c r="AH183" s="33">
        <f t="shared" si="7"/>
      </c>
      <c r="AI183" s="33">
        <f t="shared" si="8"/>
      </c>
    </row>
    <row r="184" ht="27.6" customHeight="1" spans="1:35" x14ac:dyDescent="0.25">
      <c r="A184" s="27" t="s">
        <v>792</v>
      </c>
      <c r="B184">
        <f t="shared" si="6"/>
        <v>0</v>
      </c>
      <c r="C184" t="s">
        <v>64</v>
      </c>
      <c r="D184" s="27" t="s">
        <v>793</v>
      </c>
      <c r="E184" t="s">
        <v>794</v>
      </c>
      <c r="F184" s="28">
        <v>0</v>
      </c>
      <c r="G184" s="29">
        <v>1</v>
      </c>
      <c r="H184" s="30" t="s">
        <v>795</v>
      </c>
      <c r="I184" t="s">
        <v>65</v>
      </c>
      <c r="J1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145</v>
      </c>
      <c r="L184" t="s">
        <v>146</v>
      </c>
      <c r="N184" s="29">
        <v>1</v>
      </c>
      <c r="P184" s="29">
        <v>1</v>
      </c>
      <c r="R184" s="29">
        <v>1</v>
      </c>
      <c r="S184" t="s">
        <v>70</v>
      </c>
      <c r="T184" t="s">
        <v>72</v>
      </c>
      <c r="U184" s="32">
        <v>30</v>
      </c>
      <c r="V184">
        <v>30</v>
      </c>
      <c r="W184" t="s">
        <v>79</v>
      </c>
      <c r="X184" t="s">
        <v>171</v>
      </c>
      <c r="Y184" t="s">
        <v>796</v>
      </c>
      <c r="AA184" t="s">
        <v>75</v>
      </c>
      <c r="AC184" t="s">
        <v>83</v>
      </c>
      <c r="AE184" t="s">
        <v>75</v>
      </c>
      <c r="AF184" t="s">
        <v>84</v>
      </c>
      <c r="AG184" t="s">
        <v>84</v>
      </c>
      <c r="AH184" s="33">
        <f t="shared" si="7"/>
      </c>
      <c r="AI184" s="33">
        <f t="shared" si="8"/>
      </c>
    </row>
    <row r="185" ht="27.6" customHeight="1" spans="1:35" x14ac:dyDescent="0.25">
      <c r="A185" s="27" t="s">
        <v>513</v>
      </c>
      <c r="B185">
        <f t="shared" si="6"/>
        <v>0</v>
      </c>
      <c r="C185" t="s">
        <v>64</v>
      </c>
      <c r="D185" s="27" t="s">
        <v>102</v>
      </c>
      <c r="E185" t="s">
        <v>797</v>
      </c>
      <c r="F185" s="28">
        <v>0</v>
      </c>
      <c r="G185" s="29">
        <v>1</v>
      </c>
      <c r="H185" s="30" t="s">
        <v>798</v>
      </c>
      <c r="I185" t="s">
        <v>65</v>
      </c>
      <c r="J1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145</v>
      </c>
      <c r="L185" t="s">
        <v>146</v>
      </c>
      <c r="N185" s="29">
        <v>1</v>
      </c>
      <c r="P185" s="29">
        <v>1</v>
      </c>
      <c r="R185" s="29">
        <v>1</v>
      </c>
      <c r="S185" t="s">
        <v>70</v>
      </c>
      <c r="T185" t="s">
        <v>72</v>
      </c>
      <c r="U185" s="32">
        <v>30</v>
      </c>
      <c r="V185">
        <v>30</v>
      </c>
      <c r="W185" t="s">
        <v>79</v>
      </c>
      <c r="X185" t="s">
        <v>171</v>
      </c>
      <c r="Y185" t="s">
        <v>799</v>
      </c>
      <c r="AA185" t="s">
        <v>75</v>
      </c>
      <c r="AC185" t="s">
        <v>83</v>
      </c>
      <c r="AE185" t="s">
        <v>75</v>
      </c>
      <c r="AF185" t="s">
        <v>84</v>
      </c>
      <c r="AG185" t="s">
        <v>84</v>
      </c>
      <c r="AH185" s="33">
        <f t="shared" si="7"/>
      </c>
      <c r="AI185" s="33">
        <f t="shared" si="8"/>
      </c>
    </row>
    <row r="186" ht="27.6" customHeight="1" spans="1:35" x14ac:dyDescent="0.25">
      <c r="A186" s="27" t="s">
        <v>530</v>
      </c>
      <c r="B186">
        <f t="shared" si="6"/>
        <v>0</v>
      </c>
      <c r="C186" t="s">
        <v>64</v>
      </c>
      <c r="D186" s="27" t="s">
        <v>800</v>
      </c>
      <c r="E186" t="s">
        <v>801</v>
      </c>
      <c r="F186" s="28">
        <v>0</v>
      </c>
      <c r="G186" s="29">
        <v>1</v>
      </c>
      <c r="H186" s="30" t="s">
        <v>802</v>
      </c>
      <c r="I186" t="s">
        <v>65</v>
      </c>
      <c r="J1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145</v>
      </c>
      <c r="L186" t="s">
        <v>146</v>
      </c>
      <c r="N186" s="29">
        <v>1</v>
      </c>
      <c r="P186" s="29">
        <v>1</v>
      </c>
      <c r="R186" s="29">
        <v>1</v>
      </c>
      <c r="S186" t="s">
        <v>70</v>
      </c>
      <c r="T186" t="s">
        <v>72</v>
      </c>
      <c r="U186" s="32">
        <v>30</v>
      </c>
      <c r="V186">
        <v>30</v>
      </c>
      <c r="W186" t="s">
        <v>79</v>
      </c>
      <c r="X186" t="s">
        <v>171</v>
      </c>
      <c r="Y186" t="s">
        <v>803</v>
      </c>
      <c r="AA186" t="s">
        <v>75</v>
      </c>
      <c r="AC186" t="s">
        <v>83</v>
      </c>
      <c r="AE186" t="s">
        <v>75</v>
      </c>
      <c r="AF186" t="s">
        <v>84</v>
      </c>
      <c r="AG186" t="s">
        <v>84</v>
      </c>
      <c r="AH186" s="33">
        <f t="shared" si="7"/>
      </c>
      <c r="AI186" s="33">
        <f t="shared" si="8"/>
      </c>
    </row>
    <row r="187" ht="27.6" customHeight="1" spans="1:35" x14ac:dyDescent="0.25">
      <c r="A187" s="27" t="s">
        <v>534</v>
      </c>
      <c r="B187">
        <f t="shared" si="6"/>
        <v>0</v>
      </c>
      <c r="C187" t="s">
        <v>64</v>
      </c>
      <c r="D187" s="27" t="s">
        <v>800</v>
      </c>
      <c r="E187" t="s">
        <v>801</v>
      </c>
      <c r="F187" s="28">
        <v>0</v>
      </c>
      <c r="G187" s="29">
        <v>1</v>
      </c>
      <c r="H187" s="30" t="s">
        <v>804</v>
      </c>
      <c r="I187" t="s">
        <v>65</v>
      </c>
      <c r="J1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145</v>
      </c>
      <c r="L187" t="s">
        <v>146</v>
      </c>
      <c r="N187" s="29">
        <v>1</v>
      </c>
      <c r="P187" s="29">
        <v>1</v>
      </c>
      <c r="R187" s="29">
        <v>1</v>
      </c>
      <c r="S187" t="s">
        <v>70</v>
      </c>
      <c r="T187" t="s">
        <v>72</v>
      </c>
      <c r="U187" s="32">
        <v>30</v>
      </c>
      <c r="V187">
        <v>30</v>
      </c>
      <c r="W187" t="s">
        <v>79</v>
      </c>
      <c r="X187" t="s">
        <v>171</v>
      </c>
      <c r="Y187" t="s">
        <v>803</v>
      </c>
      <c r="AA187" t="s">
        <v>75</v>
      </c>
      <c r="AC187" t="s">
        <v>83</v>
      </c>
      <c r="AE187" t="s">
        <v>75</v>
      </c>
      <c r="AF187" t="s">
        <v>84</v>
      </c>
      <c r="AG187" t="s">
        <v>84</v>
      </c>
      <c r="AH187" s="33">
        <f t="shared" si="7"/>
      </c>
      <c r="AI187" s="33">
        <f t="shared" si="8"/>
      </c>
    </row>
    <row r="188" ht="27.6" customHeight="1" spans="1:35" x14ac:dyDescent="0.25">
      <c r="A188" s="27" t="s">
        <v>805</v>
      </c>
      <c r="B188">
        <f t="shared" si="6"/>
        <v>0</v>
      </c>
      <c r="C188" t="s">
        <v>64</v>
      </c>
      <c r="D188" s="27" t="s">
        <v>102</v>
      </c>
      <c r="E188" t="s">
        <v>806</v>
      </c>
      <c r="F188" s="28">
        <v>0</v>
      </c>
      <c r="G188" s="29">
        <v>1</v>
      </c>
      <c r="H188" s="30" t="s">
        <v>807</v>
      </c>
      <c r="I188" t="s">
        <v>65</v>
      </c>
      <c r="J1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145</v>
      </c>
      <c r="L188" t="s">
        <v>146</v>
      </c>
      <c r="N188" s="29">
        <v>1</v>
      </c>
      <c r="P188" s="29">
        <v>1</v>
      </c>
      <c r="R188" s="29">
        <v>1</v>
      </c>
      <c r="S188" t="s">
        <v>70</v>
      </c>
      <c r="T188" t="s">
        <v>72</v>
      </c>
      <c r="U188" s="32">
        <v>30</v>
      </c>
      <c r="V188">
        <v>30</v>
      </c>
      <c r="W188" t="s">
        <v>79</v>
      </c>
      <c r="X188" t="s">
        <v>171</v>
      </c>
      <c r="Y188" t="s">
        <v>808</v>
      </c>
      <c r="AA188" t="s">
        <v>75</v>
      </c>
      <c r="AC188" t="s">
        <v>83</v>
      </c>
      <c r="AE188" t="s">
        <v>75</v>
      </c>
      <c r="AF188" t="s">
        <v>84</v>
      </c>
      <c r="AG188" t="s">
        <v>84</v>
      </c>
      <c r="AH188" s="33">
        <f t="shared" si="7"/>
      </c>
      <c r="AI188" s="33">
        <f t="shared" si="8"/>
      </c>
    </row>
    <row r="189" ht="27.6" customHeight="1" spans="1:35" x14ac:dyDescent="0.25">
      <c r="A189" s="27" t="s">
        <v>809</v>
      </c>
      <c r="B189">
        <f t="shared" si="6"/>
        <v>0</v>
      </c>
      <c r="C189" t="s">
        <v>64</v>
      </c>
      <c r="D189" s="27" t="s">
        <v>102</v>
      </c>
      <c r="E189" t="s">
        <v>806</v>
      </c>
      <c r="F189" s="28">
        <v>0</v>
      </c>
      <c r="G189" s="29">
        <v>1</v>
      </c>
      <c r="H189" s="30" t="s">
        <v>810</v>
      </c>
      <c r="I189" t="s">
        <v>65</v>
      </c>
      <c r="J1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145</v>
      </c>
      <c r="L189" t="s">
        <v>146</v>
      </c>
      <c r="N189" s="29">
        <v>1</v>
      </c>
      <c r="P189" s="29">
        <v>1</v>
      </c>
      <c r="R189" s="29">
        <v>1</v>
      </c>
      <c r="S189" t="s">
        <v>70</v>
      </c>
      <c r="T189" t="s">
        <v>72</v>
      </c>
      <c r="U189" s="32">
        <v>30</v>
      </c>
      <c r="V189">
        <v>30</v>
      </c>
      <c r="W189" t="s">
        <v>79</v>
      </c>
      <c r="X189" t="s">
        <v>171</v>
      </c>
      <c r="Y189" t="s">
        <v>808</v>
      </c>
      <c r="AA189" t="s">
        <v>75</v>
      </c>
      <c r="AC189" t="s">
        <v>83</v>
      </c>
      <c r="AE189" t="s">
        <v>75</v>
      </c>
      <c r="AF189" t="s">
        <v>84</v>
      </c>
      <c r="AG189" t="s">
        <v>84</v>
      </c>
      <c r="AH189" s="33">
        <f t="shared" si="7"/>
      </c>
      <c r="AI189" s="33">
        <f t="shared" si="8"/>
      </c>
    </row>
    <row r="190" ht="27.6" customHeight="1" spans="1:35" x14ac:dyDescent="0.25">
      <c r="A190" s="27" t="s">
        <v>811</v>
      </c>
      <c r="B190">
        <f t="shared" si="6"/>
        <v>0</v>
      </c>
      <c r="C190" t="s">
        <v>64</v>
      </c>
      <c r="D190" s="27" t="s">
        <v>812</v>
      </c>
      <c r="E190" t="s">
        <v>813</v>
      </c>
      <c r="F190" s="28">
        <v>0</v>
      </c>
      <c r="G190" s="29">
        <v>1</v>
      </c>
      <c r="H190" s="30" t="s">
        <v>814</v>
      </c>
      <c r="I190" t="s">
        <v>65</v>
      </c>
      <c r="J1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145</v>
      </c>
      <c r="L190" t="s">
        <v>146</v>
      </c>
      <c r="N190" s="29">
        <v>1</v>
      </c>
      <c r="P190" s="29">
        <v>1</v>
      </c>
      <c r="R190" s="29">
        <v>1</v>
      </c>
      <c r="S190" t="s">
        <v>70</v>
      </c>
      <c r="T190" t="s">
        <v>72</v>
      </c>
      <c r="U190" s="32">
        <v>30</v>
      </c>
      <c r="V190">
        <v>30</v>
      </c>
      <c r="W190" t="s">
        <v>79</v>
      </c>
      <c r="X190" t="s">
        <v>171</v>
      </c>
      <c r="Y190" t="s">
        <v>815</v>
      </c>
      <c r="AA190" t="s">
        <v>75</v>
      </c>
      <c r="AC190" t="s">
        <v>83</v>
      </c>
      <c r="AE190" t="s">
        <v>75</v>
      </c>
      <c r="AF190" t="s">
        <v>84</v>
      </c>
      <c r="AG190" t="s">
        <v>84</v>
      </c>
      <c r="AH190" s="33">
        <f t="shared" si="7"/>
      </c>
      <c r="AI190" s="33">
        <f t="shared" si="8"/>
      </c>
    </row>
    <row r="191" ht="27.6" customHeight="1" spans="1:35" x14ac:dyDescent="0.25">
      <c r="A191" s="27" t="s">
        <v>816</v>
      </c>
      <c r="B191">
        <f t="shared" si="6"/>
        <v>0</v>
      </c>
      <c r="C191" t="s">
        <v>64</v>
      </c>
      <c r="D191" s="27" t="s">
        <v>102</v>
      </c>
      <c r="E191" t="s">
        <v>817</v>
      </c>
      <c r="F191" s="28">
        <v>0</v>
      </c>
      <c r="G191" s="29">
        <v>1</v>
      </c>
      <c r="H191" s="30" t="s">
        <v>818</v>
      </c>
      <c r="I191" t="s">
        <v>65</v>
      </c>
      <c r="J1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145</v>
      </c>
      <c r="L191" t="s">
        <v>146</v>
      </c>
      <c r="N191" s="29">
        <v>1</v>
      </c>
      <c r="P191" s="29">
        <v>1</v>
      </c>
      <c r="R191" s="29">
        <v>1</v>
      </c>
      <c r="S191" t="s">
        <v>70</v>
      </c>
      <c r="T191" t="s">
        <v>72</v>
      </c>
      <c r="U191" s="32">
        <v>30</v>
      </c>
      <c r="V191">
        <v>30</v>
      </c>
      <c r="W191" t="s">
        <v>79</v>
      </c>
      <c r="X191" t="s">
        <v>171</v>
      </c>
      <c r="Y191" t="s">
        <v>819</v>
      </c>
      <c r="AA191" t="s">
        <v>75</v>
      </c>
      <c r="AC191" t="s">
        <v>83</v>
      </c>
      <c r="AE191" t="s">
        <v>75</v>
      </c>
      <c r="AF191" t="s">
        <v>84</v>
      </c>
      <c r="AG191" t="s">
        <v>84</v>
      </c>
      <c r="AH191" s="33">
        <f t="shared" si="7"/>
      </c>
      <c r="AI191" s="33">
        <f t="shared" si="8"/>
      </c>
    </row>
    <row r="192" ht="27.6" customHeight="1" spans="1:35" x14ac:dyDescent="0.25">
      <c r="A192" s="27" t="s">
        <v>820</v>
      </c>
      <c r="B192">
        <f t="shared" si="6"/>
        <v>0</v>
      </c>
      <c r="C192" t="s">
        <v>64</v>
      </c>
      <c r="D192" s="27" t="s">
        <v>102</v>
      </c>
      <c r="E192" t="s">
        <v>821</v>
      </c>
      <c r="F192" s="28">
        <v>0</v>
      </c>
      <c r="G192" s="29">
        <v>1</v>
      </c>
      <c r="H192" s="30" t="s">
        <v>822</v>
      </c>
      <c r="I192" t="s">
        <v>65</v>
      </c>
      <c r="J1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145</v>
      </c>
      <c r="L192" t="s">
        <v>146</v>
      </c>
      <c r="N192" s="29">
        <v>1</v>
      </c>
      <c r="P192" s="29">
        <v>1</v>
      </c>
      <c r="R192" s="29">
        <v>1</v>
      </c>
      <c r="S192" t="s">
        <v>70</v>
      </c>
      <c r="T192" t="s">
        <v>72</v>
      </c>
      <c r="U192" s="32">
        <v>30</v>
      </c>
      <c r="V192">
        <v>30</v>
      </c>
      <c r="W192" t="s">
        <v>79</v>
      </c>
      <c r="X192" t="s">
        <v>171</v>
      </c>
      <c r="Y192" t="s">
        <v>821</v>
      </c>
      <c r="AA192" t="s">
        <v>75</v>
      </c>
      <c r="AC192" t="s">
        <v>83</v>
      </c>
      <c r="AE192" t="s">
        <v>75</v>
      </c>
      <c r="AF192" t="s">
        <v>84</v>
      </c>
      <c r="AG192" t="s">
        <v>84</v>
      </c>
      <c r="AH192" s="33">
        <f t="shared" si="7"/>
      </c>
      <c r="AI192" s="33">
        <f t="shared" si="8"/>
      </c>
    </row>
    <row r="193" ht="27.6" customHeight="1" spans="1:35" x14ac:dyDescent="0.25">
      <c r="A193" s="27" t="s">
        <v>823</v>
      </c>
      <c r="B193">
        <f t="shared" si="6"/>
        <v>0</v>
      </c>
      <c r="C193" t="s">
        <v>64</v>
      </c>
      <c r="D193" s="27" t="s">
        <v>824</v>
      </c>
      <c r="E193" t="s">
        <v>825</v>
      </c>
      <c r="F193" s="28">
        <v>0</v>
      </c>
      <c r="G193" s="29">
        <v>1</v>
      </c>
      <c r="H193" s="30" t="s">
        <v>826</v>
      </c>
      <c r="I193" t="s">
        <v>65</v>
      </c>
      <c r="J1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145</v>
      </c>
      <c r="L193" t="s">
        <v>146</v>
      </c>
      <c r="N193" s="29">
        <v>1</v>
      </c>
      <c r="P193" s="29">
        <v>1</v>
      </c>
      <c r="R193" s="29">
        <v>1</v>
      </c>
      <c r="S193" t="s">
        <v>70</v>
      </c>
      <c r="T193" t="s">
        <v>72</v>
      </c>
      <c r="U193" s="32">
        <v>30</v>
      </c>
      <c r="V193">
        <v>30</v>
      </c>
      <c r="W193" t="s">
        <v>79</v>
      </c>
      <c r="X193" t="s">
        <v>171</v>
      </c>
      <c r="Y193" t="s">
        <v>825</v>
      </c>
      <c r="AA193" t="s">
        <v>75</v>
      </c>
      <c r="AC193" t="s">
        <v>83</v>
      </c>
      <c r="AE193" t="s">
        <v>75</v>
      </c>
      <c r="AF193" t="s">
        <v>84</v>
      </c>
      <c r="AG193" t="s">
        <v>84</v>
      </c>
      <c r="AH193" s="33">
        <f t="shared" si="7"/>
      </c>
      <c r="AI193" s="33">
        <f t="shared" si="8"/>
      </c>
    </row>
    <row r="194" ht="27.6" customHeight="1" spans="1:35" x14ac:dyDescent="0.25">
      <c r="A194" s="27" t="s">
        <v>827</v>
      </c>
      <c r="B194">
        <f t="shared" si="6"/>
        <v>0</v>
      </c>
      <c r="C194" t="s">
        <v>64</v>
      </c>
      <c r="D194" s="27" t="s">
        <v>828</v>
      </c>
      <c r="E194" t="s">
        <v>829</v>
      </c>
      <c r="F194" s="28">
        <v>0</v>
      </c>
      <c r="G194" s="29">
        <v>1</v>
      </c>
      <c r="H194" s="30" t="s">
        <v>830</v>
      </c>
      <c r="I194" t="s">
        <v>65</v>
      </c>
      <c r="J1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145</v>
      </c>
      <c r="L194" t="s">
        <v>146</v>
      </c>
      <c r="N194" s="29">
        <v>1</v>
      </c>
      <c r="P194" s="29">
        <v>1</v>
      </c>
      <c r="R194" s="29">
        <v>1</v>
      </c>
      <c r="S194" t="s">
        <v>70</v>
      </c>
      <c r="T194" t="s">
        <v>72</v>
      </c>
      <c r="U194" s="32">
        <v>30</v>
      </c>
      <c r="V194">
        <v>30</v>
      </c>
      <c r="W194" t="s">
        <v>79</v>
      </c>
      <c r="X194" t="s">
        <v>171</v>
      </c>
      <c r="Y194" t="s">
        <v>831</v>
      </c>
      <c r="AA194" t="s">
        <v>75</v>
      </c>
      <c r="AC194" t="s">
        <v>83</v>
      </c>
      <c r="AE194" t="s">
        <v>75</v>
      </c>
      <c r="AF194" t="s">
        <v>84</v>
      </c>
      <c r="AG194" t="s">
        <v>84</v>
      </c>
      <c r="AH194" s="33">
        <f t="shared" si="7"/>
      </c>
      <c r="AI194" s="33">
        <f t="shared" si="8"/>
      </c>
    </row>
    <row r="195" ht="27.6" customHeight="1" spans="1:35" x14ac:dyDescent="0.25">
      <c r="A195" s="27" t="s">
        <v>832</v>
      </c>
      <c r="B195">
        <f t="shared" si="6"/>
        <v>0</v>
      </c>
      <c r="C195" t="s">
        <v>64</v>
      </c>
      <c r="D195" s="27" t="s">
        <v>828</v>
      </c>
      <c r="E195" t="s">
        <v>829</v>
      </c>
      <c r="F195" s="28">
        <v>0</v>
      </c>
      <c r="G195" s="29">
        <v>1</v>
      </c>
      <c r="H195" s="30" t="s">
        <v>833</v>
      </c>
      <c r="I195" t="s">
        <v>65</v>
      </c>
      <c r="J1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145</v>
      </c>
      <c r="L195" t="s">
        <v>146</v>
      </c>
      <c r="N195" s="29">
        <v>1</v>
      </c>
      <c r="P195" s="29">
        <v>1</v>
      </c>
      <c r="R195" s="29">
        <v>1</v>
      </c>
      <c r="S195" t="s">
        <v>70</v>
      </c>
      <c r="T195" t="s">
        <v>72</v>
      </c>
      <c r="U195" s="32">
        <v>30</v>
      </c>
      <c r="V195">
        <v>30</v>
      </c>
      <c r="W195" t="s">
        <v>79</v>
      </c>
      <c r="X195" t="s">
        <v>171</v>
      </c>
      <c r="Y195" t="s">
        <v>831</v>
      </c>
      <c r="AA195" t="s">
        <v>75</v>
      </c>
      <c r="AC195" t="s">
        <v>83</v>
      </c>
      <c r="AE195" t="s">
        <v>75</v>
      </c>
      <c r="AF195" t="s">
        <v>84</v>
      </c>
      <c r="AG195" t="s">
        <v>84</v>
      </c>
      <c r="AH195" s="33">
        <f t="shared" si="7"/>
      </c>
      <c r="AI195" s="33">
        <f t="shared" si="8"/>
      </c>
    </row>
    <row r="196" ht="27.6" customHeight="1" spans="1:35" x14ac:dyDescent="0.25">
      <c r="A196" s="27" t="s">
        <v>834</v>
      </c>
      <c r="B196">
        <f t="shared" si="6"/>
        <v>0</v>
      </c>
      <c r="C196" t="s">
        <v>64</v>
      </c>
      <c r="D196" s="27" t="s">
        <v>828</v>
      </c>
      <c r="E196" t="s">
        <v>829</v>
      </c>
      <c r="F196" s="28">
        <v>0</v>
      </c>
      <c r="G196" s="29">
        <v>1</v>
      </c>
      <c r="H196" s="30" t="s">
        <v>835</v>
      </c>
      <c r="I196" t="s">
        <v>65</v>
      </c>
      <c r="J1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145</v>
      </c>
      <c r="L196" t="s">
        <v>146</v>
      </c>
      <c r="N196" s="29">
        <v>1</v>
      </c>
      <c r="P196" s="29">
        <v>1</v>
      </c>
      <c r="R196" s="29">
        <v>1</v>
      </c>
      <c r="S196" t="s">
        <v>70</v>
      </c>
      <c r="T196" t="s">
        <v>72</v>
      </c>
      <c r="U196" s="32">
        <v>30</v>
      </c>
      <c r="V196">
        <v>30</v>
      </c>
      <c r="W196" t="s">
        <v>79</v>
      </c>
      <c r="X196" t="s">
        <v>171</v>
      </c>
      <c r="Y196" t="s">
        <v>831</v>
      </c>
      <c r="AA196" t="s">
        <v>75</v>
      </c>
      <c r="AC196" t="s">
        <v>83</v>
      </c>
      <c r="AE196" t="s">
        <v>75</v>
      </c>
      <c r="AF196" t="s">
        <v>84</v>
      </c>
      <c r="AG196" t="s">
        <v>84</v>
      </c>
      <c r="AH196" s="33">
        <f t="shared" si="7"/>
      </c>
      <c r="AI196" s="33">
        <f t="shared" si="8"/>
      </c>
    </row>
    <row r="197" ht="27.6" customHeight="1" spans="1:35" x14ac:dyDescent="0.25">
      <c r="A197" s="27" t="s">
        <v>836</v>
      </c>
      <c r="B197">
        <f t="shared" si="6"/>
        <v>0</v>
      </c>
      <c r="C197" t="s">
        <v>64</v>
      </c>
      <c r="D197" s="27" t="s">
        <v>102</v>
      </c>
      <c r="E197" t="s">
        <v>837</v>
      </c>
      <c r="F197" s="28">
        <v>0</v>
      </c>
      <c r="G197" s="29">
        <v>1</v>
      </c>
      <c r="H197" s="30" t="s">
        <v>838</v>
      </c>
      <c r="I197" t="s">
        <v>65</v>
      </c>
      <c r="J1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145</v>
      </c>
      <c r="L197" t="s">
        <v>146</v>
      </c>
      <c r="N197" s="29">
        <v>1</v>
      </c>
      <c r="P197" s="29">
        <v>1</v>
      </c>
      <c r="R197" s="29">
        <v>1</v>
      </c>
      <c r="S197" t="s">
        <v>70</v>
      </c>
      <c r="T197" t="s">
        <v>72</v>
      </c>
      <c r="U197" s="32">
        <v>30</v>
      </c>
      <c r="V197">
        <v>30</v>
      </c>
      <c r="W197" t="s">
        <v>79</v>
      </c>
      <c r="X197" t="s">
        <v>171</v>
      </c>
      <c r="Y197" t="s">
        <v>839</v>
      </c>
      <c r="AA197" t="s">
        <v>75</v>
      </c>
      <c r="AC197" t="s">
        <v>83</v>
      </c>
      <c r="AE197" t="s">
        <v>75</v>
      </c>
      <c r="AF197" t="s">
        <v>84</v>
      </c>
      <c r="AG197" t="s">
        <v>84</v>
      </c>
      <c r="AH197" s="33">
        <f t="shared" si="7"/>
      </c>
      <c r="AI197" s="33">
        <f t="shared" si="8"/>
      </c>
    </row>
    <row r="198" ht="27.6" customHeight="1" spans="1:35" x14ac:dyDescent="0.25">
      <c r="A198" s="27" t="s">
        <v>840</v>
      </c>
      <c r="B198">
        <f t="shared" si="6"/>
        <v>0</v>
      </c>
      <c r="C198" t="s">
        <v>64</v>
      </c>
      <c r="D198" s="27" t="s">
        <v>102</v>
      </c>
      <c r="E198" t="s">
        <v>837</v>
      </c>
      <c r="F198" s="28">
        <v>0</v>
      </c>
      <c r="G198" s="29">
        <v>1</v>
      </c>
      <c r="H198" s="30" t="s">
        <v>841</v>
      </c>
      <c r="I198" t="s">
        <v>65</v>
      </c>
      <c r="J1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145</v>
      </c>
      <c r="L198" t="s">
        <v>146</v>
      </c>
      <c r="N198" s="29">
        <v>1</v>
      </c>
      <c r="P198" s="29">
        <v>1</v>
      </c>
      <c r="R198" s="29">
        <v>1</v>
      </c>
      <c r="S198" t="s">
        <v>70</v>
      </c>
      <c r="T198" t="s">
        <v>72</v>
      </c>
      <c r="U198" s="32">
        <v>30</v>
      </c>
      <c r="V198">
        <v>30</v>
      </c>
      <c r="W198" t="s">
        <v>79</v>
      </c>
      <c r="X198" t="s">
        <v>171</v>
      </c>
      <c r="Y198" t="s">
        <v>839</v>
      </c>
      <c r="AA198" t="s">
        <v>75</v>
      </c>
      <c r="AC198" t="s">
        <v>83</v>
      </c>
      <c r="AE198" t="s">
        <v>75</v>
      </c>
      <c r="AF198" t="s">
        <v>84</v>
      </c>
      <c r="AG198" t="s">
        <v>84</v>
      </c>
      <c r="AH198" s="33">
        <f t="shared" si="7"/>
      </c>
      <c r="AI198" s="33">
        <f t="shared" si="8"/>
      </c>
    </row>
    <row r="199" ht="27.6" customHeight="1" spans="1:35" x14ac:dyDescent="0.25">
      <c r="A199" s="27" t="s">
        <v>842</v>
      </c>
      <c r="B199">
        <f t="shared" si="6"/>
        <v>0</v>
      </c>
      <c r="C199" t="s">
        <v>64</v>
      </c>
      <c r="D199" s="27" t="s">
        <v>843</v>
      </c>
      <c r="E199" t="s">
        <v>844</v>
      </c>
      <c r="F199" s="28">
        <v>0</v>
      </c>
      <c r="G199" s="29">
        <v>1</v>
      </c>
      <c r="H199" s="30" t="s">
        <v>845</v>
      </c>
      <c r="I199" t="s">
        <v>65</v>
      </c>
      <c r="J1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145</v>
      </c>
      <c r="L199" t="s">
        <v>146</v>
      </c>
      <c r="N199" s="29">
        <v>1</v>
      </c>
      <c r="P199" s="29">
        <v>1</v>
      </c>
      <c r="R199" s="29">
        <v>1</v>
      </c>
      <c r="S199" t="s">
        <v>70</v>
      </c>
      <c r="T199" t="s">
        <v>72</v>
      </c>
      <c r="U199" s="32">
        <v>30</v>
      </c>
      <c r="V199">
        <v>30</v>
      </c>
      <c r="W199" t="s">
        <v>79</v>
      </c>
      <c r="X199" t="s">
        <v>171</v>
      </c>
      <c r="Y199" t="s">
        <v>846</v>
      </c>
      <c r="AA199" t="s">
        <v>75</v>
      </c>
      <c r="AC199" t="s">
        <v>83</v>
      </c>
      <c r="AE199" t="s">
        <v>75</v>
      </c>
      <c r="AF199" t="s">
        <v>84</v>
      </c>
      <c r="AG199" t="s">
        <v>84</v>
      </c>
      <c r="AH199" s="33">
        <f t="shared" si="7"/>
      </c>
      <c r="AI199" s="33">
        <f t="shared" si="8"/>
      </c>
    </row>
    <row r="200" ht="27.6" customHeight="1" spans="1:35" x14ac:dyDescent="0.25">
      <c r="A200" s="27" t="s">
        <v>847</v>
      </c>
      <c r="B200">
        <f t="shared" ref="B200:B263" si="9">LEN(INDIRECT(ADDRESS(ROW() + (0),COLUMN() + (-1))))</f>
        <v>0</v>
      </c>
      <c r="C200" t="s">
        <v>64</v>
      </c>
      <c r="D200" s="27" t="s">
        <v>102</v>
      </c>
      <c r="E200" t="s">
        <v>848</v>
      </c>
      <c r="F200" s="28">
        <v>0</v>
      </c>
      <c r="G200" s="29">
        <v>1</v>
      </c>
      <c r="H200" s="30" t="s">
        <v>849</v>
      </c>
      <c r="I200" t="s">
        <v>65</v>
      </c>
      <c r="J2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145</v>
      </c>
      <c r="L200" t="s">
        <v>146</v>
      </c>
      <c r="N200" s="29">
        <v>1</v>
      </c>
      <c r="P200" s="29">
        <v>1</v>
      </c>
      <c r="R200" s="29">
        <v>1</v>
      </c>
      <c r="S200" t="s">
        <v>70</v>
      </c>
      <c r="T200" t="s">
        <v>72</v>
      </c>
      <c r="U200" s="32">
        <v>30</v>
      </c>
      <c r="V200">
        <v>30</v>
      </c>
      <c r="W200" t="s">
        <v>79</v>
      </c>
      <c r="X200" t="s">
        <v>171</v>
      </c>
      <c r="Y200" t="s">
        <v>848</v>
      </c>
      <c r="AA200" t="s">
        <v>75</v>
      </c>
      <c r="AC200" t="s">
        <v>83</v>
      </c>
      <c r="AE200" t="s">
        <v>75</v>
      </c>
      <c r="AF200" t="s">
        <v>84</v>
      </c>
      <c r="AG200" t="s">
        <v>84</v>
      </c>
      <c r="AH200" s="33">
        <f t="shared" ref="AH200:AH263" si="1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00" s="33">
        <f t="shared" ref="AI200:AI263" si="11">IF(TRIM(INDIRECT("A"&amp;ROW())) &lt;&gt; "",FALSE,"")</f>
      </c>
    </row>
    <row r="201" ht="27.6" customHeight="1" spans="1:35" x14ac:dyDescent="0.25">
      <c r="A201" s="27" t="s">
        <v>850</v>
      </c>
      <c r="B201">
        <f t="shared" si="9"/>
        <v>0</v>
      </c>
      <c r="C201" t="s">
        <v>64</v>
      </c>
      <c r="D201" s="27" t="s">
        <v>851</v>
      </c>
      <c r="E201" t="s">
        <v>852</v>
      </c>
      <c r="F201" s="28">
        <v>0</v>
      </c>
      <c r="G201" s="29">
        <v>1</v>
      </c>
      <c r="H201" s="30" t="s">
        <v>853</v>
      </c>
      <c r="I201" t="s">
        <v>65</v>
      </c>
      <c r="J2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145</v>
      </c>
      <c r="L201" t="s">
        <v>146</v>
      </c>
      <c r="N201" s="29">
        <v>1</v>
      </c>
      <c r="P201" s="29">
        <v>1</v>
      </c>
      <c r="R201" s="29">
        <v>1</v>
      </c>
      <c r="S201" t="s">
        <v>70</v>
      </c>
      <c r="T201" t="s">
        <v>72</v>
      </c>
      <c r="U201" s="32">
        <v>30</v>
      </c>
      <c r="V201">
        <v>30</v>
      </c>
      <c r="W201" t="s">
        <v>79</v>
      </c>
      <c r="X201" t="s">
        <v>171</v>
      </c>
      <c r="Y201" t="s">
        <v>854</v>
      </c>
      <c r="AA201" t="s">
        <v>75</v>
      </c>
      <c r="AC201" t="s">
        <v>83</v>
      </c>
      <c r="AE201" t="s">
        <v>75</v>
      </c>
      <c r="AF201" t="s">
        <v>84</v>
      </c>
      <c r="AG201" t="s">
        <v>84</v>
      </c>
      <c r="AH201" s="33">
        <f t="shared" si="10"/>
      </c>
      <c r="AI201" s="33">
        <f t="shared" si="11"/>
      </c>
    </row>
    <row r="202" ht="27.6" customHeight="1" spans="1:35" x14ac:dyDescent="0.25">
      <c r="A202" s="27" t="s">
        <v>855</v>
      </c>
      <c r="B202">
        <f t="shared" si="9"/>
        <v>0</v>
      </c>
      <c r="C202" t="s">
        <v>64</v>
      </c>
      <c r="D202" s="27" t="s">
        <v>102</v>
      </c>
      <c r="E202" t="s">
        <v>856</v>
      </c>
      <c r="F202" s="28">
        <v>0</v>
      </c>
      <c r="G202" s="29">
        <v>1</v>
      </c>
      <c r="H202" s="30" t="s">
        <v>857</v>
      </c>
      <c r="I202" t="s">
        <v>65</v>
      </c>
      <c r="J2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145</v>
      </c>
      <c r="L202" t="s">
        <v>146</v>
      </c>
      <c r="N202" s="29">
        <v>1</v>
      </c>
      <c r="P202" s="29">
        <v>1</v>
      </c>
      <c r="R202" s="29">
        <v>1</v>
      </c>
      <c r="S202" t="s">
        <v>70</v>
      </c>
      <c r="T202" t="s">
        <v>72</v>
      </c>
      <c r="U202" s="32">
        <v>30</v>
      </c>
      <c r="V202">
        <v>30</v>
      </c>
      <c r="W202" t="s">
        <v>79</v>
      </c>
      <c r="X202" t="s">
        <v>171</v>
      </c>
      <c r="Y202" t="s">
        <v>858</v>
      </c>
      <c r="AA202" t="s">
        <v>75</v>
      </c>
      <c r="AC202" t="s">
        <v>83</v>
      </c>
      <c r="AE202" t="s">
        <v>75</v>
      </c>
      <c r="AF202" t="s">
        <v>84</v>
      </c>
      <c r="AG202" t="s">
        <v>84</v>
      </c>
      <c r="AH202" s="33">
        <f t="shared" si="10"/>
      </c>
      <c r="AI202" s="33">
        <f t="shared" si="11"/>
      </c>
    </row>
    <row r="203" ht="27.6" customHeight="1" spans="1:35" x14ac:dyDescent="0.25">
      <c r="A203" s="27" t="s">
        <v>859</v>
      </c>
      <c r="B203">
        <f t="shared" si="9"/>
        <v>0</v>
      </c>
      <c r="C203" t="s">
        <v>64</v>
      </c>
      <c r="D203" s="27" t="s">
        <v>102</v>
      </c>
      <c r="E203" t="s">
        <v>856</v>
      </c>
      <c r="F203" s="28">
        <v>0</v>
      </c>
      <c r="G203" s="29">
        <v>1</v>
      </c>
      <c r="H203" s="30" t="s">
        <v>860</v>
      </c>
      <c r="I203" t="s">
        <v>65</v>
      </c>
      <c r="J2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145</v>
      </c>
      <c r="L203" t="s">
        <v>146</v>
      </c>
      <c r="N203" s="29">
        <v>1</v>
      </c>
      <c r="P203" s="29">
        <v>1</v>
      </c>
      <c r="R203" s="29">
        <v>1</v>
      </c>
      <c r="S203" t="s">
        <v>70</v>
      </c>
      <c r="T203" t="s">
        <v>72</v>
      </c>
      <c r="U203" s="32">
        <v>30</v>
      </c>
      <c r="V203">
        <v>30</v>
      </c>
      <c r="W203" t="s">
        <v>79</v>
      </c>
      <c r="X203" t="s">
        <v>171</v>
      </c>
      <c r="Y203" t="s">
        <v>858</v>
      </c>
      <c r="AA203" t="s">
        <v>75</v>
      </c>
      <c r="AC203" t="s">
        <v>83</v>
      </c>
      <c r="AE203" t="s">
        <v>75</v>
      </c>
      <c r="AF203" t="s">
        <v>84</v>
      </c>
      <c r="AG203" t="s">
        <v>84</v>
      </c>
      <c r="AH203" s="33">
        <f t="shared" si="10"/>
      </c>
      <c r="AI203" s="33">
        <f t="shared" si="11"/>
      </c>
    </row>
    <row r="204" ht="27.6" customHeight="1" spans="1:35" x14ac:dyDescent="0.25">
      <c r="A204" s="27" t="s">
        <v>861</v>
      </c>
      <c r="B204">
        <f t="shared" si="9"/>
        <v>0</v>
      </c>
      <c r="C204" t="s">
        <v>64</v>
      </c>
      <c r="D204" s="27" t="s">
        <v>102</v>
      </c>
      <c r="E204" t="s">
        <v>862</v>
      </c>
      <c r="F204" s="28">
        <v>0</v>
      </c>
      <c r="G204" s="29">
        <v>1</v>
      </c>
      <c r="H204" s="30" t="s">
        <v>863</v>
      </c>
      <c r="I204" t="s">
        <v>65</v>
      </c>
      <c r="J2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145</v>
      </c>
      <c r="L204" t="s">
        <v>146</v>
      </c>
      <c r="N204" s="29">
        <v>1</v>
      </c>
      <c r="P204" s="29">
        <v>1</v>
      </c>
      <c r="R204" s="29">
        <v>1</v>
      </c>
      <c r="S204" t="s">
        <v>70</v>
      </c>
      <c r="T204" t="s">
        <v>72</v>
      </c>
      <c r="U204" s="32">
        <v>30</v>
      </c>
      <c r="V204">
        <v>30</v>
      </c>
      <c r="W204" t="s">
        <v>79</v>
      </c>
      <c r="X204" t="s">
        <v>171</v>
      </c>
      <c r="Y204" t="s">
        <v>864</v>
      </c>
      <c r="AA204" t="s">
        <v>75</v>
      </c>
      <c r="AC204" t="s">
        <v>83</v>
      </c>
      <c r="AE204" t="s">
        <v>75</v>
      </c>
      <c r="AF204" t="s">
        <v>84</v>
      </c>
      <c r="AG204" t="s">
        <v>84</v>
      </c>
      <c r="AH204" s="33">
        <f t="shared" si="10"/>
      </c>
      <c r="AI204" s="33">
        <f t="shared" si="11"/>
      </c>
    </row>
    <row r="205" ht="27.6" customHeight="1" spans="1:35" x14ac:dyDescent="0.25">
      <c r="A205" s="27" t="s">
        <v>865</v>
      </c>
      <c r="B205">
        <f t="shared" si="9"/>
        <v>0</v>
      </c>
      <c r="C205" t="s">
        <v>64</v>
      </c>
      <c r="D205" s="27" t="s">
        <v>102</v>
      </c>
      <c r="E205" t="s">
        <v>866</v>
      </c>
      <c r="F205" s="28">
        <v>0</v>
      </c>
      <c r="G205" s="29">
        <v>1</v>
      </c>
      <c r="H205" s="30" t="s">
        <v>867</v>
      </c>
      <c r="I205" t="s">
        <v>65</v>
      </c>
      <c r="J2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145</v>
      </c>
      <c r="L205" t="s">
        <v>146</v>
      </c>
      <c r="N205" s="29">
        <v>1</v>
      </c>
      <c r="P205" s="29">
        <v>1</v>
      </c>
      <c r="R205" s="29">
        <v>1</v>
      </c>
      <c r="S205" t="s">
        <v>70</v>
      </c>
      <c r="T205" t="s">
        <v>72</v>
      </c>
      <c r="U205" s="32">
        <v>30</v>
      </c>
      <c r="V205">
        <v>30</v>
      </c>
      <c r="W205" t="s">
        <v>79</v>
      </c>
      <c r="X205" t="s">
        <v>171</v>
      </c>
      <c r="Y205" t="s">
        <v>868</v>
      </c>
      <c r="AA205" t="s">
        <v>75</v>
      </c>
      <c r="AC205" t="s">
        <v>83</v>
      </c>
      <c r="AE205" t="s">
        <v>75</v>
      </c>
      <c r="AF205" t="s">
        <v>84</v>
      </c>
      <c r="AG205" t="s">
        <v>84</v>
      </c>
      <c r="AH205" s="33">
        <f t="shared" si="10"/>
      </c>
      <c r="AI205" s="33">
        <f t="shared" si="11"/>
      </c>
    </row>
    <row r="206" ht="27.6" customHeight="1" spans="1:35" x14ac:dyDescent="0.25">
      <c r="A206" s="27" t="s">
        <v>869</v>
      </c>
      <c r="B206">
        <f t="shared" si="9"/>
        <v>0</v>
      </c>
      <c r="C206" t="s">
        <v>64</v>
      </c>
      <c r="D206" s="27" t="s">
        <v>102</v>
      </c>
      <c r="E206" t="s">
        <v>870</v>
      </c>
      <c r="F206" s="28">
        <v>0</v>
      </c>
      <c r="G206" s="29">
        <v>1</v>
      </c>
      <c r="H206" s="30" t="s">
        <v>871</v>
      </c>
      <c r="I206" t="s">
        <v>65</v>
      </c>
      <c r="J2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145</v>
      </c>
      <c r="L206" t="s">
        <v>146</v>
      </c>
      <c r="N206" s="29">
        <v>1</v>
      </c>
      <c r="P206" s="29">
        <v>1</v>
      </c>
      <c r="R206" s="29">
        <v>1</v>
      </c>
      <c r="S206" t="s">
        <v>70</v>
      </c>
      <c r="T206" t="s">
        <v>72</v>
      </c>
      <c r="U206" s="32">
        <v>30</v>
      </c>
      <c r="V206">
        <v>30</v>
      </c>
      <c r="W206" t="s">
        <v>79</v>
      </c>
      <c r="X206" t="s">
        <v>171</v>
      </c>
      <c r="Y206" t="s">
        <v>872</v>
      </c>
      <c r="AA206" t="s">
        <v>75</v>
      </c>
      <c r="AC206" t="s">
        <v>83</v>
      </c>
      <c r="AE206" t="s">
        <v>75</v>
      </c>
      <c r="AF206" t="s">
        <v>84</v>
      </c>
      <c r="AG206" t="s">
        <v>84</v>
      </c>
      <c r="AH206" s="33">
        <f t="shared" si="10"/>
      </c>
      <c r="AI206" s="33">
        <f t="shared" si="11"/>
      </c>
    </row>
    <row r="207" ht="27.6" customHeight="1" spans="1:35" x14ac:dyDescent="0.25">
      <c r="A207" s="27" t="s">
        <v>873</v>
      </c>
      <c r="B207">
        <f t="shared" si="9"/>
        <v>0</v>
      </c>
      <c r="C207" t="s">
        <v>64</v>
      </c>
      <c r="D207" s="27" t="s">
        <v>102</v>
      </c>
      <c r="E207" t="s">
        <v>870</v>
      </c>
      <c r="F207" s="28">
        <v>0</v>
      </c>
      <c r="G207" s="29">
        <v>1</v>
      </c>
      <c r="H207" s="30" t="s">
        <v>874</v>
      </c>
      <c r="I207" t="s">
        <v>65</v>
      </c>
      <c r="J2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145</v>
      </c>
      <c r="L207" t="s">
        <v>146</v>
      </c>
      <c r="N207" s="29">
        <v>1</v>
      </c>
      <c r="P207" s="29">
        <v>1</v>
      </c>
      <c r="R207" s="29">
        <v>1</v>
      </c>
      <c r="S207" t="s">
        <v>70</v>
      </c>
      <c r="T207" t="s">
        <v>72</v>
      </c>
      <c r="U207" s="32">
        <v>30</v>
      </c>
      <c r="V207">
        <v>30</v>
      </c>
      <c r="W207" t="s">
        <v>79</v>
      </c>
      <c r="X207" t="s">
        <v>171</v>
      </c>
      <c r="Y207" t="s">
        <v>872</v>
      </c>
      <c r="AA207" t="s">
        <v>75</v>
      </c>
      <c r="AC207" t="s">
        <v>83</v>
      </c>
      <c r="AE207" t="s">
        <v>75</v>
      </c>
      <c r="AF207" t="s">
        <v>84</v>
      </c>
      <c r="AG207" t="s">
        <v>84</v>
      </c>
      <c r="AH207" s="33">
        <f t="shared" si="10"/>
      </c>
      <c r="AI207" s="33">
        <f t="shared" si="11"/>
      </c>
    </row>
    <row r="208" ht="27.6" customHeight="1" spans="1:35" x14ac:dyDescent="0.25">
      <c r="A208" s="27" t="s">
        <v>875</v>
      </c>
      <c r="B208">
        <f t="shared" si="9"/>
        <v>0</v>
      </c>
      <c r="C208" t="s">
        <v>64</v>
      </c>
      <c r="D208" s="27" t="s">
        <v>876</v>
      </c>
      <c r="E208" t="s">
        <v>877</v>
      </c>
      <c r="F208" s="28">
        <v>0</v>
      </c>
      <c r="G208" s="29">
        <v>1</v>
      </c>
      <c r="H208" s="30" t="s">
        <v>878</v>
      </c>
      <c r="I208" t="s">
        <v>65</v>
      </c>
      <c r="J2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145</v>
      </c>
      <c r="L208" t="s">
        <v>146</v>
      </c>
      <c r="N208" s="29">
        <v>1</v>
      </c>
      <c r="P208" s="29">
        <v>1</v>
      </c>
      <c r="R208" s="29">
        <v>1</v>
      </c>
      <c r="S208" t="s">
        <v>70</v>
      </c>
      <c r="T208" t="s">
        <v>72</v>
      </c>
      <c r="U208" s="32">
        <v>30</v>
      </c>
      <c r="V208">
        <v>30</v>
      </c>
      <c r="W208" t="s">
        <v>79</v>
      </c>
      <c r="X208" t="s">
        <v>171</v>
      </c>
      <c r="Y208" t="s">
        <v>879</v>
      </c>
      <c r="AA208" t="s">
        <v>75</v>
      </c>
      <c r="AC208" t="s">
        <v>83</v>
      </c>
      <c r="AE208" t="s">
        <v>75</v>
      </c>
      <c r="AF208" t="s">
        <v>84</v>
      </c>
      <c r="AG208" t="s">
        <v>84</v>
      </c>
      <c r="AH208" s="33">
        <f t="shared" si="10"/>
      </c>
      <c r="AI208" s="33">
        <f t="shared" si="11"/>
      </c>
    </row>
    <row r="209" ht="27.6" customHeight="1" spans="1:35" x14ac:dyDescent="0.25">
      <c r="A209" s="27" t="s">
        <v>880</v>
      </c>
      <c r="B209">
        <f t="shared" si="9"/>
        <v>0</v>
      </c>
      <c r="C209" t="s">
        <v>64</v>
      </c>
      <c r="D209" s="27" t="s">
        <v>881</v>
      </c>
      <c r="E209" t="s">
        <v>882</v>
      </c>
      <c r="F209" s="28">
        <v>0</v>
      </c>
      <c r="G209" s="29">
        <v>1</v>
      </c>
      <c r="H209" s="30" t="s">
        <v>883</v>
      </c>
      <c r="I209" t="s">
        <v>65</v>
      </c>
      <c r="J2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145</v>
      </c>
      <c r="L209" t="s">
        <v>146</v>
      </c>
      <c r="N209" s="29">
        <v>1</v>
      </c>
      <c r="P209" s="29">
        <v>1</v>
      </c>
      <c r="R209" s="29">
        <v>1</v>
      </c>
      <c r="S209" t="s">
        <v>70</v>
      </c>
      <c r="T209" t="s">
        <v>72</v>
      </c>
      <c r="U209" s="32">
        <v>30</v>
      </c>
      <c r="V209">
        <v>30</v>
      </c>
      <c r="W209" t="s">
        <v>79</v>
      </c>
      <c r="X209" t="s">
        <v>171</v>
      </c>
      <c r="Y209" t="s">
        <v>884</v>
      </c>
      <c r="AA209" t="s">
        <v>75</v>
      </c>
      <c r="AC209" t="s">
        <v>83</v>
      </c>
      <c r="AE209" t="s">
        <v>75</v>
      </c>
      <c r="AF209" t="s">
        <v>84</v>
      </c>
      <c r="AG209" t="s">
        <v>84</v>
      </c>
      <c r="AH209" s="33">
        <f t="shared" si="10"/>
      </c>
      <c r="AI209" s="33">
        <f t="shared" si="11"/>
      </c>
    </row>
    <row r="210" ht="27.6" customHeight="1" spans="1:35" x14ac:dyDescent="0.25">
      <c r="A210" s="27" t="s">
        <v>885</v>
      </c>
      <c r="B210">
        <f t="shared" si="9"/>
        <v>0</v>
      </c>
      <c r="C210" t="s">
        <v>64</v>
      </c>
      <c r="D210" s="27" t="s">
        <v>886</v>
      </c>
      <c r="E210" t="s">
        <v>887</v>
      </c>
      <c r="F210" s="28">
        <v>0</v>
      </c>
      <c r="G210" s="29">
        <v>1</v>
      </c>
      <c r="H210" s="30" t="s">
        <v>888</v>
      </c>
      <c r="I210" t="s">
        <v>65</v>
      </c>
      <c r="J2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145</v>
      </c>
      <c r="L210" t="s">
        <v>146</v>
      </c>
      <c r="N210" s="29">
        <v>1</v>
      </c>
      <c r="P210" s="29">
        <v>1</v>
      </c>
      <c r="R210" s="29">
        <v>1</v>
      </c>
      <c r="S210" t="s">
        <v>70</v>
      </c>
      <c r="T210" t="s">
        <v>72</v>
      </c>
      <c r="U210" s="32">
        <v>30</v>
      </c>
      <c r="V210">
        <v>30</v>
      </c>
      <c r="W210" t="s">
        <v>79</v>
      </c>
      <c r="X210" t="s">
        <v>171</v>
      </c>
      <c r="Y210" t="s">
        <v>889</v>
      </c>
      <c r="AA210" t="s">
        <v>75</v>
      </c>
      <c r="AC210" t="s">
        <v>83</v>
      </c>
      <c r="AE210" t="s">
        <v>75</v>
      </c>
      <c r="AF210" t="s">
        <v>84</v>
      </c>
      <c r="AG210" t="s">
        <v>84</v>
      </c>
      <c r="AH210" s="33">
        <f t="shared" si="10"/>
      </c>
      <c r="AI210" s="33">
        <f t="shared" si="11"/>
      </c>
    </row>
    <row r="211" ht="27.6" customHeight="1" spans="1:35" x14ac:dyDescent="0.25">
      <c r="A211" s="27" t="s">
        <v>890</v>
      </c>
      <c r="B211">
        <f t="shared" si="9"/>
        <v>0</v>
      </c>
      <c r="C211" t="s">
        <v>64</v>
      </c>
      <c r="D211" s="27" t="s">
        <v>102</v>
      </c>
      <c r="E211" t="s">
        <v>891</v>
      </c>
      <c r="F211" s="28">
        <v>0</v>
      </c>
      <c r="G211" s="29">
        <v>1</v>
      </c>
      <c r="H211" s="30" t="s">
        <v>892</v>
      </c>
      <c r="I211" t="s">
        <v>65</v>
      </c>
      <c r="J2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145</v>
      </c>
      <c r="L211" t="s">
        <v>146</v>
      </c>
      <c r="N211" s="29">
        <v>1</v>
      </c>
      <c r="P211" s="29">
        <v>1</v>
      </c>
      <c r="R211" s="29">
        <v>1</v>
      </c>
      <c r="S211" t="s">
        <v>70</v>
      </c>
      <c r="T211" t="s">
        <v>72</v>
      </c>
      <c r="U211" s="32">
        <v>30</v>
      </c>
      <c r="V211">
        <v>30</v>
      </c>
      <c r="W211" t="s">
        <v>79</v>
      </c>
      <c r="X211" t="s">
        <v>171</v>
      </c>
      <c r="Y211" t="s">
        <v>893</v>
      </c>
      <c r="AA211" t="s">
        <v>75</v>
      </c>
      <c r="AC211" t="s">
        <v>83</v>
      </c>
      <c r="AE211" t="s">
        <v>75</v>
      </c>
      <c r="AF211" t="s">
        <v>84</v>
      </c>
      <c r="AG211" t="s">
        <v>84</v>
      </c>
      <c r="AH211" s="33">
        <f t="shared" si="10"/>
      </c>
      <c r="AI211" s="33">
        <f t="shared" si="11"/>
      </c>
    </row>
    <row r="212" ht="27.6" customHeight="1" spans="1:35" x14ac:dyDescent="0.25">
      <c r="A212" s="27" t="s">
        <v>894</v>
      </c>
      <c r="B212">
        <f t="shared" si="9"/>
        <v>0</v>
      </c>
      <c r="C212" t="s">
        <v>64</v>
      </c>
      <c r="D212" s="27" t="s">
        <v>102</v>
      </c>
      <c r="E212" t="s">
        <v>895</v>
      </c>
      <c r="F212" s="28">
        <v>0</v>
      </c>
      <c r="G212" s="29">
        <v>1</v>
      </c>
      <c r="H212" s="30" t="s">
        <v>896</v>
      </c>
      <c r="I212" t="s">
        <v>65</v>
      </c>
      <c r="J2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145</v>
      </c>
      <c r="L212" t="s">
        <v>146</v>
      </c>
      <c r="N212" s="29">
        <v>1</v>
      </c>
      <c r="P212" s="29">
        <v>1</v>
      </c>
      <c r="R212" s="29">
        <v>1</v>
      </c>
      <c r="S212" t="s">
        <v>70</v>
      </c>
      <c r="T212" t="s">
        <v>72</v>
      </c>
      <c r="U212" s="32">
        <v>30</v>
      </c>
      <c r="V212">
        <v>30</v>
      </c>
      <c r="W212" t="s">
        <v>79</v>
      </c>
      <c r="X212" t="s">
        <v>770</v>
      </c>
      <c r="Y212" t="s">
        <v>897</v>
      </c>
      <c r="AA212" t="s">
        <v>75</v>
      </c>
      <c r="AC212" t="s">
        <v>83</v>
      </c>
      <c r="AE212" t="s">
        <v>75</v>
      </c>
      <c r="AF212" t="s">
        <v>84</v>
      </c>
      <c r="AG212" t="s">
        <v>84</v>
      </c>
      <c r="AH212" s="33">
        <f t="shared" si="10"/>
      </c>
      <c r="AI212" s="33">
        <f t="shared" si="11"/>
      </c>
    </row>
    <row r="213" ht="27.6" customHeight="1" spans="1:35" x14ac:dyDescent="0.25">
      <c r="A213" s="27" t="s">
        <v>898</v>
      </c>
      <c r="B213">
        <f t="shared" si="9"/>
        <v>0</v>
      </c>
      <c r="C213" t="s">
        <v>64</v>
      </c>
      <c r="D213" s="27" t="s">
        <v>102</v>
      </c>
      <c r="E213" t="s">
        <v>895</v>
      </c>
      <c r="F213" s="28">
        <v>0</v>
      </c>
      <c r="G213" s="29">
        <v>1</v>
      </c>
      <c r="H213" s="30" t="s">
        <v>899</v>
      </c>
      <c r="I213" t="s">
        <v>65</v>
      </c>
      <c r="J2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145</v>
      </c>
      <c r="L213" t="s">
        <v>146</v>
      </c>
      <c r="N213" s="29">
        <v>1</v>
      </c>
      <c r="P213" s="29">
        <v>1</v>
      </c>
      <c r="R213" s="29">
        <v>1</v>
      </c>
      <c r="S213" t="s">
        <v>70</v>
      </c>
      <c r="T213" t="s">
        <v>72</v>
      </c>
      <c r="U213" s="32">
        <v>30</v>
      </c>
      <c r="V213">
        <v>30</v>
      </c>
      <c r="W213" t="s">
        <v>79</v>
      </c>
      <c r="X213" t="s">
        <v>770</v>
      </c>
      <c r="Y213" t="s">
        <v>897</v>
      </c>
      <c r="AA213" t="s">
        <v>75</v>
      </c>
      <c r="AC213" t="s">
        <v>83</v>
      </c>
      <c r="AE213" t="s">
        <v>75</v>
      </c>
      <c r="AF213" t="s">
        <v>84</v>
      </c>
      <c r="AG213" t="s">
        <v>84</v>
      </c>
      <c r="AH213" s="33">
        <f t="shared" si="10"/>
      </c>
      <c r="AI213" s="33">
        <f t="shared" si="11"/>
      </c>
    </row>
    <row r="214" ht="27.6" customHeight="1" spans="1:35" x14ac:dyDescent="0.25">
      <c r="A214" s="27" t="s">
        <v>900</v>
      </c>
      <c r="B214">
        <f t="shared" si="9"/>
        <v>0</v>
      </c>
      <c r="C214" t="s">
        <v>64</v>
      </c>
      <c r="D214" s="27" t="s">
        <v>102</v>
      </c>
      <c r="E214" t="s">
        <v>901</v>
      </c>
      <c r="F214" s="28">
        <v>0</v>
      </c>
      <c r="G214" s="29">
        <v>1</v>
      </c>
      <c r="H214" s="30" t="s">
        <v>902</v>
      </c>
      <c r="I214" t="s">
        <v>65</v>
      </c>
      <c r="J2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145</v>
      </c>
      <c r="L214" t="s">
        <v>146</v>
      </c>
      <c r="N214" s="29">
        <v>1</v>
      </c>
      <c r="P214" s="29">
        <v>1</v>
      </c>
      <c r="R214" s="29">
        <v>1</v>
      </c>
      <c r="S214" t="s">
        <v>70</v>
      </c>
      <c r="T214" t="s">
        <v>72</v>
      </c>
      <c r="U214" s="32">
        <v>30</v>
      </c>
      <c r="V214">
        <v>30</v>
      </c>
      <c r="W214" t="s">
        <v>79</v>
      </c>
      <c r="X214" t="s">
        <v>171</v>
      </c>
      <c r="Y214" t="s">
        <v>903</v>
      </c>
      <c r="AA214" t="s">
        <v>75</v>
      </c>
      <c r="AC214" t="s">
        <v>83</v>
      </c>
      <c r="AE214" t="s">
        <v>75</v>
      </c>
      <c r="AF214" t="s">
        <v>84</v>
      </c>
      <c r="AG214" t="s">
        <v>84</v>
      </c>
      <c r="AH214" s="33">
        <f t="shared" si="10"/>
      </c>
      <c r="AI214" s="33">
        <f t="shared" si="11"/>
      </c>
    </row>
    <row r="215" ht="27.6" customHeight="1" spans="1:35" x14ac:dyDescent="0.25">
      <c r="A215" s="27" t="s">
        <v>904</v>
      </c>
      <c r="B215">
        <f t="shared" si="9"/>
        <v>0</v>
      </c>
      <c r="C215" t="s">
        <v>64</v>
      </c>
      <c r="D215" s="27" t="s">
        <v>102</v>
      </c>
      <c r="E215" t="s">
        <v>905</v>
      </c>
      <c r="F215" s="28">
        <v>0</v>
      </c>
      <c r="G215" s="29">
        <v>1</v>
      </c>
      <c r="H215" s="30" t="s">
        <v>906</v>
      </c>
      <c r="I215" t="s">
        <v>65</v>
      </c>
      <c r="J2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145</v>
      </c>
      <c r="L215" t="s">
        <v>146</v>
      </c>
      <c r="N215" s="29">
        <v>1</v>
      </c>
      <c r="P215" s="29">
        <v>1</v>
      </c>
      <c r="R215" s="29">
        <v>1</v>
      </c>
      <c r="S215" t="s">
        <v>70</v>
      </c>
      <c r="T215" t="s">
        <v>72</v>
      </c>
      <c r="U215" s="32">
        <v>30</v>
      </c>
      <c r="V215">
        <v>30</v>
      </c>
      <c r="W215" t="s">
        <v>79</v>
      </c>
      <c r="X215" t="s">
        <v>171</v>
      </c>
      <c r="Y215" t="s">
        <v>907</v>
      </c>
      <c r="AA215" t="s">
        <v>75</v>
      </c>
      <c r="AC215" t="s">
        <v>83</v>
      </c>
      <c r="AE215" t="s">
        <v>75</v>
      </c>
      <c r="AF215" t="s">
        <v>84</v>
      </c>
      <c r="AG215" t="s">
        <v>84</v>
      </c>
      <c r="AH215" s="33">
        <f t="shared" si="10"/>
      </c>
      <c r="AI215" s="33">
        <f t="shared" si="11"/>
      </c>
    </row>
    <row r="216" ht="27.6" customHeight="1" spans="1:35" x14ac:dyDescent="0.25">
      <c r="A216" s="27" t="s">
        <v>908</v>
      </c>
      <c r="B216">
        <f t="shared" si="9"/>
        <v>0</v>
      </c>
      <c r="C216" t="s">
        <v>64</v>
      </c>
      <c r="D216" s="27" t="s">
        <v>102</v>
      </c>
      <c r="E216" t="s">
        <v>909</v>
      </c>
      <c r="F216" s="28">
        <v>0</v>
      </c>
      <c r="G216" s="29">
        <v>1</v>
      </c>
      <c r="H216" s="30" t="s">
        <v>910</v>
      </c>
      <c r="I216" t="s">
        <v>65</v>
      </c>
      <c r="J2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145</v>
      </c>
      <c r="L216" t="s">
        <v>146</v>
      </c>
      <c r="N216" s="29">
        <v>1</v>
      </c>
      <c r="P216" s="29">
        <v>1</v>
      </c>
      <c r="R216" s="29">
        <v>1</v>
      </c>
      <c r="S216" t="s">
        <v>70</v>
      </c>
      <c r="T216" t="s">
        <v>72</v>
      </c>
      <c r="U216" s="32">
        <v>30</v>
      </c>
      <c r="V216">
        <v>30</v>
      </c>
      <c r="W216" t="s">
        <v>79</v>
      </c>
      <c r="X216" t="s">
        <v>171</v>
      </c>
      <c r="Y216" t="s">
        <v>909</v>
      </c>
      <c r="AA216" t="s">
        <v>75</v>
      </c>
      <c r="AC216" t="s">
        <v>83</v>
      </c>
      <c r="AE216" t="s">
        <v>75</v>
      </c>
      <c r="AF216" t="s">
        <v>84</v>
      </c>
      <c r="AG216" t="s">
        <v>84</v>
      </c>
      <c r="AH216" s="33">
        <f t="shared" si="10"/>
      </c>
      <c r="AI216" s="33">
        <f t="shared" si="11"/>
      </c>
    </row>
    <row r="217" ht="27.6" customHeight="1" spans="1:35" x14ac:dyDescent="0.25">
      <c r="A217" s="27" t="s">
        <v>911</v>
      </c>
      <c r="B217">
        <f t="shared" si="9"/>
        <v>0</v>
      </c>
      <c r="C217" t="s">
        <v>64</v>
      </c>
      <c r="D217" s="27" t="s">
        <v>912</v>
      </c>
      <c r="E217" t="s">
        <v>913</v>
      </c>
      <c r="F217" s="28">
        <v>0</v>
      </c>
      <c r="G217" s="29">
        <v>1</v>
      </c>
      <c r="H217" s="30" t="s">
        <v>914</v>
      </c>
      <c r="I217" t="s">
        <v>65</v>
      </c>
      <c r="J2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145</v>
      </c>
      <c r="L217" t="s">
        <v>146</v>
      </c>
      <c r="N217" s="29">
        <v>1</v>
      </c>
      <c r="P217" s="29">
        <v>1</v>
      </c>
      <c r="R217" s="29">
        <v>1</v>
      </c>
      <c r="S217" t="s">
        <v>70</v>
      </c>
      <c r="T217" t="s">
        <v>72</v>
      </c>
      <c r="U217" s="32">
        <v>30</v>
      </c>
      <c r="V217">
        <v>30</v>
      </c>
      <c r="W217" t="s">
        <v>79</v>
      </c>
      <c r="X217" t="s">
        <v>171</v>
      </c>
      <c r="Y217" t="s">
        <v>913</v>
      </c>
      <c r="AA217" t="s">
        <v>75</v>
      </c>
      <c r="AC217" t="s">
        <v>83</v>
      </c>
      <c r="AE217" t="s">
        <v>75</v>
      </c>
      <c r="AF217" t="s">
        <v>84</v>
      </c>
      <c r="AG217" t="s">
        <v>84</v>
      </c>
      <c r="AH217" s="33">
        <f t="shared" si="10"/>
      </c>
      <c r="AI217" s="33">
        <f t="shared" si="11"/>
      </c>
    </row>
    <row r="218" ht="27.6" customHeight="1" spans="1:35" x14ac:dyDescent="0.25">
      <c r="A218" s="27" t="s">
        <v>915</v>
      </c>
      <c r="B218">
        <f t="shared" si="9"/>
        <v>0</v>
      </c>
      <c r="C218" t="s">
        <v>64</v>
      </c>
      <c r="D218" s="27" t="s">
        <v>102</v>
      </c>
      <c r="E218" t="s">
        <v>916</v>
      </c>
      <c r="F218" s="28">
        <v>0</v>
      </c>
      <c r="G218" s="29">
        <v>1</v>
      </c>
      <c r="H218" s="30" t="s">
        <v>917</v>
      </c>
      <c r="I218" t="s">
        <v>65</v>
      </c>
      <c r="J2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145</v>
      </c>
      <c r="L218" t="s">
        <v>146</v>
      </c>
      <c r="N218" s="29">
        <v>1</v>
      </c>
      <c r="P218" s="29">
        <v>1</v>
      </c>
      <c r="R218" s="29">
        <v>1</v>
      </c>
      <c r="S218" t="s">
        <v>70</v>
      </c>
      <c r="T218" t="s">
        <v>72</v>
      </c>
      <c r="U218" s="32">
        <v>30</v>
      </c>
      <c r="V218">
        <v>30</v>
      </c>
      <c r="W218" t="s">
        <v>79</v>
      </c>
      <c r="X218" t="s">
        <v>171</v>
      </c>
      <c r="Y218" t="s">
        <v>916</v>
      </c>
      <c r="AA218" t="s">
        <v>75</v>
      </c>
      <c r="AC218" t="s">
        <v>83</v>
      </c>
      <c r="AE218" t="s">
        <v>75</v>
      </c>
      <c r="AF218" t="s">
        <v>84</v>
      </c>
      <c r="AG218" t="s">
        <v>84</v>
      </c>
      <c r="AH218" s="33">
        <f t="shared" si="10"/>
      </c>
      <c r="AI218" s="33">
        <f t="shared" si="11"/>
      </c>
    </row>
    <row r="219" ht="27.6" customHeight="1" spans="1:35" x14ac:dyDescent="0.25">
      <c r="A219" s="27" t="s">
        <v>918</v>
      </c>
      <c r="B219">
        <f t="shared" si="9"/>
        <v>0</v>
      </c>
      <c r="C219" t="s">
        <v>64</v>
      </c>
      <c r="D219" s="27" t="s">
        <v>919</v>
      </c>
      <c r="E219" t="s">
        <v>920</v>
      </c>
      <c r="F219" s="28">
        <v>0</v>
      </c>
      <c r="G219" s="29">
        <v>1</v>
      </c>
      <c r="H219" s="30" t="s">
        <v>921</v>
      </c>
      <c r="I219" t="s">
        <v>65</v>
      </c>
      <c r="J2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145</v>
      </c>
      <c r="L219" t="s">
        <v>146</v>
      </c>
      <c r="N219" s="29">
        <v>1</v>
      </c>
      <c r="P219" s="29">
        <v>1</v>
      </c>
      <c r="R219" s="29">
        <v>1</v>
      </c>
      <c r="S219" t="s">
        <v>70</v>
      </c>
      <c r="T219" t="s">
        <v>72</v>
      </c>
      <c r="U219" s="32">
        <v>30</v>
      </c>
      <c r="V219">
        <v>30</v>
      </c>
      <c r="W219" t="s">
        <v>79</v>
      </c>
      <c r="X219" t="s">
        <v>171</v>
      </c>
      <c r="Y219" t="s">
        <v>922</v>
      </c>
      <c r="AA219" t="s">
        <v>75</v>
      </c>
      <c r="AC219" t="s">
        <v>83</v>
      </c>
      <c r="AE219" t="s">
        <v>75</v>
      </c>
      <c r="AF219" t="s">
        <v>84</v>
      </c>
      <c r="AG219" t="s">
        <v>84</v>
      </c>
      <c r="AH219" s="33">
        <f t="shared" si="10"/>
      </c>
      <c r="AI219" s="33">
        <f t="shared" si="11"/>
      </c>
    </row>
    <row r="220" ht="27.6" customHeight="1" spans="1:35" x14ac:dyDescent="0.25">
      <c r="A220" s="27" t="s">
        <v>918</v>
      </c>
      <c r="B220">
        <f t="shared" si="9"/>
        <v>0</v>
      </c>
      <c r="C220" t="s">
        <v>64</v>
      </c>
      <c r="D220" s="27" t="s">
        <v>919</v>
      </c>
      <c r="E220" t="s">
        <v>920</v>
      </c>
      <c r="F220" s="28">
        <v>0</v>
      </c>
      <c r="G220" s="29">
        <v>1</v>
      </c>
      <c r="H220" s="30" t="s">
        <v>923</v>
      </c>
      <c r="I220" t="s">
        <v>65</v>
      </c>
      <c r="J2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145</v>
      </c>
      <c r="L220" t="s">
        <v>146</v>
      </c>
      <c r="N220" s="29">
        <v>1</v>
      </c>
      <c r="P220" s="29">
        <v>1</v>
      </c>
      <c r="R220" s="29">
        <v>1</v>
      </c>
      <c r="S220" t="s">
        <v>70</v>
      </c>
      <c r="T220" t="s">
        <v>72</v>
      </c>
      <c r="U220" s="32">
        <v>30</v>
      </c>
      <c r="V220">
        <v>30</v>
      </c>
      <c r="W220" t="s">
        <v>79</v>
      </c>
      <c r="X220" t="s">
        <v>171</v>
      </c>
      <c r="Y220" t="s">
        <v>922</v>
      </c>
      <c r="AA220" t="s">
        <v>75</v>
      </c>
      <c r="AC220" t="s">
        <v>83</v>
      </c>
      <c r="AE220" t="s">
        <v>75</v>
      </c>
      <c r="AF220" t="s">
        <v>84</v>
      </c>
      <c r="AG220" t="s">
        <v>84</v>
      </c>
      <c r="AH220" s="33">
        <f t="shared" si="10"/>
      </c>
      <c r="AI220" s="33">
        <f t="shared" si="11"/>
      </c>
    </row>
    <row r="221" ht="27.6" customHeight="1" spans="1:35" x14ac:dyDescent="0.25">
      <c r="A221" s="27" t="s">
        <v>924</v>
      </c>
      <c r="B221">
        <f t="shared" si="9"/>
        <v>0</v>
      </c>
      <c r="C221" t="s">
        <v>64</v>
      </c>
      <c r="D221" s="27" t="s">
        <v>925</v>
      </c>
      <c r="E221" t="s">
        <v>926</v>
      </c>
      <c r="F221" s="28">
        <v>0</v>
      </c>
      <c r="G221" s="29">
        <v>1</v>
      </c>
      <c r="H221" s="30" t="s">
        <v>927</v>
      </c>
      <c r="I221" t="s">
        <v>65</v>
      </c>
      <c r="J2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145</v>
      </c>
      <c r="L221" t="s">
        <v>146</v>
      </c>
      <c r="N221" s="29">
        <v>1</v>
      </c>
      <c r="P221" s="29">
        <v>1</v>
      </c>
      <c r="R221" s="29">
        <v>1</v>
      </c>
      <c r="S221" t="s">
        <v>70</v>
      </c>
      <c r="T221" t="s">
        <v>72</v>
      </c>
      <c r="U221" s="32">
        <v>30</v>
      </c>
      <c r="V221">
        <v>30</v>
      </c>
      <c r="W221" t="s">
        <v>79</v>
      </c>
      <c r="X221" t="s">
        <v>171</v>
      </c>
      <c r="Y221" t="s">
        <v>926</v>
      </c>
      <c r="AA221" t="s">
        <v>75</v>
      </c>
      <c r="AC221" t="s">
        <v>83</v>
      </c>
      <c r="AE221" t="s">
        <v>75</v>
      </c>
      <c r="AF221" t="s">
        <v>84</v>
      </c>
      <c r="AG221" t="s">
        <v>84</v>
      </c>
      <c r="AH221" s="33">
        <f t="shared" si="10"/>
      </c>
      <c r="AI221" s="33">
        <f t="shared" si="11"/>
      </c>
    </row>
    <row r="222" ht="27.6" customHeight="1" spans="1:35" x14ac:dyDescent="0.25">
      <c r="A222" s="27" t="s">
        <v>928</v>
      </c>
      <c r="B222">
        <f t="shared" si="9"/>
        <v>0</v>
      </c>
      <c r="C222" t="s">
        <v>64</v>
      </c>
      <c r="D222" s="27" t="s">
        <v>102</v>
      </c>
      <c r="E222" t="s">
        <v>929</v>
      </c>
      <c r="F222" s="28">
        <v>0</v>
      </c>
      <c r="G222" s="29">
        <v>1</v>
      </c>
      <c r="H222" s="30" t="s">
        <v>930</v>
      </c>
      <c r="I222" t="s">
        <v>65</v>
      </c>
      <c r="J2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145</v>
      </c>
      <c r="L222" t="s">
        <v>146</v>
      </c>
      <c r="N222" s="29">
        <v>1</v>
      </c>
      <c r="P222" s="29">
        <v>1</v>
      </c>
      <c r="R222" s="29">
        <v>1</v>
      </c>
      <c r="S222" t="s">
        <v>70</v>
      </c>
      <c r="T222" t="s">
        <v>72</v>
      </c>
      <c r="U222" s="32">
        <v>30</v>
      </c>
      <c r="V222">
        <v>30</v>
      </c>
      <c r="W222" t="s">
        <v>79</v>
      </c>
      <c r="X222" t="s">
        <v>171</v>
      </c>
      <c r="Y222" t="s">
        <v>929</v>
      </c>
      <c r="AA222" t="s">
        <v>75</v>
      </c>
      <c r="AC222" t="s">
        <v>83</v>
      </c>
      <c r="AE222" t="s">
        <v>75</v>
      </c>
      <c r="AF222" t="s">
        <v>84</v>
      </c>
      <c r="AG222" t="s">
        <v>84</v>
      </c>
      <c r="AH222" s="33">
        <f t="shared" si="10"/>
      </c>
      <c r="AI222" s="33">
        <f t="shared" si="11"/>
      </c>
    </row>
    <row r="223" ht="27.6" customHeight="1" spans="1:35" x14ac:dyDescent="0.25">
      <c r="A223" s="27" t="s">
        <v>931</v>
      </c>
      <c r="B223">
        <f t="shared" si="9"/>
        <v>0</v>
      </c>
      <c r="C223" t="s">
        <v>64</v>
      </c>
      <c r="D223" s="27" t="s">
        <v>102</v>
      </c>
      <c r="E223" t="s">
        <v>932</v>
      </c>
      <c r="F223" s="28">
        <v>0</v>
      </c>
      <c r="G223" s="29">
        <v>1</v>
      </c>
      <c r="H223" s="30" t="s">
        <v>933</v>
      </c>
      <c r="I223" t="s">
        <v>65</v>
      </c>
      <c r="J2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145</v>
      </c>
      <c r="L223" t="s">
        <v>146</v>
      </c>
      <c r="N223" s="29">
        <v>1</v>
      </c>
      <c r="P223" s="29">
        <v>1</v>
      </c>
      <c r="R223" s="29">
        <v>1</v>
      </c>
      <c r="S223" t="s">
        <v>70</v>
      </c>
      <c r="T223" t="s">
        <v>72</v>
      </c>
      <c r="U223" s="32">
        <v>30</v>
      </c>
      <c r="V223">
        <v>30</v>
      </c>
      <c r="W223" t="s">
        <v>79</v>
      </c>
      <c r="X223" t="s">
        <v>171</v>
      </c>
      <c r="Y223" t="s">
        <v>932</v>
      </c>
      <c r="AA223" t="s">
        <v>75</v>
      </c>
      <c r="AC223" t="s">
        <v>83</v>
      </c>
      <c r="AE223" t="s">
        <v>75</v>
      </c>
      <c r="AF223" t="s">
        <v>84</v>
      </c>
      <c r="AG223" t="s">
        <v>84</v>
      </c>
      <c r="AH223" s="33">
        <f t="shared" si="10"/>
      </c>
      <c r="AI223" s="33">
        <f t="shared" si="11"/>
      </c>
    </row>
    <row r="224" ht="27.6" customHeight="1" spans="1:35" x14ac:dyDescent="0.25">
      <c r="A224" s="27" t="s">
        <v>335</v>
      </c>
      <c r="B224">
        <f t="shared" si="9"/>
        <v>0</v>
      </c>
      <c r="C224" t="s">
        <v>64</v>
      </c>
      <c r="D224" s="27" t="s">
        <v>102</v>
      </c>
      <c r="E224" t="s">
        <v>934</v>
      </c>
      <c r="F224" s="28">
        <v>0</v>
      </c>
      <c r="G224" s="29">
        <v>1</v>
      </c>
      <c r="H224" s="30" t="s">
        <v>935</v>
      </c>
      <c r="I224" t="s">
        <v>65</v>
      </c>
      <c r="J2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145</v>
      </c>
      <c r="L224" t="s">
        <v>146</v>
      </c>
      <c r="N224" s="29">
        <v>1</v>
      </c>
      <c r="P224" s="29">
        <v>1</v>
      </c>
      <c r="R224" s="29">
        <v>1</v>
      </c>
      <c r="S224" t="s">
        <v>70</v>
      </c>
      <c r="T224" t="s">
        <v>72</v>
      </c>
      <c r="U224" s="32">
        <v>30</v>
      </c>
      <c r="V224">
        <v>30</v>
      </c>
      <c r="W224" t="s">
        <v>79</v>
      </c>
      <c r="X224" t="s">
        <v>166</v>
      </c>
      <c r="Y224" t="s">
        <v>337</v>
      </c>
      <c r="AA224" t="s">
        <v>75</v>
      </c>
      <c r="AC224" t="s">
        <v>83</v>
      </c>
      <c r="AE224" t="s">
        <v>75</v>
      </c>
      <c r="AF224" t="s">
        <v>84</v>
      </c>
      <c r="AG224" t="s">
        <v>84</v>
      </c>
      <c r="AH224" s="33">
        <f t="shared" si="10"/>
      </c>
      <c r="AI224" s="33">
        <f t="shared" si="11"/>
      </c>
    </row>
    <row r="225" ht="27.6" customHeight="1" spans="1:35" x14ac:dyDescent="0.25">
      <c r="A225" s="27" t="s">
        <v>269</v>
      </c>
      <c r="B225">
        <f t="shared" si="9"/>
        <v>0</v>
      </c>
      <c r="C225" t="s">
        <v>64</v>
      </c>
      <c r="D225" s="27" t="s">
        <v>936</v>
      </c>
      <c r="E225" t="s">
        <v>937</v>
      </c>
      <c r="F225" s="28">
        <v>0</v>
      </c>
      <c r="G225" s="29">
        <v>1</v>
      </c>
      <c r="H225" s="30" t="s">
        <v>938</v>
      </c>
      <c r="I225" t="s">
        <v>65</v>
      </c>
      <c r="J2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145</v>
      </c>
      <c r="L225" t="s">
        <v>146</v>
      </c>
      <c r="N225" s="29">
        <v>1</v>
      </c>
      <c r="P225" s="29">
        <v>1</v>
      </c>
      <c r="R225" s="29">
        <v>1</v>
      </c>
      <c r="S225" t="s">
        <v>70</v>
      </c>
      <c r="T225" t="s">
        <v>72</v>
      </c>
      <c r="U225" s="32">
        <v>30</v>
      </c>
      <c r="V225">
        <v>30</v>
      </c>
      <c r="W225" t="s">
        <v>79</v>
      </c>
      <c r="X225" t="s">
        <v>166</v>
      </c>
      <c r="Y225" t="s">
        <v>939</v>
      </c>
      <c r="AA225" t="s">
        <v>75</v>
      </c>
      <c r="AC225" t="s">
        <v>83</v>
      </c>
      <c r="AE225" t="s">
        <v>75</v>
      </c>
      <c r="AF225" t="s">
        <v>84</v>
      </c>
      <c r="AG225" t="s">
        <v>84</v>
      </c>
      <c r="AH225" s="33">
        <f t="shared" si="10"/>
      </c>
      <c r="AI225" s="33">
        <f t="shared" si="11"/>
      </c>
    </row>
    <row r="226" ht="27.6" customHeight="1" spans="1:35" x14ac:dyDescent="0.25">
      <c r="A226" s="27" t="s">
        <v>279</v>
      </c>
      <c r="B226">
        <f t="shared" si="9"/>
        <v>0</v>
      </c>
      <c r="C226" t="s">
        <v>64</v>
      </c>
      <c r="D226" s="27" t="s">
        <v>102</v>
      </c>
      <c r="E226" t="s">
        <v>940</v>
      </c>
      <c r="F226" s="28">
        <v>0</v>
      </c>
      <c r="G226" s="29">
        <v>1</v>
      </c>
      <c r="H226" s="30" t="s">
        <v>941</v>
      </c>
      <c r="I226" t="s">
        <v>65</v>
      </c>
      <c r="J2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145</v>
      </c>
      <c r="L226" t="s">
        <v>146</v>
      </c>
      <c r="N226" s="29">
        <v>1</v>
      </c>
      <c r="P226" s="29">
        <v>1</v>
      </c>
      <c r="R226" s="29">
        <v>1</v>
      </c>
      <c r="S226" t="s">
        <v>70</v>
      </c>
      <c r="T226" t="s">
        <v>72</v>
      </c>
      <c r="U226" s="32">
        <v>30</v>
      </c>
      <c r="V226">
        <v>30</v>
      </c>
      <c r="W226" t="s">
        <v>79</v>
      </c>
      <c r="X226" t="s">
        <v>166</v>
      </c>
      <c r="Y226" t="s">
        <v>942</v>
      </c>
      <c r="AA226" t="s">
        <v>75</v>
      </c>
      <c r="AC226" t="s">
        <v>83</v>
      </c>
      <c r="AE226" t="s">
        <v>75</v>
      </c>
      <c r="AF226" t="s">
        <v>84</v>
      </c>
      <c r="AG226" t="s">
        <v>84</v>
      </c>
      <c r="AH226" s="33">
        <f t="shared" si="10"/>
      </c>
      <c r="AI226" s="33">
        <f t="shared" si="11"/>
      </c>
    </row>
    <row r="227" ht="27.6" customHeight="1" spans="1:35" x14ac:dyDescent="0.25">
      <c r="A227" s="27" t="s">
        <v>943</v>
      </c>
      <c r="B227">
        <f t="shared" si="9"/>
        <v>0</v>
      </c>
      <c r="C227" t="s">
        <v>64</v>
      </c>
      <c r="D227" s="27" t="s">
        <v>102</v>
      </c>
      <c r="E227" t="s">
        <v>944</v>
      </c>
      <c r="F227" s="28">
        <v>0</v>
      </c>
      <c r="G227" s="29">
        <v>1</v>
      </c>
      <c r="H227" s="30" t="s">
        <v>945</v>
      </c>
      <c r="I227" t="s">
        <v>65</v>
      </c>
      <c r="J2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145</v>
      </c>
      <c r="L227" t="s">
        <v>146</v>
      </c>
      <c r="N227" s="29">
        <v>1</v>
      </c>
      <c r="P227" s="29">
        <v>1</v>
      </c>
      <c r="R227" s="29">
        <v>1</v>
      </c>
      <c r="S227" t="s">
        <v>70</v>
      </c>
      <c r="T227" t="s">
        <v>72</v>
      </c>
      <c r="U227" s="32">
        <v>30</v>
      </c>
      <c r="V227">
        <v>30</v>
      </c>
      <c r="W227" t="s">
        <v>79</v>
      </c>
      <c r="X227" t="s">
        <v>581</v>
      </c>
      <c r="Y227" t="s">
        <v>946</v>
      </c>
      <c r="AA227" t="s">
        <v>75</v>
      </c>
      <c r="AC227" t="s">
        <v>83</v>
      </c>
      <c r="AE227" t="s">
        <v>75</v>
      </c>
      <c r="AF227" t="s">
        <v>84</v>
      </c>
      <c r="AG227" t="s">
        <v>84</v>
      </c>
      <c r="AH227" s="33">
        <f t="shared" si="10"/>
      </c>
      <c r="AI227" s="33">
        <f t="shared" si="11"/>
      </c>
    </row>
    <row r="228" ht="27.6" customHeight="1" spans="1:35" x14ac:dyDescent="0.25">
      <c r="A228" s="27" t="s">
        <v>947</v>
      </c>
      <c r="B228">
        <f t="shared" si="9"/>
        <v>0</v>
      </c>
      <c r="C228" t="s">
        <v>64</v>
      </c>
      <c r="D228" s="27" t="s">
        <v>102</v>
      </c>
      <c r="E228" t="s">
        <v>944</v>
      </c>
      <c r="F228" s="28">
        <v>0</v>
      </c>
      <c r="G228" s="29">
        <v>1</v>
      </c>
      <c r="H228" s="30" t="s">
        <v>948</v>
      </c>
      <c r="I228" t="s">
        <v>65</v>
      </c>
      <c r="J2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145</v>
      </c>
      <c r="L228" t="s">
        <v>146</v>
      </c>
      <c r="N228" s="29">
        <v>1</v>
      </c>
      <c r="P228" s="29">
        <v>1</v>
      </c>
      <c r="R228" s="29">
        <v>1</v>
      </c>
      <c r="S228" t="s">
        <v>70</v>
      </c>
      <c r="T228" t="s">
        <v>72</v>
      </c>
      <c r="U228" s="32">
        <v>30</v>
      </c>
      <c r="V228">
        <v>30</v>
      </c>
      <c r="W228" t="s">
        <v>79</v>
      </c>
      <c r="X228" t="s">
        <v>581</v>
      </c>
      <c r="Y228" t="s">
        <v>946</v>
      </c>
      <c r="AA228" t="s">
        <v>75</v>
      </c>
      <c r="AC228" t="s">
        <v>83</v>
      </c>
      <c r="AE228" t="s">
        <v>75</v>
      </c>
      <c r="AF228" t="s">
        <v>84</v>
      </c>
      <c r="AG228" t="s">
        <v>84</v>
      </c>
      <c r="AH228" s="33">
        <f t="shared" si="10"/>
      </c>
      <c r="AI228" s="33">
        <f t="shared" si="11"/>
      </c>
    </row>
    <row r="229" ht="27.6" customHeight="1" spans="1:35" x14ac:dyDescent="0.25">
      <c r="A229" s="27" t="s">
        <v>620</v>
      </c>
      <c r="B229">
        <f t="shared" si="9"/>
        <v>0</v>
      </c>
      <c r="C229" t="s">
        <v>64</v>
      </c>
      <c r="D229" s="27" t="s">
        <v>949</v>
      </c>
      <c r="E229" t="s">
        <v>950</v>
      </c>
      <c r="F229" s="28">
        <v>0</v>
      </c>
      <c r="G229" s="29">
        <v>1</v>
      </c>
      <c r="H229" s="30" t="s">
        <v>951</v>
      </c>
      <c r="I229" t="s">
        <v>65</v>
      </c>
      <c r="J2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145</v>
      </c>
      <c r="L229" t="s">
        <v>146</v>
      </c>
      <c r="N229" s="29">
        <v>1</v>
      </c>
      <c r="P229" s="29">
        <v>1</v>
      </c>
      <c r="R229" s="29">
        <v>1</v>
      </c>
      <c r="S229" t="s">
        <v>70</v>
      </c>
      <c r="T229" t="s">
        <v>72</v>
      </c>
      <c r="U229" s="32">
        <v>30</v>
      </c>
      <c r="V229">
        <v>30</v>
      </c>
      <c r="W229" t="s">
        <v>79</v>
      </c>
      <c r="X229" t="s">
        <v>171</v>
      </c>
      <c r="Y229" t="s">
        <v>952</v>
      </c>
      <c r="AA229" t="s">
        <v>75</v>
      </c>
      <c r="AC229" t="s">
        <v>83</v>
      </c>
      <c r="AE229" t="s">
        <v>75</v>
      </c>
      <c r="AF229" t="s">
        <v>84</v>
      </c>
      <c r="AG229" t="s">
        <v>84</v>
      </c>
      <c r="AH229" s="33">
        <f t="shared" si="10"/>
      </c>
      <c r="AI229" s="33">
        <f t="shared" si="11"/>
      </c>
    </row>
    <row r="230" ht="27.6" customHeight="1" spans="1:35" x14ac:dyDescent="0.25">
      <c r="A230" s="27" t="s">
        <v>953</v>
      </c>
      <c r="B230">
        <f t="shared" si="9"/>
        <v>0</v>
      </c>
      <c r="C230" t="s">
        <v>64</v>
      </c>
      <c r="D230" s="27" t="s">
        <v>954</v>
      </c>
      <c r="E230" t="s">
        <v>955</v>
      </c>
      <c r="F230" s="28">
        <v>0</v>
      </c>
      <c r="G230" s="29">
        <v>1</v>
      </c>
      <c r="H230" s="30" t="s">
        <v>956</v>
      </c>
      <c r="I230" t="s">
        <v>65</v>
      </c>
      <c r="J2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145</v>
      </c>
      <c r="L230" t="s">
        <v>146</v>
      </c>
      <c r="N230" s="29">
        <v>1</v>
      </c>
      <c r="P230" s="29">
        <v>1</v>
      </c>
      <c r="R230" s="29">
        <v>1</v>
      </c>
      <c r="S230" t="s">
        <v>70</v>
      </c>
      <c r="T230" t="s">
        <v>72</v>
      </c>
      <c r="U230" s="32">
        <v>30</v>
      </c>
      <c r="V230">
        <v>30</v>
      </c>
      <c r="W230" t="s">
        <v>79</v>
      </c>
      <c r="X230" t="s">
        <v>171</v>
      </c>
      <c r="Y230" t="s">
        <v>635</v>
      </c>
      <c r="AA230" t="s">
        <v>75</v>
      </c>
      <c r="AC230" t="s">
        <v>83</v>
      </c>
      <c r="AE230" t="s">
        <v>75</v>
      </c>
      <c r="AF230" t="s">
        <v>84</v>
      </c>
      <c r="AG230" t="s">
        <v>84</v>
      </c>
      <c r="AH230" s="33">
        <f t="shared" si="10"/>
      </c>
      <c r="AI230" s="33">
        <f t="shared" si="11"/>
      </c>
    </row>
    <row r="231" ht="27.6" customHeight="1" spans="1:35" x14ac:dyDescent="0.25">
      <c r="A231" s="27" t="s">
        <v>957</v>
      </c>
      <c r="B231">
        <f t="shared" si="9"/>
        <v>0</v>
      </c>
      <c r="C231" t="s">
        <v>64</v>
      </c>
      <c r="D231" s="27" t="s">
        <v>102</v>
      </c>
      <c r="E231" t="s">
        <v>958</v>
      </c>
      <c r="F231" s="28">
        <v>0</v>
      </c>
      <c r="G231" s="29">
        <v>1</v>
      </c>
      <c r="H231" s="30" t="s">
        <v>959</v>
      </c>
      <c r="I231" t="s">
        <v>65</v>
      </c>
      <c r="J2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145</v>
      </c>
      <c r="L231" t="s">
        <v>146</v>
      </c>
      <c r="N231" s="29">
        <v>1</v>
      </c>
      <c r="P231" s="29">
        <v>1</v>
      </c>
      <c r="R231" s="29">
        <v>1</v>
      </c>
      <c r="S231" t="s">
        <v>70</v>
      </c>
      <c r="T231" t="s">
        <v>72</v>
      </c>
      <c r="U231" s="32">
        <v>30</v>
      </c>
      <c r="V231">
        <v>30</v>
      </c>
      <c r="W231" t="s">
        <v>79</v>
      </c>
      <c r="X231" t="s">
        <v>770</v>
      </c>
      <c r="Y231" t="s">
        <v>958</v>
      </c>
      <c r="AA231" t="s">
        <v>75</v>
      </c>
      <c r="AC231" t="s">
        <v>83</v>
      </c>
      <c r="AE231" t="s">
        <v>75</v>
      </c>
      <c r="AF231" t="s">
        <v>84</v>
      </c>
      <c r="AG231" t="s">
        <v>84</v>
      </c>
      <c r="AH231" s="33">
        <f t="shared" si="10"/>
      </c>
      <c r="AI231" s="33">
        <f t="shared" si="11"/>
      </c>
    </row>
    <row r="232" ht="27.6" customHeight="1" spans="1:35" x14ac:dyDescent="0.25">
      <c r="A232" s="27" t="s">
        <v>644</v>
      </c>
      <c r="B232">
        <f t="shared" si="9"/>
        <v>0</v>
      </c>
      <c r="C232" t="s">
        <v>64</v>
      </c>
      <c r="D232" s="27" t="s">
        <v>960</v>
      </c>
      <c r="E232" t="s">
        <v>961</v>
      </c>
      <c r="F232" s="28">
        <v>0</v>
      </c>
      <c r="G232" s="29">
        <v>1</v>
      </c>
      <c r="H232" s="30" t="s">
        <v>962</v>
      </c>
      <c r="I232" t="s">
        <v>65</v>
      </c>
      <c r="J2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145</v>
      </c>
      <c r="L232" t="s">
        <v>146</v>
      </c>
      <c r="N232" s="29">
        <v>1</v>
      </c>
      <c r="P232" s="29">
        <v>1</v>
      </c>
      <c r="R232" s="29">
        <v>1</v>
      </c>
      <c r="S232" t="s">
        <v>70</v>
      </c>
      <c r="T232" t="s">
        <v>72</v>
      </c>
      <c r="U232" s="32">
        <v>30</v>
      </c>
      <c r="V232">
        <v>30</v>
      </c>
      <c r="W232" t="s">
        <v>79</v>
      </c>
      <c r="X232" t="s">
        <v>171</v>
      </c>
      <c r="Y232" t="s">
        <v>963</v>
      </c>
      <c r="AA232" t="s">
        <v>75</v>
      </c>
      <c r="AC232" t="s">
        <v>83</v>
      </c>
      <c r="AE232" t="s">
        <v>75</v>
      </c>
      <c r="AF232" t="s">
        <v>84</v>
      </c>
      <c r="AG232" t="s">
        <v>84</v>
      </c>
      <c r="AH232" s="33">
        <f t="shared" si="10"/>
      </c>
      <c r="AI232" s="33">
        <f t="shared" si="11"/>
      </c>
    </row>
    <row r="233" ht="27.6" customHeight="1" spans="1:35" x14ac:dyDescent="0.25">
      <c r="A233" s="27" t="s">
        <v>964</v>
      </c>
      <c r="B233">
        <f t="shared" si="9"/>
        <v>0</v>
      </c>
      <c r="C233" t="s">
        <v>64</v>
      </c>
      <c r="D233" s="27" t="s">
        <v>965</v>
      </c>
      <c r="E233" t="s">
        <v>966</v>
      </c>
      <c r="F233" s="28">
        <v>0</v>
      </c>
      <c r="G233" s="29">
        <v>1</v>
      </c>
      <c r="H233" s="30" t="s">
        <v>967</v>
      </c>
      <c r="I233" t="s">
        <v>65</v>
      </c>
      <c r="J2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145</v>
      </c>
      <c r="L233" t="s">
        <v>146</v>
      </c>
      <c r="N233" s="29">
        <v>1</v>
      </c>
      <c r="P233" s="29">
        <v>1</v>
      </c>
      <c r="R233" s="29">
        <v>1</v>
      </c>
      <c r="S233" t="s">
        <v>70</v>
      </c>
      <c r="T233" t="s">
        <v>72</v>
      </c>
      <c r="U233" s="32">
        <v>30</v>
      </c>
      <c r="V233">
        <v>30</v>
      </c>
      <c r="W233" t="s">
        <v>79</v>
      </c>
      <c r="X233" t="s">
        <v>171</v>
      </c>
      <c r="Y233" t="s">
        <v>968</v>
      </c>
      <c r="AA233" t="s">
        <v>75</v>
      </c>
      <c r="AC233" t="s">
        <v>83</v>
      </c>
      <c r="AE233" t="s">
        <v>75</v>
      </c>
      <c r="AF233" t="s">
        <v>84</v>
      </c>
      <c r="AG233" t="s">
        <v>84</v>
      </c>
      <c r="AH233" s="33">
        <f t="shared" si="10"/>
      </c>
      <c r="AI233" s="33">
        <f t="shared" si="11"/>
      </c>
    </row>
    <row r="234" ht="27.6" customHeight="1" spans="1:35" x14ac:dyDescent="0.25">
      <c r="A234" s="27" t="s">
        <v>969</v>
      </c>
      <c r="B234">
        <f t="shared" si="9"/>
        <v>0</v>
      </c>
      <c r="C234" t="s">
        <v>64</v>
      </c>
      <c r="D234" s="27" t="s">
        <v>102</v>
      </c>
      <c r="E234" t="s">
        <v>970</v>
      </c>
      <c r="F234" s="28">
        <v>0</v>
      </c>
      <c r="G234" s="29">
        <v>1</v>
      </c>
      <c r="H234" s="30" t="s">
        <v>971</v>
      </c>
      <c r="I234" t="s">
        <v>65</v>
      </c>
      <c r="J2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145</v>
      </c>
      <c r="L234" t="s">
        <v>146</v>
      </c>
      <c r="N234" s="29">
        <v>1</v>
      </c>
      <c r="P234" s="29">
        <v>1</v>
      </c>
      <c r="R234" s="29">
        <v>1</v>
      </c>
      <c r="S234" t="s">
        <v>70</v>
      </c>
      <c r="T234" t="s">
        <v>72</v>
      </c>
      <c r="U234" s="32">
        <v>30</v>
      </c>
      <c r="V234">
        <v>30</v>
      </c>
      <c r="W234" t="s">
        <v>79</v>
      </c>
      <c r="X234" t="s">
        <v>171</v>
      </c>
      <c r="Y234" t="s">
        <v>970</v>
      </c>
      <c r="AA234" t="s">
        <v>75</v>
      </c>
      <c r="AC234" t="s">
        <v>83</v>
      </c>
      <c r="AE234" t="s">
        <v>75</v>
      </c>
      <c r="AF234" t="s">
        <v>84</v>
      </c>
      <c r="AG234" t="s">
        <v>84</v>
      </c>
      <c r="AH234" s="33">
        <f t="shared" si="10"/>
      </c>
      <c r="AI234" s="33">
        <f t="shared" si="11"/>
      </c>
    </row>
    <row r="235" ht="27.6" customHeight="1" spans="1:35" x14ac:dyDescent="0.25">
      <c r="A235" s="27" t="s">
        <v>972</v>
      </c>
      <c r="B235">
        <f t="shared" si="9"/>
        <v>0</v>
      </c>
      <c r="C235" t="s">
        <v>64</v>
      </c>
      <c r="D235" s="27" t="s">
        <v>102</v>
      </c>
      <c r="E235" t="s">
        <v>973</v>
      </c>
      <c r="F235" s="28">
        <v>0</v>
      </c>
      <c r="G235" s="29">
        <v>1</v>
      </c>
      <c r="H235" s="30" t="s">
        <v>974</v>
      </c>
      <c r="I235" t="s">
        <v>65</v>
      </c>
      <c r="J2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145</v>
      </c>
      <c r="L235" t="s">
        <v>146</v>
      </c>
      <c r="N235" s="29">
        <v>1</v>
      </c>
      <c r="P235" s="29">
        <v>1</v>
      </c>
      <c r="R235" s="29">
        <v>1</v>
      </c>
      <c r="S235" t="s">
        <v>70</v>
      </c>
      <c r="T235" t="s">
        <v>72</v>
      </c>
      <c r="U235" s="32">
        <v>30</v>
      </c>
      <c r="V235">
        <v>30</v>
      </c>
      <c r="W235" t="s">
        <v>79</v>
      </c>
      <c r="X235" t="s">
        <v>572</v>
      </c>
      <c r="Y235" t="s">
        <v>975</v>
      </c>
      <c r="AA235" t="s">
        <v>75</v>
      </c>
      <c r="AC235" t="s">
        <v>83</v>
      </c>
      <c r="AE235" t="s">
        <v>75</v>
      </c>
      <c r="AF235" t="s">
        <v>84</v>
      </c>
      <c r="AG235" t="s">
        <v>84</v>
      </c>
      <c r="AH235" s="33">
        <f t="shared" si="10"/>
      </c>
      <c r="AI235" s="33">
        <f t="shared" si="11"/>
      </c>
    </row>
    <row r="236" ht="27.6" customHeight="1" spans="1:35" x14ac:dyDescent="0.25">
      <c r="A236" s="27" t="s">
        <v>976</v>
      </c>
      <c r="B236">
        <f t="shared" si="9"/>
        <v>0</v>
      </c>
      <c r="C236" t="s">
        <v>64</v>
      </c>
      <c r="D236" s="27" t="s">
        <v>977</v>
      </c>
      <c r="E236" t="s">
        <v>978</v>
      </c>
      <c r="F236" s="28">
        <v>0</v>
      </c>
      <c r="G236" s="29">
        <v>1</v>
      </c>
      <c r="H236" s="30" t="s">
        <v>979</v>
      </c>
      <c r="I236" t="s">
        <v>65</v>
      </c>
      <c r="J2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145</v>
      </c>
      <c r="L236" t="s">
        <v>146</v>
      </c>
      <c r="N236" s="29">
        <v>1</v>
      </c>
      <c r="P236" s="29">
        <v>1</v>
      </c>
      <c r="R236" s="29">
        <v>1</v>
      </c>
      <c r="S236" t="s">
        <v>70</v>
      </c>
      <c r="T236" t="s">
        <v>72</v>
      </c>
      <c r="U236" s="32">
        <v>30</v>
      </c>
      <c r="V236">
        <v>30</v>
      </c>
      <c r="W236" t="s">
        <v>79</v>
      </c>
      <c r="X236" t="s">
        <v>980</v>
      </c>
      <c r="Y236" t="s">
        <v>981</v>
      </c>
      <c r="AA236" t="s">
        <v>75</v>
      </c>
      <c r="AC236" t="s">
        <v>83</v>
      </c>
      <c r="AE236" t="s">
        <v>75</v>
      </c>
      <c r="AF236" t="s">
        <v>84</v>
      </c>
      <c r="AG236" t="s">
        <v>84</v>
      </c>
      <c r="AH236" s="33">
        <f t="shared" si="10"/>
      </c>
      <c r="AI236" s="33">
        <f t="shared" si="11"/>
      </c>
    </row>
    <row r="237" ht="27.6" customHeight="1" spans="1:35" x14ac:dyDescent="0.25">
      <c r="A237" s="27" t="s">
        <v>344</v>
      </c>
      <c r="B237">
        <f t="shared" si="9"/>
        <v>0</v>
      </c>
      <c r="C237" t="s">
        <v>64</v>
      </c>
      <c r="D237" s="27" t="s">
        <v>982</v>
      </c>
      <c r="E237" t="s">
        <v>983</v>
      </c>
      <c r="F237" s="28">
        <v>2</v>
      </c>
      <c r="G237" s="29">
        <v>1</v>
      </c>
      <c r="H237" s="30" t="s">
        <v>984</v>
      </c>
      <c r="I237" t="s">
        <v>65</v>
      </c>
      <c r="J2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145</v>
      </c>
      <c r="L237" t="s">
        <v>146</v>
      </c>
      <c r="N237" s="29">
        <v>1</v>
      </c>
      <c r="P237" s="29">
        <v>1</v>
      </c>
      <c r="R237" s="29">
        <v>1</v>
      </c>
      <c r="S237" t="s">
        <v>70</v>
      </c>
      <c r="T237" t="s">
        <v>72</v>
      </c>
      <c r="U237" s="32">
        <v>30</v>
      </c>
      <c r="V237">
        <v>30</v>
      </c>
      <c r="W237" t="s">
        <v>79</v>
      </c>
      <c r="X237" t="s">
        <v>171</v>
      </c>
      <c r="Y237" t="s">
        <v>985</v>
      </c>
      <c r="AA237" t="s">
        <v>75</v>
      </c>
      <c r="AC237" t="s">
        <v>83</v>
      </c>
      <c r="AE237" t="s">
        <v>75</v>
      </c>
      <c r="AF237" t="s">
        <v>84</v>
      </c>
      <c r="AG237" t="s">
        <v>84</v>
      </c>
      <c r="AH237" s="33">
        <f t="shared" si="10"/>
      </c>
      <c r="AI237" s="33">
        <f t="shared" si="11"/>
      </c>
    </row>
    <row r="238" ht="27.6" customHeight="1" spans="1:35" x14ac:dyDescent="0.25">
      <c r="A238" s="27" t="s">
        <v>986</v>
      </c>
      <c r="B238">
        <f t="shared" si="9"/>
        <v>0</v>
      </c>
      <c r="C238" t="s">
        <v>64</v>
      </c>
      <c r="D238" s="27" t="s">
        <v>102</v>
      </c>
      <c r="E238" t="s">
        <v>987</v>
      </c>
      <c r="F238" s="28">
        <v>0</v>
      </c>
      <c r="G238" s="29">
        <v>1</v>
      </c>
      <c r="H238" s="30" t="s">
        <v>988</v>
      </c>
      <c r="I238" t="s">
        <v>65</v>
      </c>
      <c r="J2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145</v>
      </c>
      <c r="L238" t="s">
        <v>146</v>
      </c>
      <c r="N238" s="29">
        <v>1</v>
      </c>
      <c r="P238" s="29">
        <v>1</v>
      </c>
      <c r="R238" s="29">
        <v>1</v>
      </c>
      <c r="S238" t="s">
        <v>70</v>
      </c>
      <c r="T238" t="s">
        <v>72</v>
      </c>
      <c r="U238" s="32">
        <v>30</v>
      </c>
      <c r="V238">
        <v>30</v>
      </c>
      <c r="W238" t="s">
        <v>79</v>
      </c>
      <c r="X238" t="s">
        <v>572</v>
      </c>
      <c r="Y238" t="s">
        <v>989</v>
      </c>
      <c r="AA238" t="s">
        <v>75</v>
      </c>
      <c r="AC238" t="s">
        <v>83</v>
      </c>
      <c r="AE238" t="s">
        <v>75</v>
      </c>
      <c r="AF238" t="s">
        <v>84</v>
      </c>
      <c r="AG238" t="s">
        <v>84</v>
      </c>
      <c r="AH238" s="33">
        <f t="shared" si="10"/>
      </c>
      <c r="AI238" s="33">
        <f t="shared" si="11"/>
      </c>
    </row>
    <row r="239" ht="27.6" customHeight="1" spans="1:35" x14ac:dyDescent="0.25">
      <c r="A239" s="27" t="s">
        <v>168</v>
      </c>
      <c r="B239">
        <f t="shared" si="9"/>
        <v>0</v>
      </c>
      <c r="C239" t="s">
        <v>64</v>
      </c>
      <c r="D239" s="27" t="s">
        <v>102</v>
      </c>
      <c r="E239" t="s">
        <v>990</v>
      </c>
      <c r="F239" s="28">
        <v>0</v>
      </c>
      <c r="G239" s="29">
        <v>1</v>
      </c>
      <c r="H239" s="30" t="s">
        <v>991</v>
      </c>
      <c r="I239" t="s">
        <v>65</v>
      </c>
      <c r="J2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145</v>
      </c>
      <c r="L239" t="s">
        <v>146</v>
      </c>
      <c r="N239" s="29">
        <v>1</v>
      </c>
      <c r="P239" s="29">
        <v>1</v>
      </c>
      <c r="R239" s="29">
        <v>1</v>
      </c>
      <c r="S239" t="s">
        <v>70</v>
      </c>
      <c r="T239" t="s">
        <v>72</v>
      </c>
      <c r="U239" s="32">
        <v>30</v>
      </c>
      <c r="V239">
        <v>30</v>
      </c>
      <c r="W239" t="s">
        <v>79</v>
      </c>
      <c r="X239" t="s">
        <v>572</v>
      </c>
      <c r="Y239" t="s">
        <v>992</v>
      </c>
      <c r="AA239" t="s">
        <v>75</v>
      </c>
      <c r="AC239" t="s">
        <v>83</v>
      </c>
      <c r="AE239" t="s">
        <v>75</v>
      </c>
      <c r="AF239" t="s">
        <v>84</v>
      </c>
      <c r="AG239" t="s">
        <v>84</v>
      </c>
      <c r="AH239" s="33">
        <f t="shared" si="10"/>
      </c>
      <c r="AI239" s="33">
        <f t="shared" si="11"/>
      </c>
    </row>
    <row r="240" ht="27.6" customHeight="1" spans="1:35" x14ac:dyDescent="0.25">
      <c r="A240" s="27" t="s">
        <v>993</v>
      </c>
      <c r="B240">
        <f t="shared" si="9"/>
        <v>0</v>
      </c>
      <c r="C240" t="s">
        <v>64</v>
      </c>
      <c r="D240" s="27" t="s">
        <v>102</v>
      </c>
      <c r="E240" t="s">
        <v>994</v>
      </c>
      <c r="F240" s="28">
        <v>0</v>
      </c>
      <c r="G240" s="29">
        <v>1</v>
      </c>
      <c r="H240" s="30" t="s">
        <v>995</v>
      </c>
      <c r="I240" t="s">
        <v>65</v>
      </c>
      <c r="J2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145</v>
      </c>
      <c r="L240" t="s">
        <v>146</v>
      </c>
      <c r="N240" s="29">
        <v>1</v>
      </c>
      <c r="P240" s="29">
        <v>1</v>
      </c>
      <c r="R240" s="29">
        <v>1</v>
      </c>
      <c r="S240" t="s">
        <v>70</v>
      </c>
      <c r="T240" t="s">
        <v>72</v>
      </c>
      <c r="U240" s="32">
        <v>30</v>
      </c>
      <c r="V240">
        <v>30</v>
      </c>
      <c r="W240" t="s">
        <v>79</v>
      </c>
      <c r="X240" t="s">
        <v>171</v>
      </c>
      <c r="Y240" t="s">
        <v>994</v>
      </c>
      <c r="AA240" t="s">
        <v>75</v>
      </c>
      <c r="AC240" t="s">
        <v>83</v>
      </c>
      <c r="AE240" t="s">
        <v>75</v>
      </c>
      <c r="AF240" t="s">
        <v>84</v>
      </c>
      <c r="AG240" t="s">
        <v>84</v>
      </c>
      <c r="AH240" s="33">
        <f t="shared" si="10"/>
      </c>
      <c r="AI240" s="33">
        <f t="shared" si="11"/>
      </c>
    </row>
    <row r="241" ht="27.6" customHeight="1" spans="1:35" x14ac:dyDescent="0.25">
      <c r="A241" s="27" t="s">
        <v>996</v>
      </c>
      <c r="B241">
        <f t="shared" si="9"/>
        <v>0</v>
      </c>
      <c r="C241" t="s">
        <v>64</v>
      </c>
      <c r="D241" s="27" t="s">
        <v>997</v>
      </c>
      <c r="E241" t="s">
        <v>998</v>
      </c>
      <c r="F241" s="28">
        <v>0</v>
      </c>
      <c r="G241" s="29">
        <v>1</v>
      </c>
      <c r="H241" s="30" t="s">
        <v>999</v>
      </c>
      <c r="I241" t="s">
        <v>65</v>
      </c>
      <c r="J2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145</v>
      </c>
      <c r="L241" t="s">
        <v>146</v>
      </c>
      <c r="N241" s="29">
        <v>1</v>
      </c>
      <c r="P241" s="29">
        <v>1</v>
      </c>
      <c r="R241" s="29">
        <v>1</v>
      </c>
      <c r="S241" t="s">
        <v>70</v>
      </c>
      <c r="T241" t="s">
        <v>72</v>
      </c>
      <c r="U241" s="32">
        <v>30</v>
      </c>
      <c r="V241">
        <v>30</v>
      </c>
      <c r="W241" t="s">
        <v>79</v>
      </c>
      <c r="X241" t="s">
        <v>171</v>
      </c>
      <c r="Y241" t="s">
        <v>998</v>
      </c>
      <c r="AA241" t="s">
        <v>75</v>
      </c>
      <c r="AC241" t="s">
        <v>83</v>
      </c>
      <c r="AE241" t="s">
        <v>75</v>
      </c>
      <c r="AF241" t="s">
        <v>84</v>
      </c>
      <c r="AG241" t="s">
        <v>84</v>
      </c>
      <c r="AH241" s="33">
        <f t="shared" si="10"/>
      </c>
      <c r="AI241" s="33">
        <f t="shared" si="11"/>
      </c>
    </row>
    <row r="242" ht="27.6" customHeight="1" spans="1:35" x14ac:dyDescent="0.25">
      <c r="A242" s="27" t="s">
        <v>1000</v>
      </c>
      <c r="B242">
        <f t="shared" si="9"/>
        <v>0</v>
      </c>
      <c r="C242" t="s">
        <v>64</v>
      </c>
      <c r="D242" s="27" t="s">
        <v>1001</v>
      </c>
      <c r="E242" t="s">
        <v>1002</v>
      </c>
      <c r="F242" s="28">
        <v>0</v>
      </c>
      <c r="G242" s="29">
        <v>1</v>
      </c>
      <c r="H242" s="30" t="s">
        <v>1003</v>
      </c>
      <c r="I242" t="s">
        <v>65</v>
      </c>
      <c r="J2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145</v>
      </c>
      <c r="L242" t="s">
        <v>146</v>
      </c>
      <c r="N242" s="29">
        <v>1</v>
      </c>
      <c r="P242" s="29">
        <v>1</v>
      </c>
      <c r="R242" s="29">
        <v>1</v>
      </c>
      <c r="S242" t="s">
        <v>70</v>
      </c>
      <c r="T242" t="s">
        <v>72</v>
      </c>
      <c r="U242" s="32">
        <v>30</v>
      </c>
      <c r="V242">
        <v>30</v>
      </c>
      <c r="W242" t="s">
        <v>79</v>
      </c>
      <c r="X242" t="s">
        <v>171</v>
      </c>
      <c r="Y242" t="s">
        <v>1002</v>
      </c>
      <c r="AA242" t="s">
        <v>75</v>
      </c>
      <c r="AC242" t="s">
        <v>83</v>
      </c>
      <c r="AE242" t="s">
        <v>75</v>
      </c>
      <c r="AF242" t="s">
        <v>84</v>
      </c>
      <c r="AG242" t="s">
        <v>84</v>
      </c>
      <c r="AH242" s="33">
        <f t="shared" si="10"/>
      </c>
      <c r="AI242" s="33">
        <f t="shared" si="11"/>
      </c>
    </row>
    <row r="243" ht="27.6" customHeight="1" spans="1:35" x14ac:dyDescent="0.25">
      <c r="A243" s="27" t="s">
        <v>1004</v>
      </c>
      <c r="B243">
        <f t="shared" si="9"/>
        <v>0</v>
      </c>
      <c r="C243" t="s">
        <v>64</v>
      </c>
      <c r="D243" s="27" t="s">
        <v>102</v>
      </c>
      <c r="E243" t="s">
        <v>1005</v>
      </c>
      <c r="F243" s="28">
        <v>0</v>
      </c>
      <c r="G243" s="29">
        <v>1</v>
      </c>
      <c r="H243" s="30" t="s">
        <v>1006</v>
      </c>
      <c r="I243" t="s">
        <v>65</v>
      </c>
      <c r="J2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145</v>
      </c>
      <c r="L243" t="s">
        <v>146</v>
      </c>
      <c r="N243" s="29">
        <v>1</v>
      </c>
      <c r="P243" s="29">
        <v>1</v>
      </c>
      <c r="R243" s="29">
        <v>1</v>
      </c>
      <c r="S243" t="s">
        <v>70</v>
      </c>
      <c r="T243" t="s">
        <v>72</v>
      </c>
      <c r="U243" s="32">
        <v>30</v>
      </c>
      <c r="V243">
        <v>30</v>
      </c>
      <c r="W243" t="s">
        <v>79</v>
      </c>
      <c r="X243" t="s">
        <v>770</v>
      </c>
      <c r="Y243" t="s">
        <v>1007</v>
      </c>
      <c r="AA243" t="s">
        <v>75</v>
      </c>
      <c r="AC243" t="s">
        <v>83</v>
      </c>
      <c r="AE243" t="s">
        <v>75</v>
      </c>
      <c r="AF243" t="s">
        <v>84</v>
      </c>
      <c r="AG243" t="s">
        <v>84</v>
      </c>
      <c r="AH243" s="33">
        <f t="shared" si="10"/>
      </c>
      <c r="AI243" s="33">
        <f t="shared" si="11"/>
      </c>
    </row>
    <row r="244" ht="27.6" customHeight="1" spans="1:35" x14ac:dyDescent="0.25">
      <c r="A244" s="27" t="s">
        <v>1008</v>
      </c>
      <c r="B244">
        <f t="shared" si="9"/>
        <v>0</v>
      </c>
      <c r="C244" t="s">
        <v>64</v>
      </c>
      <c r="D244" s="27" t="s">
        <v>102</v>
      </c>
      <c r="E244" t="s">
        <v>1009</v>
      </c>
      <c r="F244" s="28">
        <v>0</v>
      </c>
      <c r="G244" s="29">
        <v>1</v>
      </c>
      <c r="H244" s="30" t="s">
        <v>1010</v>
      </c>
      <c r="I244" t="s">
        <v>65</v>
      </c>
      <c r="J2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145</v>
      </c>
      <c r="L244" t="s">
        <v>146</v>
      </c>
      <c r="N244" s="29">
        <v>1</v>
      </c>
      <c r="P244" s="29">
        <v>1</v>
      </c>
      <c r="R244" s="29">
        <v>1</v>
      </c>
      <c r="S244" t="s">
        <v>70</v>
      </c>
      <c r="T244" t="s">
        <v>72</v>
      </c>
      <c r="U244" s="32">
        <v>30</v>
      </c>
      <c r="V244">
        <v>30</v>
      </c>
      <c r="W244" t="s">
        <v>79</v>
      </c>
      <c r="X244" t="s">
        <v>572</v>
      </c>
      <c r="Y244" t="s">
        <v>1011</v>
      </c>
      <c r="AA244" t="s">
        <v>75</v>
      </c>
      <c r="AC244" t="s">
        <v>83</v>
      </c>
      <c r="AE244" t="s">
        <v>75</v>
      </c>
      <c r="AF244" t="s">
        <v>84</v>
      </c>
      <c r="AG244" t="s">
        <v>84</v>
      </c>
      <c r="AH244" s="33">
        <f t="shared" si="10"/>
      </c>
      <c r="AI244" s="33">
        <f t="shared" si="11"/>
      </c>
    </row>
    <row r="245" ht="27.6" customHeight="1" spans="1:35" x14ac:dyDescent="0.25">
      <c r="A245" s="27" t="s">
        <v>1012</v>
      </c>
      <c r="B245">
        <f t="shared" si="9"/>
        <v>0</v>
      </c>
      <c r="C245" t="s">
        <v>64</v>
      </c>
      <c r="D245" s="27" t="s">
        <v>102</v>
      </c>
      <c r="E245" t="s">
        <v>1013</v>
      </c>
      <c r="F245" s="28">
        <v>0</v>
      </c>
      <c r="G245" s="29">
        <v>1</v>
      </c>
      <c r="H245" s="30" t="s">
        <v>1014</v>
      </c>
      <c r="I245" t="s">
        <v>65</v>
      </c>
      <c r="J2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145</v>
      </c>
      <c r="L245" t="s">
        <v>146</v>
      </c>
      <c r="N245" s="29">
        <v>1</v>
      </c>
      <c r="P245" s="29">
        <v>1</v>
      </c>
      <c r="R245" s="29">
        <v>1</v>
      </c>
      <c r="S245" t="s">
        <v>70</v>
      </c>
      <c r="T245" t="s">
        <v>72</v>
      </c>
      <c r="U245" s="32">
        <v>30</v>
      </c>
      <c r="V245">
        <v>30</v>
      </c>
      <c r="W245" t="s">
        <v>79</v>
      </c>
      <c r="X245" t="s">
        <v>770</v>
      </c>
      <c r="Y245" t="s">
        <v>1013</v>
      </c>
      <c r="AA245" t="s">
        <v>75</v>
      </c>
      <c r="AC245" t="s">
        <v>83</v>
      </c>
      <c r="AE245" t="s">
        <v>75</v>
      </c>
      <c r="AF245" t="s">
        <v>84</v>
      </c>
      <c r="AG245" t="s">
        <v>84</v>
      </c>
      <c r="AH245" s="33">
        <f t="shared" si="10"/>
      </c>
      <c r="AI245" s="33">
        <f t="shared" si="11"/>
      </c>
    </row>
    <row r="246" ht="27.6" customHeight="1" spans="1:35" x14ac:dyDescent="0.25">
      <c r="A246" s="27" t="s">
        <v>1015</v>
      </c>
      <c r="B246">
        <f t="shared" si="9"/>
        <v>0</v>
      </c>
      <c r="C246" t="s">
        <v>64</v>
      </c>
      <c r="D246" s="27" t="s">
        <v>102</v>
      </c>
      <c r="E246" t="s">
        <v>1016</v>
      </c>
      <c r="F246" s="28">
        <v>0</v>
      </c>
      <c r="G246" s="29">
        <v>1</v>
      </c>
      <c r="H246" s="30" t="s">
        <v>1017</v>
      </c>
      <c r="I246" t="s">
        <v>65</v>
      </c>
      <c r="J2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145</v>
      </c>
      <c r="L246" t="s">
        <v>146</v>
      </c>
      <c r="N246" s="29">
        <v>1</v>
      </c>
      <c r="P246" s="29">
        <v>1</v>
      </c>
      <c r="R246" s="29">
        <v>1</v>
      </c>
      <c r="S246" t="s">
        <v>70</v>
      </c>
      <c r="T246" t="s">
        <v>72</v>
      </c>
      <c r="U246" s="32">
        <v>30</v>
      </c>
      <c r="V246">
        <v>30</v>
      </c>
      <c r="W246" t="s">
        <v>79</v>
      </c>
      <c r="X246" t="s">
        <v>572</v>
      </c>
      <c r="Y246" t="s">
        <v>1016</v>
      </c>
      <c r="AA246" t="s">
        <v>75</v>
      </c>
      <c r="AC246" t="s">
        <v>83</v>
      </c>
      <c r="AE246" t="s">
        <v>75</v>
      </c>
      <c r="AF246" t="s">
        <v>84</v>
      </c>
      <c r="AG246" t="s">
        <v>84</v>
      </c>
      <c r="AH246" s="33">
        <f t="shared" si="10"/>
      </c>
      <c r="AI246" s="33">
        <f t="shared" si="11"/>
      </c>
    </row>
    <row r="247" ht="27.6" customHeight="1" spans="1:35" x14ac:dyDescent="0.25">
      <c r="A247" s="27" t="s">
        <v>1018</v>
      </c>
      <c r="B247">
        <f t="shared" si="9"/>
        <v>0</v>
      </c>
      <c r="C247" t="s">
        <v>64</v>
      </c>
      <c r="D247" s="27" t="s">
        <v>102</v>
      </c>
      <c r="E247" t="s">
        <v>1019</v>
      </c>
      <c r="F247" s="28">
        <v>0</v>
      </c>
      <c r="G247" s="29">
        <v>1</v>
      </c>
      <c r="H247" s="30" t="s">
        <v>1020</v>
      </c>
      <c r="I247" t="s">
        <v>65</v>
      </c>
      <c r="J2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145</v>
      </c>
      <c r="L247" t="s">
        <v>146</v>
      </c>
      <c r="N247" s="29">
        <v>1</v>
      </c>
      <c r="P247" s="29">
        <v>1</v>
      </c>
      <c r="R247" s="29">
        <v>1</v>
      </c>
      <c r="S247" t="s">
        <v>70</v>
      </c>
      <c r="T247" t="s">
        <v>72</v>
      </c>
      <c r="U247" s="32">
        <v>30</v>
      </c>
      <c r="V247">
        <v>30</v>
      </c>
      <c r="W247" t="s">
        <v>79</v>
      </c>
      <c r="X247" t="s">
        <v>572</v>
      </c>
      <c r="Y247" t="s">
        <v>1019</v>
      </c>
      <c r="AA247" t="s">
        <v>75</v>
      </c>
      <c r="AC247" t="s">
        <v>83</v>
      </c>
      <c r="AE247" t="s">
        <v>75</v>
      </c>
      <c r="AF247" t="s">
        <v>84</v>
      </c>
      <c r="AG247" t="s">
        <v>84</v>
      </c>
      <c r="AH247" s="33">
        <f t="shared" si="10"/>
      </c>
      <c r="AI247" s="33">
        <f t="shared" si="11"/>
      </c>
    </row>
    <row r="248" ht="27.6" customHeight="1" spans="1:35" x14ac:dyDescent="0.25">
      <c r="A248" s="27" t="s">
        <v>1021</v>
      </c>
      <c r="B248">
        <f t="shared" si="9"/>
        <v>0</v>
      </c>
      <c r="C248" t="s">
        <v>64</v>
      </c>
      <c r="D248" s="27" t="s">
        <v>102</v>
      </c>
      <c r="E248" t="s">
        <v>1022</v>
      </c>
      <c r="F248" s="28">
        <v>0</v>
      </c>
      <c r="G248" s="29">
        <v>1</v>
      </c>
      <c r="H248" s="30" t="s">
        <v>1023</v>
      </c>
      <c r="I248" t="s">
        <v>65</v>
      </c>
      <c r="J2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145</v>
      </c>
      <c r="L248" t="s">
        <v>146</v>
      </c>
      <c r="N248" s="29">
        <v>1</v>
      </c>
      <c r="P248" s="29">
        <v>1</v>
      </c>
      <c r="R248" s="29">
        <v>1</v>
      </c>
      <c r="S248" t="s">
        <v>70</v>
      </c>
      <c r="T248" t="s">
        <v>72</v>
      </c>
      <c r="U248" s="32">
        <v>30</v>
      </c>
      <c r="V248">
        <v>30</v>
      </c>
      <c r="W248" t="s">
        <v>79</v>
      </c>
      <c r="X248" t="s">
        <v>572</v>
      </c>
      <c r="Y248" t="s">
        <v>1022</v>
      </c>
      <c r="AA248" t="s">
        <v>75</v>
      </c>
      <c r="AC248" t="s">
        <v>83</v>
      </c>
      <c r="AE248" t="s">
        <v>75</v>
      </c>
      <c r="AF248" t="s">
        <v>84</v>
      </c>
      <c r="AG248" t="s">
        <v>84</v>
      </c>
      <c r="AH248" s="33">
        <f t="shared" si="10"/>
      </c>
      <c r="AI248" s="33">
        <f t="shared" si="11"/>
      </c>
    </row>
    <row r="249" ht="27.6" customHeight="1" spans="1:35" x14ac:dyDescent="0.25">
      <c r="A249" s="27" t="s">
        <v>1024</v>
      </c>
      <c r="B249">
        <f t="shared" si="9"/>
        <v>0</v>
      </c>
      <c r="C249" t="s">
        <v>64</v>
      </c>
      <c r="D249" s="27" t="s">
        <v>102</v>
      </c>
      <c r="E249" t="s">
        <v>1025</v>
      </c>
      <c r="F249" s="28">
        <v>0</v>
      </c>
      <c r="G249" s="29">
        <v>1</v>
      </c>
      <c r="H249" s="30" t="s">
        <v>1026</v>
      </c>
      <c r="I249" t="s">
        <v>65</v>
      </c>
      <c r="J2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145</v>
      </c>
      <c r="L249" t="s">
        <v>146</v>
      </c>
      <c r="N249" s="29">
        <v>1</v>
      </c>
      <c r="P249" s="29">
        <v>1</v>
      </c>
      <c r="R249" s="29">
        <v>1</v>
      </c>
      <c r="S249" t="s">
        <v>70</v>
      </c>
      <c r="T249" t="s">
        <v>72</v>
      </c>
      <c r="U249" s="32">
        <v>30</v>
      </c>
      <c r="V249">
        <v>30</v>
      </c>
      <c r="W249" t="s">
        <v>79</v>
      </c>
      <c r="X249" t="s">
        <v>572</v>
      </c>
      <c r="Y249" t="s">
        <v>1025</v>
      </c>
      <c r="AA249" t="s">
        <v>75</v>
      </c>
      <c r="AC249" t="s">
        <v>83</v>
      </c>
      <c r="AE249" t="s">
        <v>75</v>
      </c>
      <c r="AF249" t="s">
        <v>84</v>
      </c>
      <c r="AG249" t="s">
        <v>84</v>
      </c>
      <c r="AH249" s="33">
        <f t="shared" si="10"/>
      </c>
      <c r="AI249" s="33">
        <f t="shared" si="11"/>
      </c>
    </row>
    <row r="250" ht="27.6" customHeight="1" spans="1:35" x14ac:dyDescent="0.25">
      <c r="A250" s="27" t="s">
        <v>1027</v>
      </c>
      <c r="B250">
        <f t="shared" si="9"/>
        <v>0</v>
      </c>
      <c r="C250" t="s">
        <v>64</v>
      </c>
      <c r="D250" s="27" t="s">
        <v>102</v>
      </c>
      <c r="E250" t="s">
        <v>1028</v>
      </c>
      <c r="F250" s="28">
        <v>0</v>
      </c>
      <c r="G250" s="29">
        <v>1</v>
      </c>
      <c r="H250" s="30" t="s">
        <v>1029</v>
      </c>
      <c r="I250" t="s">
        <v>65</v>
      </c>
      <c r="J2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145</v>
      </c>
      <c r="L250" t="s">
        <v>146</v>
      </c>
      <c r="N250" s="29">
        <v>1</v>
      </c>
      <c r="P250" s="29">
        <v>1</v>
      </c>
      <c r="R250" s="29">
        <v>1</v>
      </c>
      <c r="S250" t="s">
        <v>70</v>
      </c>
      <c r="T250" t="s">
        <v>72</v>
      </c>
      <c r="U250" s="32">
        <v>30</v>
      </c>
      <c r="V250">
        <v>30</v>
      </c>
      <c r="W250" t="s">
        <v>79</v>
      </c>
      <c r="X250" t="s">
        <v>1030</v>
      </c>
      <c r="Y250" t="s">
        <v>1031</v>
      </c>
      <c r="AA250" t="s">
        <v>75</v>
      </c>
      <c r="AC250" t="s">
        <v>83</v>
      </c>
      <c r="AE250" t="s">
        <v>75</v>
      </c>
      <c r="AF250" t="s">
        <v>84</v>
      </c>
      <c r="AG250" t="s">
        <v>84</v>
      </c>
      <c r="AH250" s="33">
        <f t="shared" si="10"/>
      </c>
      <c r="AI250" s="33">
        <f t="shared" si="11"/>
      </c>
    </row>
    <row r="251" ht="27.6" customHeight="1" spans="1:35" x14ac:dyDescent="0.25">
      <c r="A251" s="27" t="s">
        <v>1032</v>
      </c>
      <c r="B251">
        <f t="shared" si="9"/>
        <v>0</v>
      </c>
      <c r="C251" t="s">
        <v>64</v>
      </c>
      <c r="D251" s="27" t="s">
        <v>102</v>
      </c>
      <c r="E251" t="s">
        <v>1033</v>
      </c>
      <c r="F251" s="28">
        <v>0</v>
      </c>
      <c r="G251" s="29">
        <v>1</v>
      </c>
      <c r="H251" s="30" t="s">
        <v>1034</v>
      </c>
      <c r="I251" t="s">
        <v>65</v>
      </c>
      <c r="J2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145</v>
      </c>
      <c r="L251" t="s">
        <v>146</v>
      </c>
      <c r="N251" s="29">
        <v>1</v>
      </c>
      <c r="P251" s="29">
        <v>1</v>
      </c>
      <c r="R251" s="29">
        <v>1</v>
      </c>
      <c r="S251" t="s">
        <v>70</v>
      </c>
      <c r="T251" t="s">
        <v>72</v>
      </c>
      <c r="U251" s="32">
        <v>30</v>
      </c>
      <c r="V251">
        <v>30</v>
      </c>
      <c r="W251" t="s">
        <v>79</v>
      </c>
      <c r="X251" t="s">
        <v>1030</v>
      </c>
      <c r="Y251" t="s">
        <v>1035</v>
      </c>
      <c r="AA251" t="s">
        <v>75</v>
      </c>
      <c r="AC251" t="s">
        <v>83</v>
      </c>
      <c r="AE251" t="s">
        <v>75</v>
      </c>
      <c r="AF251" t="s">
        <v>84</v>
      </c>
      <c r="AG251" t="s">
        <v>84</v>
      </c>
      <c r="AH251" s="33">
        <f t="shared" si="10"/>
      </c>
      <c r="AI251" s="33">
        <f t="shared" si="11"/>
      </c>
    </row>
    <row r="252" ht="27.6" customHeight="1" spans="1:35" x14ac:dyDescent="0.25">
      <c r="A252" s="27" t="s">
        <v>1036</v>
      </c>
      <c r="B252">
        <f t="shared" si="9"/>
        <v>0</v>
      </c>
      <c r="C252" t="s">
        <v>64</v>
      </c>
      <c r="D252" s="27" t="s">
        <v>1037</v>
      </c>
      <c r="E252" t="s">
        <v>1038</v>
      </c>
      <c r="F252" s="28">
        <v>0</v>
      </c>
      <c r="G252" s="29">
        <v>1</v>
      </c>
      <c r="H252" s="30" t="s">
        <v>1039</v>
      </c>
      <c r="I252" t="s">
        <v>65</v>
      </c>
      <c r="J2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145</v>
      </c>
      <c r="L252" t="s">
        <v>146</v>
      </c>
      <c r="N252" s="29">
        <v>1</v>
      </c>
      <c r="P252" s="29">
        <v>1</v>
      </c>
      <c r="R252" s="29">
        <v>1</v>
      </c>
      <c r="S252" t="s">
        <v>70</v>
      </c>
      <c r="T252" t="s">
        <v>72</v>
      </c>
      <c r="U252" s="32">
        <v>30</v>
      </c>
      <c r="V252">
        <v>30</v>
      </c>
      <c r="W252" t="s">
        <v>79</v>
      </c>
      <c r="X252" t="s">
        <v>980</v>
      </c>
      <c r="Y252" t="s">
        <v>1040</v>
      </c>
      <c r="AA252" t="s">
        <v>75</v>
      </c>
      <c r="AC252" t="s">
        <v>83</v>
      </c>
      <c r="AE252" t="s">
        <v>75</v>
      </c>
      <c r="AF252" t="s">
        <v>84</v>
      </c>
      <c r="AG252" t="s">
        <v>84</v>
      </c>
      <c r="AH252" s="33">
        <f t="shared" si="10"/>
      </c>
      <c r="AI252" s="33">
        <f t="shared" si="11"/>
      </c>
    </row>
    <row r="253" ht="27.6" customHeight="1" spans="1:35" x14ac:dyDescent="0.25">
      <c r="A253" s="27" t="s">
        <v>1041</v>
      </c>
      <c r="B253">
        <f t="shared" si="9"/>
        <v>0</v>
      </c>
      <c r="C253" t="s">
        <v>64</v>
      </c>
      <c r="D253" s="27" t="s">
        <v>1042</v>
      </c>
      <c r="E253" t="s">
        <v>1043</v>
      </c>
      <c r="F253" s="28">
        <v>0</v>
      </c>
      <c r="G253" s="29">
        <v>1</v>
      </c>
      <c r="H253" s="30" t="s">
        <v>1044</v>
      </c>
      <c r="I253" t="s">
        <v>65</v>
      </c>
      <c r="J2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145</v>
      </c>
      <c r="L253" t="s">
        <v>146</v>
      </c>
      <c r="N253" s="29">
        <v>1</v>
      </c>
      <c r="P253" s="29">
        <v>1</v>
      </c>
      <c r="R253" s="29">
        <v>1</v>
      </c>
      <c r="S253" t="s">
        <v>70</v>
      </c>
      <c r="T253" t="s">
        <v>72</v>
      </c>
      <c r="U253" s="32">
        <v>30</v>
      </c>
      <c r="V253">
        <v>30</v>
      </c>
      <c r="W253" t="s">
        <v>79</v>
      </c>
      <c r="X253" t="s">
        <v>980</v>
      </c>
      <c r="Y253" t="s">
        <v>1045</v>
      </c>
      <c r="AA253" t="s">
        <v>75</v>
      </c>
      <c r="AC253" t="s">
        <v>83</v>
      </c>
      <c r="AE253" t="s">
        <v>75</v>
      </c>
      <c r="AF253" t="s">
        <v>84</v>
      </c>
      <c r="AG253" t="s">
        <v>84</v>
      </c>
      <c r="AH253" s="33">
        <f t="shared" si="10"/>
      </c>
      <c r="AI253" s="33">
        <f t="shared" si="11"/>
      </c>
    </row>
    <row r="254" ht="27.6" customHeight="1" spans="1:35" x14ac:dyDescent="0.25">
      <c r="A254" s="27" t="s">
        <v>1046</v>
      </c>
      <c r="B254">
        <f t="shared" si="9"/>
        <v>0</v>
      </c>
      <c r="C254" t="s">
        <v>64</v>
      </c>
      <c r="D254" s="27" t="s">
        <v>102</v>
      </c>
      <c r="E254" t="s">
        <v>1047</v>
      </c>
      <c r="F254" s="28">
        <v>0</v>
      </c>
      <c r="G254" s="29">
        <v>1</v>
      </c>
      <c r="H254" s="30" t="s">
        <v>1048</v>
      </c>
      <c r="I254" t="s">
        <v>65</v>
      </c>
      <c r="J2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145</v>
      </c>
      <c r="L254" t="s">
        <v>146</v>
      </c>
      <c r="N254" s="29">
        <v>1</v>
      </c>
      <c r="P254" s="29">
        <v>1</v>
      </c>
      <c r="R254" s="29">
        <v>1</v>
      </c>
      <c r="S254" t="s">
        <v>70</v>
      </c>
      <c r="T254" t="s">
        <v>72</v>
      </c>
      <c r="U254" s="32">
        <v>30</v>
      </c>
      <c r="V254">
        <v>30</v>
      </c>
      <c r="W254" t="s">
        <v>79</v>
      </c>
      <c r="X254" t="s">
        <v>980</v>
      </c>
      <c r="Y254" t="s">
        <v>1049</v>
      </c>
      <c r="AA254" t="s">
        <v>75</v>
      </c>
      <c r="AC254" t="s">
        <v>83</v>
      </c>
      <c r="AE254" t="s">
        <v>75</v>
      </c>
      <c r="AF254" t="s">
        <v>84</v>
      </c>
      <c r="AG254" t="s">
        <v>84</v>
      </c>
      <c r="AH254" s="33">
        <f t="shared" si="10"/>
      </c>
      <c r="AI254" s="33">
        <f t="shared" si="11"/>
      </c>
    </row>
    <row r="255" ht="27.6" customHeight="1" spans="1:35" x14ac:dyDescent="0.25">
      <c r="A255" s="27" t="s">
        <v>1050</v>
      </c>
      <c r="B255">
        <f t="shared" si="9"/>
        <v>0</v>
      </c>
      <c r="C255" t="s">
        <v>64</v>
      </c>
      <c r="D255" s="27" t="s">
        <v>102</v>
      </c>
      <c r="E255" t="s">
        <v>1047</v>
      </c>
      <c r="F255" s="28">
        <v>0</v>
      </c>
      <c r="G255" s="29">
        <v>1</v>
      </c>
      <c r="H255" s="30" t="s">
        <v>1051</v>
      </c>
      <c r="I255" t="s">
        <v>65</v>
      </c>
      <c r="J2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145</v>
      </c>
      <c r="L255" t="s">
        <v>146</v>
      </c>
      <c r="N255" s="29">
        <v>1</v>
      </c>
      <c r="P255" s="29">
        <v>1</v>
      </c>
      <c r="R255" s="29">
        <v>1</v>
      </c>
      <c r="S255" t="s">
        <v>70</v>
      </c>
      <c r="T255" t="s">
        <v>72</v>
      </c>
      <c r="U255" s="32">
        <v>30</v>
      </c>
      <c r="V255">
        <v>30</v>
      </c>
      <c r="W255" t="s">
        <v>79</v>
      </c>
      <c r="X255" t="s">
        <v>980</v>
      </c>
      <c r="Y255" t="s">
        <v>1049</v>
      </c>
      <c r="AA255" t="s">
        <v>75</v>
      </c>
      <c r="AC255" t="s">
        <v>83</v>
      </c>
      <c r="AE255" t="s">
        <v>75</v>
      </c>
      <c r="AF255" t="s">
        <v>84</v>
      </c>
      <c r="AG255" t="s">
        <v>84</v>
      </c>
      <c r="AH255" s="33">
        <f t="shared" si="10"/>
      </c>
      <c r="AI255" s="33">
        <f t="shared" si="11"/>
      </c>
    </row>
    <row r="256" ht="27.6" customHeight="1" spans="1:35" x14ac:dyDescent="0.25">
      <c r="A256" s="27" t="s">
        <v>1052</v>
      </c>
      <c r="B256">
        <f t="shared" si="9"/>
        <v>0</v>
      </c>
      <c r="C256" t="s">
        <v>64</v>
      </c>
      <c r="D256" s="27" t="s">
        <v>102</v>
      </c>
      <c r="E256" t="s">
        <v>1053</v>
      </c>
      <c r="F256" s="28">
        <v>0</v>
      </c>
      <c r="G256" s="29">
        <v>1</v>
      </c>
      <c r="H256" s="30" t="s">
        <v>1054</v>
      </c>
      <c r="I256" t="s">
        <v>65</v>
      </c>
      <c r="J2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145</v>
      </c>
      <c r="L256" t="s">
        <v>146</v>
      </c>
      <c r="N256" s="29">
        <v>1</v>
      </c>
      <c r="P256" s="29">
        <v>1</v>
      </c>
      <c r="R256" s="29">
        <v>1</v>
      </c>
      <c r="S256" t="s">
        <v>70</v>
      </c>
      <c r="T256" t="s">
        <v>72</v>
      </c>
      <c r="U256" s="32">
        <v>30</v>
      </c>
      <c r="V256">
        <v>30</v>
      </c>
      <c r="W256" t="s">
        <v>79</v>
      </c>
      <c r="X256" t="s">
        <v>980</v>
      </c>
      <c r="Y256" t="s">
        <v>1053</v>
      </c>
      <c r="AA256" t="s">
        <v>75</v>
      </c>
      <c r="AC256" t="s">
        <v>83</v>
      </c>
      <c r="AE256" t="s">
        <v>75</v>
      </c>
      <c r="AF256" t="s">
        <v>84</v>
      </c>
      <c r="AG256" t="s">
        <v>84</v>
      </c>
      <c r="AH256" s="33">
        <f t="shared" si="10"/>
      </c>
      <c r="AI256" s="33">
        <f t="shared" si="11"/>
      </c>
    </row>
    <row r="257" ht="27.6" customHeight="1" spans="1:35" x14ac:dyDescent="0.25">
      <c r="A257" s="27" t="s">
        <v>1055</v>
      </c>
      <c r="B257">
        <f t="shared" si="9"/>
        <v>0</v>
      </c>
      <c r="C257" t="s">
        <v>64</v>
      </c>
      <c r="D257" s="27" t="s">
        <v>102</v>
      </c>
      <c r="E257" t="s">
        <v>1056</v>
      </c>
      <c r="F257" s="28">
        <v>0</v>
      </c>
      <c r="G257" s="29">
        <v>1</v>
      </c>
      <c r="H257" s="30" t="s">
        <v>1057</v>
      </c>
      <c r="I257" t="s">
        <v>65</v>
      </c>
      <c r="J2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145</v>
      </c>
      <c r="L257" t="s">
        <v>146</v>
      </c>
      <c r="N257" s="29">
        <v>1</v>
      </c>
      <c r="P257" s="29">
        <v>1</v>
      </c>
      <c r="R257" s="29">
        <v>1</v>
      </c>
      <c r="S257" t="s">
        <v>70</v>
      </c>
      <c r="T257" t="s">
        <v>72</v>
      </c>
      <c r="U257" s="32">
        <v>30</v>
      </c>
      <c r="V257">
        <v>30</v>
      </c>
      <c r="W257" t="s">
        <v>79</v>
      </c>
      <c r="X257" t="s">
        <v>980</v>
      </c>
      <c r="Y257" t="s">
        <v>1058</v>
      </c>
      <c r="AA257" t="s">
        <v>75</v>
      </c>
      <c r="AC257" t="s">
        <v>83</v>
      </c>
      <c r="AE257" t="s">
        <v>75</v>
      </c>
      <c r="AF257" t="s">
        <v>84</v>
      </c>
      <c r="AG257" t="s">
        <v>84</v>
      </c>
      <c r="AH257" s="33">
        <f t="shared" si="10"/>
      </c>
      <c r="AI257" s="33">
        <f t="shared" si="11"/>
      </c>
    </row>
    <row r="258" ht="27.6" customHeight="1" spans="1:35" x14ac:dyDescent="0.25">
      <c r="A258" s="27" t="s">
        <v>1059</v>
      </c>
      <c r="B258">
        <f t="shared" si="9"/>
        <v>0</v>
      </c>
      <c r="C258" t="s">
        <v>64</v>
      </c>
      <c r="D258" s="27" t="s">
        <v>1060</v>
      </c>
      <c r="E258" t="s">
        <v>1061</v>
      </c>
      <c r="F258" s="28">
        <v>0</v>
      </c>
      <c r="G258" s="29">
        <v>1</v>
      </c>
      <c r="H258" s="30" t="s">
        <v>1062</v>
      </c>
      <c r="I258" t="s">
        <v>65</v>
      </c>
      <c r="J2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145</v>
      </c>
      <c r="L258" t="s">
        <v>146</v>
      </c>
      <c r="N258" s="29">
        <v>1</v>
      </c>
      <c r="P258" s="29">
        <v>1</v>
      </c>
      <c r="R258" s="29">
        <v>1</v>
      </c>
      <c r="S258" t="s">
        <v>70</v>
      </c>
      <c r="T258" t="s">
        <v>72</v>
      </c>
      <c r="U258" s="32">
        <v>30</v>
      </c>
      <c r="V258">
        <v>30</v>
      </c>
      <c r="W258" t="s">
        <v>79</v>
      </c>
      <c r="X258" t="s">
        <v>980</v>
      </c>
      <c r="Y258" t="s">
        <v>1063</v>
      </c>
      <c r="AA258" t="s">
        <v>75</v>
      </c>
      <c r="AC258" t="s">
        <v>83</v>
      </c>
      <c r="AE258" t="s">
        <v>75</v>
      </c>
      <c r="AF258" t="s">
        <v>84</v>
      </c>
      <c r="AG258" t="s">
        <v>84</v>
      </c>
      <c r="AH258" s="33">
        <f t="shared" si="10"/>
      </c>
      <c r="AI258" s="33">
        <f t="shared" si="11"/>
      </c>
    </row>
    <row r="259" ht="27.6" customHeight="1" spans="1:35" x14ac:dyDescent="0.25">
      <c r="A259" s="27" t="s">
        <v>215</v>
      </c>
      <c r="B259">
        <f t="shared" si="9"/>
        <v>0</v>
      </c>
      <c r="C259" t="s">
        <v>64</v>
      </c>
      <c r="D259" s="27" t="s">
        <v>102</v>
      </c>
      <c r="E259" t="s">
        <v>1064</v>
      </c>
      <c r="F259" s="28">
        <v>0</v>
      </c>
      <c r="G259" s="29">
        <v>1</v>
      </c>
      <c r="H259" s="30" t="s">
        <v>1065</v>
      </c>
      <c r="I259" t="s">
        <v>65</v>
      </c>
      <c r="J2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145</v>
      </c>
      <c r="L259" t="s">
        <v>146</v>
      </c>
      <c r="N259" s="29">
        <v>1</v>
      </c>
      <c r="P259" s="29">
        <v>1</v>
      </c>
      <c r="R259" s="29">
        <v>1</v>
      </c>
      <c r="S259" t="s">
        <v>70</v>
      </c>
      <c r="T259" t="s">
        <v>72</v>
      </c>
      <c r="U259" s="32">
        <v>30</v>
      </c>
      <c r="V259">
        <v>30</v>
      </c>
      <c r="W259" t="s">
        <v>79</v>
      </c>
      <c r="X259" t="s">
        <v>1066</v>
      </c>
      <c r="Y259" t="s">
        <v>1067</v>
      </c>
      <c r="AA259" t="s">
        <v>75</v>
      </c>
      <c r="AC259" t="s">
        <v>83</v>
      </c>
      <c r="AE259" t="s">
        <v>75</v>
      </c>
      <c r="AF259" t="s">
        <v>84</v>
      </c>
      <c r="AG259" t="s">
        <v>84</v>
      </c>
      <c r="AH259" s="33">
        <f t="shared" si="10"/>
      </c>
      <c r="AI259" s="33">
        <f t="shared" si="11"/>
      </c>
    </row>
    <row r="260" ht="27.6" customHeight="1" spans="1:35" x14ac:dyDescent="0.25">
      <c r="A260" s="27" t="s">
        <v>219</v>
      </c>
      <c r="B260">
        <f t="shared" si="9"/>
        <v>0</v>
      </c>
      <c r="C260" t="s">
        <v>64</v>
      </c>
      <c r="D260" s="27" t="s">
        <v>102</v>
      </c>
      <c r="E260" t="s">
        <v>1068</v>
      </c>
      <c r="F260" s="28">
        <v>0</v>
      </c>
      <c r="G260" s="29">
        <v>1</v>
      </c>
      <c r="H260" s="30" t="s">
        <v>1069</v>
      </c>
      <c r="I260" t="s">
        <v>65</v>
      </c>
      <c r="J2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145</v>
      </c>
      <c r="L260" t="s">
        <v>146</v>
      </c>
      <c r="N260" s="29">
        <v>1</v>
      </c>
      <c r="P260" s="29">
        <v>1</v>
      </c>
      <c r="R260" s="29">
        <v>1</v>
      </c>
      <c r="S260" t="s">
        <v>70</v>
      </c>
      <c r="T260" t="s">
        <v>72</v>
      </c>
      <c r="U260" s="32">
        <v>30</v>
      </c>
      <c r="V260">
        <v>30</v>
      </c>
      <c r="W260" t="s">
        <v>79</v>
      </c>
      <c r="X260" t="s">
        <v>1066</v>
      </c>
      <c r="Y260" t="s">
        <v>1070</v>
      </c>
      <c r="AA260" t="s">
        <v>75</v>
      </c>
      <c r="AC260" t="s">
        <v>83</v>
      </c>
      <c r="AE260" t="s">
        <v>75</v>
      </c>
      <c r="AF260" t="s">
        <v>84</v>
      </c>
      <c r="AG260" t="s">
        <v>84</v>
      </c>
      <c r="AH260" s="33">
        <f t="shared" si="10"/>
      </c>
      <c r="AI260" s="33">
        <f t="shared" si="11"/>
      </c>
    </row>
    <row r="261" ht="27.6" customHeight="1" spans="1:35" x14ac:dyDescent="0.25">
      <c r="A261" s="27" t="s">
        <v>1071</v>
      </c>
      <c r="B261">
        <f t="shared" si="9"/>
        <v>0</v>
      </c>
      <c r="C261" t="s">
        <v>64</v>
      </c>
      <c r="D261" s="27" t="s">
        <v>102</v>
      </c>
      <c r="E261" t="s">
        <v>1072</v>
      </c>
      <c r="F261" s="28">
        <v>0</v>
      </c>
      <c r="G261" s="29">
        <v>1</v>
      </c>
      <c r="H261" s="30" t="s">
        <v>1073</v>
      </c>
      <c r="I261" t="s">
        <v>65</v>
      </c>
      <c r="J2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145</v>
      </c>
      <c r="L261" t="s">
        <v>146</v>
      </c>
      <c r="N261" s="29">
        <v>1</v>
      </c>
      <c r="P261" s="29">
        <v>1</v>
      </c>
      <c r="R261" s="29">
        <v>1</v>
      </c>
      <c r="S261" t="s">
        <v>70</v>
      </c>
      <c r="T261" t="s">
        <v>72</v>
      </c>
      <c r="U261" s="32">
        <v>30</v>
      </c>
      <c r="V261">
        <v>30</v>
      </c>
      <c r="W261" t="s">
        <v>79</v>
      </c>
      <c r="X261" t="s">
        <v>572</v>
      </c>
      <c r="Y261" t="s">
        <v>1074</v>
      </c>
      <c r="AA261" t="s">
        <v>75</v>
      </c>
      <c r="AC261" t="s">
        <v>83</v>
      </c>
      <c r="AE261" t="s">
        <v>75</v>
      </c>
      <c r="AF261" t="s">
        <v>84</v>
      </c>
      <c r="AG261" t="s">
        <v>84</v>
      </c>
      <c r="AH261" s="33">
        <f t="shared" si="10"/>
      </c>
      <c r="AI261" s="33">
        <f t="shared" si="11"/>
      </c>
    </row>
    <row r="262" ht="27.6" customHeight="1" spans="1:35" x14ac:dyDescent="0.25">
      <c r="A262" s="27" t="s">
        <v>1075</v>
      </c>
      <c r="B262">
        <f t="shared" si="9"/>
        <v>0</v>
      </c>
      <c r="C262" t="s">
        <v>64</v>
      </c>
      <c r="D262" s="27" t="s">
        <v>102</v>
      </c>
      <c r="E262" t="s">
        <v>1076</v>
      </c>
      <c r="F262" s="28">
        <v>0</v>
      </c>
      <c r="G262" s="29">
        <v>1</v>
      </c>
      <c r="H262" s="30" t="s">
        <v>1077</v>
      </c>
      <c r="I262" t="s">
        <v>65</v>
      </c>
      <c r="J2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145</v>
      </c>
      <c r="L262" t="s">
        <v>146</v>
      </c>
      <c r="N262" s="29">
        <v>1</v>
      </c>
      <c r="P262" s="29">
        <v>1</v>
      </c>
      <c r="R262" s="29">
        <v>1</v>
      </c>
      <c r="S262" t="s">
        <v>70</v>
      </c>
      <c r="T262" t="s">
        <v>72</v>
      </c>
      <c r="U262" s="32">
        <v>30</v>
      </c>
      <c r="V262">
        <v>30</v>
      </c>
      <c r="W262" t="s">
        <v>79</v>
      </c>
      <c r="X262" t="s">
        <v>980</v>
      </c>
      <c r="Y262" t="s">
        <v>1076</v>
      </c>
      <c r="AA262" t="s">
        <v>75</v>
      </c>
      <c r="AC262" t="s">
        <v>83</v>
      </c>
      <c r="AE262" t="s">
        <v>75</v>
      </c>
      <c r="AF262" t="s">
        <v>84</v>
      </c>
      <c r="AG262" t="s">
        <v>84</v>
      </c>
      <c r="AH262" s="33">
        <f t="shared" si="10"/>
      </c>
      <c r="AI262" s="33">
        <f t="shared" si="11"/>
      </c>
    </row>
    <row r="263" ht="27.6" customHeight="1" spans="1:35" x14ac:dyDescent="0.25">
      <c r="A263" s="27" t="s">
        <v>1078</v>
      </c>
      <c r="B263">
        <f t="shared" si="9"/>
        <v>0</v>
      </c>
      <c r="C263" t="s">
        <v>64</v>
      </c>
      <c r="D263" s="27" t="s">
        <v>102</v>
      </c>
      <c r="E263" t="s">
        <v>1079</v>
      </c>
      <c r="F263" s="28">
        <v>0</v>
      </c>
      <c r="G263" s="29">
        <v>1</v>
      </c>
      <c r="H263" s="30" t="s">
        <v>1080</v>
      </c>
      <c r="I263" t="s">
        <v>65</v>
      </c>
      <c r="J2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145</v>
      </c>
      <c r="L263" t="s">
        <v>146</v>
      </c>
      <c r="N263" s="29">
        <v>1</v>
      </c>
      <c r="P263" s="29">
        <v>1</v>
      </c>
      <c r="R263" s="29">
        <v>1</v>
      </c>
      <c r="S263" t="s">
        <v>70</v>
      </c>
      <c r="T263" t="s">
        <v>72</v>
      </c>
      <c r="U263" s="32">
        <v>30</v>
      </c>
      <c r="V263">
        <v>30</v>
      </c>
      <c r="W263" t="s">
        <v>79</v>
      </c>
      <c r="X263" t="s">
        <v>572</v>
      </c>
      <c r="Y263" t="s">
        <v>1081</v>
      </c>
      <c r="AA263" t="s">
        <v>75</v>
      </c>
      <c r="AC263" t="s">
        <v>83</v>
      </c>
      <c r="AE263" t="s">
        <v>75</v>
      </c>
      <c r="AF263" t="s">
        <v>84</v>
      </c>
      <c r="AG263" t="s">
        <v>84</v>
      </c>
      <c r="AH263" s="33">
        <f t="shared" si="10"/>
      </c>
      <c r="AI263" s="33">
        <f t="shared" si="11"/>
      </c>
    </row>
    <row r="264" ht="27.6" customHeight="1" spans="1:35" x14ac:dyDescent="0.25">
      <c r="A264" s="27" t="s">
        <v>1082</v>
      </c>
      <c r="B264">
        <f t="shared" ref="B264:B327" si="12">LEN(INDIRECT(ADDRESS(ROW() + (0),COLUMN() + (-1))))</f>
        <v>0</v>
      </c>
      <c r="C264" t="s">
        <v>64</v>
      </c>
      <c r="D264" s="27" t="s">
        <v>102</v>
      </c>
      <c r="E264" t="s">
        <v>1083</v>
      </c>
      <c r="F264" s="28">
        <v>0</v>
      </c>
      <c r="G264" s="29">
        <v>1</v>
      </c>
      <c r="H264" s="30" t="s">
        <v>1084</v>
      </c>
      <c r="I264" t="s">
        <v>65</v>
      </c>
      <c r="J2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145</v>
      </c>
      <c r="L264" t="s">
        <v>146</v>
      </c>
      <c r="N264" s="29">
        <v>1</v>
      </c>
      <c r="P264" s="29">
        <v>1</v>
      </c>
      <c r="R264" s="29">
        <v>1</v>
      </c>
      <c r="S264" t="s">
        <v>70</v>
      </c>
      <c r="T264" t="s">
        <v>72</v>
      </c>
      <c r="U264" s="32">
        <v>30</v>
      </c>
      <c r="V264">
        <v>30</v>
      </c>
      <c r="W264" t="s">
        <v>79</v>
      </c>
      <c r="X264" t="s">
        <v>572</v>
      </c>
      <c r="Y264" t="s">
        <v>1085</v>
      </c>
      <c r="AA264" t="s">
        <v>75</v>
      </c>
      <c r="AC264" t="s">
        <v>83</v>
      </c>
      <c r="AE264" t="s">
        <v>75</v>
      </c>
      <c r="AF264" t="s">
        <v>84</v>
      </c>
      <c r="AG264" t="s">
        <v>84</v>
      </c>
      <c r="AH264" s="33">
        <f t="shared" ref="AH264:AH327" si="1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264" s="33">
        <f t="shared" ref="AI264:AI327" si="14">IF(TRIM(INDIRECT("A"&amp;ROW())) &lt;&gt; "",FALSE,"")</f>
      </c>
    </row>
    <row r="265" ht="27.6" customHeight="1" spans="1:35" x14ac:dyDescent="0.25">
      <c r="A265" s="27" t="s">
        <v>1086</v>
      </c>
      <c r="B265">
        <f t="shared" si="12"/>
        <v>0</v>
      </c>
      <c r="C265" t="s">
        <v>64</v>
      </c>
      <c r="D265" s="27" t="s">
        <v>102</v>
      </c>
      <c r="E265" t="s">
        <v>1087</v>
      </c>
      <c r="F265" s="28">
        <v>0</v>
      </c>
      <c r="G265" s="29">
        <v>1</v>
      </c>
      <c r="H265" s="30" t="s">
        <v>1088</v>
      </c>
      <c r="I265" t="s">
        <v>65</v>
      </c>
      <c r="J2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145</v>
      </c>
      <c r="L265" t="s">
        <v>146</v>
      </c>
      <c r="N265" s="29">
        <v>1</v>
      </c>
      <c r="P265" s="29">
        <v>1</v>
      </c>
      <c r="R265" s="29">
        <v>1</v>
      </c>
      <c r="S265" t="s">
        <v>70</v>
      </c>
      <c r="T265" t="s">
        <v>72</v>
      </c>
      <c r="U265" s="32">
        <v>30</v>
      </c>
      <c r="V265">
        <v>30</v>
      </c>
      <c r="W265" t="s">
        <v>79</v>
      </c>
      <c r="X265" t="s">
        <v>572</v>
      </c>
      <c r="Y265" t="s">
        <v>1089</v>
      </c>
      <c r="AA265" t="s">
        <v>75</v>
      </c>
      <c r="AC265" t="s">
        <v>83</v>
      </c>
      <c r="AE265" t="s">
        <v>75</v>
      </c>
      <c r="AF265" t="s">
        <v>84</v>
      </c>
      <c r="AG265" t="s">
        <v>84</v>
      </c>
      <c r="AH265" s="33">
        <f t="shared" si="13"/>
      </c>
      <c r="AI265" s="33">
        <f t="shared" si="14"/>
      </c>
    </row>
    <row r="266" ht="27.6" customHeight="1" spans="1:35" x14ac:dyDescent="0.25">
      <c r="A266" s="27" t="s">
        <v>187</v>
      </c>
      <c r="B266">
        <f t="shared" si="12"/>
        <v>0</v>
      </c>
      <c r="C266" t="s">
        <v>64</v>
      </c>
      <c r="D266" s="27" t="s">
        <v>102</v>
      </c>
      <c r="E266" t="s">
        <v>1090</v>
      </c>
      <c r="F266" s="28">
        <v>0</v>
      </c>
      <c r="G266" s="29">
        <v>1</v>
      </c>
      <c r="H266" s="30" t="s">
        <v>1091</v>
      </c>
      <c r="I266" t="s">
        <v>65</v>
      </c>
      <c r="J2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145</v>
      </c>
      <c r="L266" t="s">
        <v>146</v>
      </c>
      <c r="N266" s="29">
        <v>1</v>
      </c>
      <c r="P266" s="29">
        <v>1</v>
      </c>
      <c r="R266" s="29">
        <v>1</v>
      </c>
      <c r="S266" t="s">
        <v>70</v>
      </c>
      <c r="T266" t="s">
        <v>72</v>
      </c>
      <c r="U266" s="32">
        <v>30</v>
      </c>
      <c r="V266">
        <v>30</v>
      </c>
      <c r="W266" t="s">
        <v>79</v>
      </c>
      <c r="X266" t="s">
        <v>572</v>
      </c>
      <c r="Y266" t="s">
        <v>1092</v>
      </c>
      <c r="AA266" t="s">
        <v>75</v>
      </c>
      <c r="AC266" t="s">
        <v>83</v>
      </c>
      <c r="AE266" t="s">
        <v>75</v>
      </c>
      <c r="AF266" t="s">
        <v>84</v>
      </c>
      <c r="AG266" t="s">
        <v>84</v>
      </c>
      <c r="AH266" s="33">
        <f t="shared" si="13"/>
      </c>
      <c r="AI266" s="33">
        <f t="shared" si="14"/>
      </c>
    </row>
    <row r="267" ht="27.6" customHeight="1" spans="1:35" x14ac:dyDescent="0.25">
      <c r="A267" s="27" t="s">
        <v>1093</v>
      </c>
      <c r="B267">
        <f t="shared" si="12"/>
        <v>0</v>
      </c>
      <c r="C267" t="s">
        <v>64</v>
      </c>
      <c r="D267" s="27" t="s">
        <v>1094</v>
      </c>
      <c r="E267" t="s">
        <v>1095</v>
      </c>
      <c r="F267" s="28">
        <v>0</v>
      </c>
      <c r="G267" s="29">
        <v>1</v>
      </c>
      <c r="H267" s="30" t="s">
        <v>1096</v>
      </c>
      <c r="I267" t="s">
        <v>65</v>
      </c>
      <c r="J2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145</v>
      </c>
      <c r="L267" t="s">
        <v>146</v>
      </c>
      <c r="N267" s="29">
        <v>1</v>
      </c>
      <c r="P267" s="29">
        <v>1</v>
      </c>
      <c r="R267" s="29">
        <v>1</v>
      </c>
      <c r="S267" t="s">
        <v>70</v>
      </c>
      <c r="T267" t="s">
        <v>72</v>
      </c>
      <c r="U267" s="32">
        <v>30</v>
      </c>
      <c r="V267">
        <v>30</v>
      </c>
      <c r="W267" t="s">
        <v>79</v>
      </c>
      <c r="X267" t="s">
        <v>980</v>
      </c>
      <c r="Y267" t="s">
        <v>1097</v>
      </c>
      <c r="AA267" t="s">
        <v>75</v>
      </c>
      <c r="AC267" t="s">
        <v>83</v>
      </c>
      <c r="AE267" t="s">
        <v>75</v>
      </c>
      <c r="AF267" t="s">
        <v>84</v>
      </c>
      <c r="AG267" t="s">
        <v>84</v>
      </c>
      <c r="AH267" s="33">
        <f t="shared" si="13"/>
      </c>
      <c r="AI267" s="33">
        <f t="shared" si="14"/>
      </c>
    </row>
    <row r="268" ht="27.6" customHeight="1" spans="1:35" x14ac:dyDescent="0.25">
      <c r="A268" s="27" t="s">
        <v>1098</v>
      </c>
      <c r="B268">
        <f t="shared" si="12"/>
        <v>0</v>
      </c>
      <c r="C268" t="s">
        <v>64</v>
      </c>
      <c r="D268" s="27" t="s">
        <v>102</v>
      </c>
      <c r="E268" t="s">
        <v>1099</v>
      </c>
      <c r="F268" s="28">
        <v>0</v>
      </c>
      <c r="G268" s="29">
        <v>1</v>
      </c>
      <c r="H268" s="30" t="s">
        <v>1100</v>
      </c>
      <c r="I268" t="s">
        <v>65</v>
      </c>
      <c r="J2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145</v>
      </c>
      <c r="L268" t="s">
        <v>146</v>
      </c>
      <c r="N268" s="29">
        <v>1</v>
      </c>
      <c r="P268" s="29">
        <v>1</v>
      </c>
      <c r="R268" s="29">
        <v>1</v>
      </c>
      <c r="S268" t="s">
        <v>70</v>
      </c>
      <c r="T268" t="s">
        <v>72</v>
      </c>
      <c r="U268" s="32">
        <v>30</v>
      </c>
      <c r="V268">
        <v>30</v>
      </c>
      <c r="W268" t="s">
        <v>79</v>
      </c>
      <c r="X268" t="s">
        <v>980</v>
      </c>
      <c r="Y268" t="s">
        <v>1099</v>
      </c>
      <c r="AA268" t="s">
        <v>75</v>
      </c>
      <c r="AC268" t="s">
        <v>83</v>
      </c>
      <c r="AE268" t="s">
        <v>75</v>
      </c>
      <c r="AF268" t="s">
        <v>84</v>
      </c>
      <c r="AG268" t="s">
        <v>84</v>
      </c>
      <c r="AH268" s="33">
        <f t="shared" si="13"/>
      </c>
      <c r="AI268" s="33">
        <f t="shared" si="14"/>
      </c>
    </row>
    <row r="269" ht="27.6" customHeight="1" spans="1:35" x14ac:dyDescent="0.25">
      <c r="A269" s="27" t="s">
        <v>1101</v>
      </c>
      <c r="B269">
        <f t="shared" si="12"/>
        <v>0</v>
      </c>
      <c r="C269" t="s">
        <v>64</v>
      </c>
      <c r="D269" s="27" t="s">
        <v>102</v>
      </c>
      <c r="E269" t="s">
        <v>1102</v>
      </c>
      <c r="F269" s="28">
        <v>0</v>
      </c>
      <c r="G269" s="29">
        <v>1</v>
      </c>
      <c r="H269" s="30" t="s">
        <v>1103</v>
      </c>
      <c r="I269" t="s">
        <v>65</v>
      </c>
      <c r="J2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145</v>
      </c>
      <c r="L269" t="s">
        <v>146</v>
      </c>
      <c r="N269" s="29">
        <v>1</v>
      </c>
      <c r="P269" s="29">
        <v>1</v>
      </c>
      <c r="R269" s="29">
        <v>1</v>
      </c>
      <c r="S269" t="s">
        <v>70</v>
      </c>
      <c r="T269" t="s">
        <v>72</v>
      </c>
      <c r="U269" s="32">
        <v>30</v>
      </c>
      <c r="V269">
        <v>30</v>
      </c>
      <c r="W269" t="s">
        <v>79</v>
      </c>
      <c r="X269" t="s">
        <v>980</v>
      </c>
      <c r="Y269" t="s">
        <v>1102</v>
      </c>
      <c r="AA269" t="s">
        <v>75</v>
      </c>
      <c r="AC269" t="s">
        <v>83</v>
      </c>
      <c r="AE269" t="s">
        <v>75</v>
      </c>
      <c r="AF269" t="s">
        <v>84</v>
      </c>
      <c r="AG269" t="s">
        <v>84</v>
      </c>
      <c r="AH269" s="33">
        <f t="shared" si="13"/>
      </c>
      <c r="AI269" s="33">
        <f t="shared" si="14"/>
      </c>
    </row>
    <row r="270" ht="27.6" customHeight="1" spans="1:35" x14ac:dyDescent="0.25">
      <c r="A270" s="27" t="s">
        <v>1104</v>
      </c>
      <c r="B270">
        <f t="shared" si="12"/>
        <v>0</v>
      </c>
      <c r="C270" t="s">
        <v>64</v>
      </c>
      <c r="D270" s="27" t="s">
        <v>102</v>
      </c>
      <c r="E270" t="s">
        <v>1105</v>
      </c>
      <c r="F270" s="28">
        <v>0</v>
      </c>
      <c r="G270" s="29">
        <v>1</v>
      </c>
      <c r="H270" s="30" t="s">
        <v>1106</v>
      </c>
      <c r="I270" t="s">
        <v>65</v>
      </c>
      <c r="J2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145</v>
      </c>
      <c r="L270" t="s">
        <v>146</v>
      </c>
      <c r="N270" s="29">
        <v>1</v>
      </c>
      <c r="P270" s="29">
        <v>1</v>
      </c>
      <c r="R270" s="29">
        <v>1</v>
      </c>
      <c r="S270" t="s">
        <v>70</v>
      </c>
      <c r="T270" t="s">
        <v>72</v>
      </c>
      <c r="U270" s="32">
        <v>30</v>
      </c>
      <c r="V270">
        <v>30</v>
      </c>
      <c r="W270" t="s">
        <v>79</v>
      </c>
      <c r="X270" t="s">
        <v>980</v>
      </c>
      <c r="Y270" t="s">
        <v>1107</v>
      </c>
      <c r="AA270" t="s">
        <v>75</v>
      </c>
      <c r="AC270" t="s">
        <v>83</v>
      </c>
      <c r="AE270" t="s">
        <v>75</v>
      </c>
      <c r="AF270" t="s">
        <v>84</v>
      </c>
      <c r="AG270" t="s">
        <v>84</v>
      </c>
      <c r="AH270" s="33">
        <f t="shared" si="13"/>
      </c>
      <c r="AI270" s="33">
        <f t="shared" si="14"/>
      </c>
    </row>
    <row r="271" ht="27.6" customHeight="1" spans="1:35" x14ac:dyDescent="0.25">
      <c r="A271" s="27" t="s">
        <v>1108</v>
      </c>
      <c r="B271">
        <f t="shared" si="12"/>
        <v>0</v>
      </c>
      <c r="C271" t="s">
        <v>64</v>
      </c>
      <c r="D271" s="27" t="s">
        <v>102</v>
      </c>
      <c r="E271" t="s">
        <v>1109</v>
      </c>
      <c r="F271" s="28">
        <v>0</v>
      </c>
      <c r="G271" s="29">
        <v>1</v>
      </c>
      <c r="H271" s="30" t="s">
        <v>1110</v>
      </c>
      <c r="I271" t="s">
        <v>65</v>
      </c>
      <c r="J2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145</v>
      </c>
      <c r="L271" t="s">
        <v>146</v>
      </c>
      <c r="N271" s="29">
        <v>1</v>
      </c>
      <c r="P271" s="29">
        <v>1</v>
      </c>
      <c r="R271" s="29">
        <v>1</v>
      </c>
      <c r="S271" t="s">
        <v>70</v>
      </c>
      <c r="T271" t="s">
        <v>72</v>
      </c>
      <c r="U271" s="32">
        <v>30</v>
      </c>
      <c r="V271">
        <v>30</v>
      </c>
      <c r="W271" t="s">
        <v>79</v>
      </c>
      <c r="X271" t="s">
        <v>980</v>
      </c>
      <c r="Y271" t="s">
        <v>1111</v>
      </c>
      <c r="AA271" t="s">
        <v>75</v>
      </c>
      <c r="AC271" t="s">
        <v>83</v>
      </c>
      <c r="AE271" t="s">
        <v>75</v>
      </c>
      <c r="AF271" t="s">
        <v>84</v>
      </c>
      <c r="AG271" t="s">
        <v>84</v>
      </c>
      <c r="AH271" s="33">
        <f t="shared" si="13"/>
      </c>
      <c r="AI271" s="33">
        <f t="shared" si="14"/>
      </c>
    </row>
    <row r="272" ht="27.6" customHeight="1" spans="1:35" x14ac:dyDescent="0.25">
      <c r="A272" s="27" t="s">
        <v>1112</v>
      </c>
      <c r="B272">
        <f t="shared" si="12"/>
        <v>0</v>
      </c>
      <c r="C272" t="s">
        <v>64</v>
      </c>
      <c r="D272" s="27" t="s">
        <v>102</v>
      </c>
      <c r="E272" t="s">
        <v>1113</v>
      </c>
      <c r="F272" s="28">
        <v>0</v>
      </c>
      <c r="G272" s="29">
        <v>1</v>
      </c>
      <c r="H272" s="30" t="s">
        <v>1114</v>
      </c>
      <c r="I272" t="s">
        <v>65</v>
      </c>
      <c r="J2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145</v>
      </c>
      <c r="L272" t="s">
        <v>146</v>
      </c>
      <c r="N272" s="29">
        <v>1</v>
      </c>
      <c r="P272" s="29">
        <v>1</v>
      </c>
      <c r="R272" s="29">
        <v>1</v>
      </c>
      <c r="S272" t="s">
        <v>70</v>
      </c>
      <c r="T272" t="s">
        <v>72</v>
      </c>
      <c r="U272" s="32">
        <v>30</v>
      </c>
      <c r="V272">
        <v>30</v>
      </c>
      <c r="W272" t="s">
        <v>79</v>
      </c>
      <c r="X272" t="s">
        <v>980</v>
      </c>
      <c r="Y272" t="s">
        <v>1115</v>
      </c>
      <c r="AA272" t="s">
        <v>75</v>
      </c>
      <c r="AC272" t="s">
        <v>83</v>
      </c>
      <c r="AE272" t="s">
        <v>75</v>
      </c>
      <c r="AF272" t="s">
        <v>84</v>
      </c>
      <c r="AG272" t="s">
        <v>84</v>
      </c>
      <c r="AH272" s="33">
        <f t="shared" si="13"/>
      </c>
      <c r="AI272" s="33">
        <f t="shared" si="14"/>
      </c>
    </row>
    <row r="273" ht="27.6" customHeight="1" spans="1:35" x14ac:dyDescent="0.25">
      <c r="A273" s="27" t="s">
        <v>1116</v>
      </c>
      <c r="B273">
        <f t="shared" si="12"/>
        <v>0</v>
      </c>
      <c r="C273" t="s">
        <v>64</v>
      </c>
      <c r="D273" s="27" t="s">
        <v>102</v>
      </c>
      <c r="E273" t="s">
        <v>1113</v>
      </c>
      <c r="F273" s="28">
        <v>0</v>
      </c>
      <c r="G273" s="29">
        <v>1</v>
      </c>
      <c r="H273" s="30" t="s">
        <v>1117</v>
      </c>
      <c r="I273" t="s">
        <v>65</v>
      </c>
      <c r="J2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145</v>
      </c>
      <c r="L273" t="s">
        <v>146</v>
      </c>
      <c r="N273" s="29">
        <v>1</v>
      </c>
      <c r="P273" s="29">
        <v>1</v>
      </c>
      <c r="R273" s="29">
        <v>1</v>
      </c>
      <c r="S273" t="s">
        <v>70</v>
      </c>
      <c r="T273" t="s">
        <v>72</v>
      </c>
      <c r="U273" s="32">
        <v>30</v>
      </c>
      <c r="V273">
        <v>30</v>
      </c>
      <c r="W273" t="s">
        <v>79</v>
      </c>
      <c r="X273" t="s">
        <v>980</v>
      </c>
      <c r="Y273" t="s">
        <v>1115</v>
      </c>
      <c r="AA273" t="s">
        <v>75</v>
      </c>
      <c r="AC273" t="s">
        <v>83</v>
      </c>
      <c r="AE273" t="s">
        <v>75</v>
      </c>
      <c r="AF273" t="s">
        <v>84</v>
      </c>
      <c r="AG273" t="s">
        <v>84</v>
      </c>
      <c r="AH273" s="33">
        <f t="shared" si="13"/>
      </c>
      <c r="AI273" s="33">
        <f t="shared" si="14"/>
      </c>
    </row>
    <row r="274" ht="27.6" customHeight="1" spans="1:35" x14ac:dyDescent="0.25">
      <c r="A274" s="27" t="s">
        <v>1118</v>
      </c>
      <c r="B274">
        <f t="shared" si="12"/>
        <v>0</v>
      </c>
      <c r="C274" t="s">
        <v>64</v>
      </c>
      <c r="D274" s="27" t="s">
        <v>1119</v>
      </c>
      <c r="E274" t="s">
        <v>1120</v>
      </c>
      <c r="F274" s="28">
        <v>0</v>
      </c>
      <c r="G274" s="29">
        <v>1</v>
      </c>
      <c r="H274" s="30" t="s">
        <v>1121</v>
      </c>
      <c r="I274" t="s">
        <v>65</v>
      </c>
      <c r="J2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145</v>
      </c>
      <c r="L274" t="s">
        <v>146</v>
      </c>
      <c r="N274" s="29">
        <v>1</v>
      </c>
      <c r="P274" s="29">
        <v>1</v>
      </c>
      <c r="R274" s="29">
        <v>1</v>
      </c>
      <c r="S274" t="s">
        <v>70</v>
      </c>
      <c r="T274" t="s">
        <v>72</v>
      </c>
      <c r="U274" s="32">
        <v>30</v>
      </c>
      <c r="V274">
        <v>30</v>
      </c>
      <c r="W274" t="s">
        <v>79</v>
      </c>
      <c r="X274" t="s">
        <v>980</v>
      </c>
      <c r="Y274" t="s">
        <v>1122</v>
      </c>
      <c r="AA274" t="s">
        <v>75</v>
      </c>
      <c r="AC274" t="s">
        <v>83</v>
      </c>
      <c r="AE274" t="s">
        <v>75</v>
      </c>
      <c r="AF274" t="s">
        <v>84</v>
      </c>
      <c r="AG274" t="s">
        <v>84</v>
      </c>
      <c r="AH274" s="33">
        <f t="shared" si="13"/>
      </c>
      <c r="AI274" s="33">
        <f t="shared" si="14"/>
      </c>
    </row>
    <row r="275" ht="27.6" customHeight="1" spans="1:35" x14ac:dyDescent="0.25">
      <c r="A275" s="27" t="s">
        <v>1123</v>
      </c>
      <c r="B275">
        <f t="shared" si="12"/>
        <v>0</v>
      </c>
      <c r="C275" t="s">
        <v>64</v>
      </c>
      <c r="D275" s="27" t="s">
        <v>1124</v>
      </c>
      <c r="E275" t="s">
        <v>1125</v>
      </c>
      <c r="F275" s="28">
        <v>0</v>
      </c>
      <c r="G275" s="29">
        <v>1</v>
      </c>
      <c r="H275" s="30" t="s">
        <v>1126</v>
      </c>
      <c r="I275" t="s">
        <v>65</v>
      </c>
      <c r="J2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145</v>
      </c>
      <c r="L275" t="s">
        <v>146</v>
      </c>
      <c r="N275" s="29">
        <v>1</v>
      </c>
      <c r="P275" s="29">
        <v>1</v>
      </c>
      <c r="R275" s="29">
        <v>1</v>
      </c>
      <c r="S275" t="s">
        <v>70</v>
      </c>
      <c r="T275" t="s">
        <v>72</v>
      </c>
      <c r="U275" s="32">
        <v>30</v>
      </c>
      <c r="V275">
        <v>30</v>
      </c>
      <c r="W275" t="s">
        <v>79</v>
      </c>
      <c r="X275" t="s">
        <v>171</v>
      </c>
      <c r="Y275" t="s">
        <v>1125</v>
      </c>
      <c r="AA275" t="s">
        <v>75</v>
      </c>
      <c r="AC275" t="s">
        <v>83</v>
      </c>
      <c r="AE275" t="s">
        <v>75</v>
      </c>
      <c r="AF275" t="s">
        <v>84</v>
      </c>
      <c r="AG275" t="s">
        <v>84</v>
      </c>
      <c r="AH275" s="33">
        <f t="shared" si="13"/>
      </c>
      <c r="AI275" s="33">
        <f t="shared" si="14"/>
      </c>
    </row>
    <row r="276" ht="27.6" customHeight="1" spans="1:35" x14ac:dyDescent="0.25">
      <c r="A276" s="27" t="s">
        <v>1127</v>
      </c>
      <c r="B276">
        <f t="shared" si="12"/>
        <v>0</v>
      </c>
      <c r="C276" t="s">
        <v>64</v>
      </c>
      <c r="D276" s="27" t="s">
        <v>1128</v>
      </c>
      <c r="E276" t="s">
        <v>1129</v>
      </c>
      <c r="F276" s="28">
        <v>0</v>
      </c>
      <c r="G276" s="29">
        <v>1</v>
      </c>
      <c r="H276" s="30" t="s">
        <v>1130</v>
      </c>
      <c r="I276" t="s">
        <v>65</v>
      </c>
      <c r="J2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145</v>
      </c>
      <c r="L276" t="s">
        <v>146</v>
      </c>
      <c r="N276" s="29">
        <v>1</v>
      </c>
      <c r="P276" s="29">
        <v>1</v>
      </c>
      <c r="R276" s="29">
        <v>1</v>
      </c>
      <c r="S276" t="s">
        <v>70</v>
      </c>
      <c r="T276" t="s">
        <v>72</v>
      </c>
      <c r="U276" s="32">
        <v>30</v>
      </c>
      <c r="V276">
        <v>30</v>
      </c>
      <c r="W276" t="s">
        <v>79</v>
      </c>
      <c r="X276" t="s">
        <v>980</v>
      </c>
      <c r="Y276" t="s">
        <v>1131</v>
      </c>
      <c r="AA276" t="s">
        <v>75</v>
      </c>
      <c r="AC276" t="s">
        <v>83</v>
      </c>
      <c r="AE276" t="s">
        <v>75</v>
      </c>
      <c r="AF276" t="s">
        <v>84</v>
      </c>
      <c r="AG276" t="s">
        <v>84</v>
      </c>
      <c r="AH276" s="33">
        <f t="shared" si="13"/>
      </c>
      <c r="AI276" s="33">
        <f t="shared" si="14"/>
      </c>
    </row>
    <row r="277" ht="27.6" customHeight="1" spans="1:35" x14ac:dyDescent="0.25">
      <c r="A277" s="27" t="s">
        <v>1123</v>
      </c>
      <c r="B277">
        <f t="shared" si="12"/>
        <v>0</v>
      </c>
      <c r="C277" t="s">
        <v>64</v>
      </c>
      <c r="D277" s="27" t="s">
        <v>1132</v>
      </c>
      <c r="E277" t="s">
        <v>1133</v>
      </c>
      <c r="F277" s="28">
        <v>0</v>
      </c>
      <c r="G277" s="29">
        <v>1</v>
      </c>
      <c r="H277" s="30" t="s">
        <v>1134</v>
      </c>
      <c r="I277" t="s">
        <v>65</v>
      </c>
      <c r="J2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145</v>
      </c>
      <c r="L277" t="s">
        <v>146</v>
      </c>
      <c r="N277" s="29">
        <v>1</v>
      </c>
      <c r="P277" s="29">
        <v>1</v>
      </c>
      <c r="R277" s="29">
        <v>1</v>
      </c>
      <c r="S277" t="s">
        <v>70</v>
      </c>
      <c r="T277" t="s">
        <v>72</v>
      </c>
      <c r="U277" s="32">
        <v>30</v>
      </c>
      <c r="V277">
        <v>30</v>
      </c>
      <c r="W277" t="s">
        <v>79</v>
      </c>
      <c r="X277" t="s">
        <v>1135</v>
      </c>
      <c r="Y277" t="s">
        <v>1133</v>
      </c>
      <c r="AA277" t="s">
        <v>75</v>
      </c>
      <c r="AC277" t="s">
        <v>83</v>
      </c>
      <c r="AE277" t="s">
        <v>75</v>
      </c>
      <c r="AF277" t="s">
        <v>84</v>
      </c>
      <c r="AG277" t="s">
        <v>84</v>
      </c>
      <c r="AH277" s="33">
        <f t="shared" si="13"/>
      </c>
      <c r="AI277" s="33">
        <f t="shared" si="14"/>
      </c>
    </row>
    <row r="278" ht="27.6" customHeight="1" spans="1:35" x14ac:dyDescent="0.25">
      <c r="A278" s="27" t="s">
        <v>1136</v>
      </c>
      <c r="B278">
        <f t="shared" si="12"/>
        <v>0</v>
      </c>
      <c r="C278" t="s">
        <v>64</v>
      </c>
      <c r="D278" s="27" t="s">
        <v>102</v>
      </c>
      <c r="E278" t="s">
        <v>1137</v>
      </c>
      <c r="F278" s="28">
        <v>0</v>
      </c>
      <c r="G278" s="29">
        <v>1</v>
      </c>
      <c r="H278" s="30" t="s">
        <v>1138</v>
      </c>
      <c r="I278" t="s">
        <v>65</v>
      </c>
      <c r="J2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145</v>
      </c>
      <c r="L278" t="s">
        <v>146</v>
      </c>
      <c r="N278" s="29">
        <v>1</v>
      </c>
      <c r="P278" s="29">
        <v>1</v>
      </c>
      <c r="R278" s="29">
        <v>1</v>
      </c>
      <c r="S278" t="s">
        <v>70</v>
      </c>
      <c r="T278" t="s">
        <v>72</v>
      </c>
      <c r="U278" s="32">
        <v>30</v>
      </c>
      <c r="V278">
        <v>30</v>
      </c>
      <c r="W278" t="s">
        <v>79</v>
      </c>
      <c r="X278" t="s">
        <v>980</v>
      </c>
      <c r="Y278" t="s">
        <v>1139</v>
      </c>
      <c r="AA278" t="s">
        <v>75</v>
      </c>
      <c r="AC278" t="s">
        <v>83</v>
      </c>
      <c r="AE278" t="s">
        <v>75</v>
      </c>
      <c r="AF278" t="s">
        <v>84</v>
      </c>
      <c r="AG278" t="s">
        <v>84</v>
      </c>
      <c r="AH278" s="33">
        <f t="shared" si="13"/>
      </c>
      <c r="AI278" s="33">
        <f t="shared" si="14"/>
      </c>
    </row>
    <row r="279" ht="27.6" customHeight="1" spans="1:35" x14ac:dyDescent="0.25">
      <c r="A279" s="27" t="s">
        <v>1140</v>
      </c>
      <c r="B279">
        <f t="shared" si="12"/>
        <v>0</v>
      </c>
      <c r="C279" t="s">
        <v>64</v>
      </c>
      <c r="D279" s="27" t="s">
        <v>102</v>
      </c>
      <c r="E279" t="s">
        <v>1141</v>
      </c>
      <c r="F279" s="28">
        <v>0</v>
      </c>
      <c r="G279" s="29">
        <v>1</v>
      </c>
      <c r="H279" s="30" t="s">
        <v>1142</v>
      </c>
      <c r="I279" t="s">
        <v>65</v>
      </c>
      <c r="J2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145</v>
      </c>
      <c r="L279" t="s">
        <v>146</v>
      </c>
      <c r="N279" s="29">
        <v>1</v>
      </c>
      <c r="P279" s="29">
        <v>1</v>
      </c>
      <c r="R279" s="29">
        <v>1</v>
      </c>
      <c r="S279" t="s">
        <v>70</v>
      </c>
      <c r="T279" t="s">
        <v>72</v>
      </c>
      <c r="U279" s="32">
        <v>30</v>
      </c>
      <c r="V279">
        <v>30</v>
      </c>
      <c r="W279" t="s">
        <v>79</v>
      </c>
      <c r="X279" t="s">
        <v>980</v>
      </c>
      <c r="Y279" t="s">
        <v>1141</v>
      </c>
      <c r="AA279" t="s">
        <v>75</v>
      </c>
      <c r="AC279" t="s">
        <v>83</v>
      </c>
      <c r="AE279" t="s">
        <v>75</v>
      </c>
      <c r="AF279" t="s">
        <v>84</v>
      </c>
      <c r="AG279" t="s">
        <v>84</v>
      </c>
      <c r="AH279" s="33">
        <f t="shared" si="13"/>
      </c>
      <c r="AI279" s="33">
        <f t="shared" si="14"/>
      </c>
    </row>
    <row r="280" ht="27.6" customHeight="1" spans="1:35" x14ac:dyDescent="0.25">
      <c r="A280" s="27" t="s">
        <v>1143</v>
      </c>
      <c r="B280">
        <f t="shared" si="12"/>
        <v>0</v>
      </c>
      <c r="C280" t="s">
        <v>64</v>
      </c>
      <c r="D280" s="27" t="s">
        <v>102</v>
      </c>
      <c r="E280" t="s">
        <v>1144</v>
      </c>
      <c r="F280" s="28">
        <v>0</v>
      </c>
      <c r="G280" s="29">
        <v>1</v>
      </c>
      <c r="H280" s="30" t="s">
        <v>1145</v>
      </c>
      <c r="I280" t="s">
        <v>65</v>
      </c>
      <c r="J2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145</v>
      </c>
      <c r="L280" t="s">
        <v>146</v>
      </c>
      <c r="N280" s="29">
        <v>1</v>
      </c>
      <c r="P280" s="29">
        <v>1</v>
      </c>
      <c r="R280" s="29">
        <v>1</v>
      </c>
      <c r="S280" t="s">
        <v>70</v>
      </c>
      <c r="T280" t="s">
        <v>72</v>
      </c>
      <c r="U280" s="32">
        <v>30</v>
      </c>
      <c r="V280">
        <v>30</v>
      </c>
      <c r="W280" t="s">
        <v>79</v>
      </c>
      <c r="X280" t="s">
        <v>980</v>
      </c>
      <c r="Y280" t="s">
        <v>1144</v>
      </c>
      <c r="AA280" t="s">
        <v>75</v>
      </c>
      <c r="AC280" t="s">
        <v>83</v>
      </c>
      <c r="AE280" t="s">
        <v>75</v>
      </c>
      <c r="AF280" t="s">
        <v>84</v>
      </c>
      <c r="AG280" t="s">
        <v>84</v>
      </c>
      <c r="AH280" s="33">
        <f t="shared" si="13"/>
      </c>
      <c r="AI280" s="33">
        <f t="shared" si="14"/>
      </c>
    </row>
    <row r="281" ht="27.6" customHeight="1" spans="1:35" x14ac:dyDescent="0.25">
      <c r="A281" s="27" t="s">
        <v>1146</v>
      </c>
      <c r="B281">
        <f t="shared" si="12"/>
        <v>0</v>
      </c>
      <c r="C281" t="s">
        <v>64</v>
      </c>
      <c r="D281" s="27" t="s">
        <v>102</v>
      </c>
      <c r="E281" t="s">
        <v>1147</v>
      </c>
      <c r="F281" s="28">
        <v>0</v>
      </c>
      <c r="G281" s="29">
        <v>1</v>
      </c>
      <c r="H281" s="30" t="s">
        <v>1148</v>
      </c>
      <c r="I281" t="s">
        <v>65</v>
      </c>
      <c r="J2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145</v>
      </c>
      <c r="L281" t="s">
        <v>146</v>
      </c>
      <c r="N281" s="29">
        <v>1</v>
      </c>
      <c r="P281" s="29">
        <v>1</v>
      </c>
      <c r="R281" s="29">
        <v>1</v>
      </c>
      <c r="S281" t="s">
        <v>70</v>
      </c>
      <c r="T281" t="s">
        <v>72</v>
      </c>
      <c r="U281" s="32">
        <v>30</v>
      </c>
      <c r="V281">
        <v>30</v>
      </c>
      <c r="W281" t="s">
        <v>79</v>
      </c>
      <c r="X281" t="s">
        <v>980</v>
      </c>
      <c r="Y281" t="s">
        <v>1149</v>
      </c>
      <c r="AA281" t="s">
        <v>75</v>
      </c>
      <c r="AC281" t="s">
        <v>83</v>
      </c>
      <c r="AE281" t="s">
        <v>75</v>
      </c>
      <c r="AF281" t="s">
        <v>84</v>
      </c>
      <c r="AG281" t="s">
        <v>84</v>
      </c>
      <c r="AH281" s="33">
        <f t="shared" si="13"/>
      </c>
      <c r="AI281" s="33">
        <f t="shared" si="14"/>
      </c>
    </row>
    <row r="282" ht="27.6" customHeight="1" spans="1:35" x14ac:dyDescent="0.25">
      <c r="A282" s="27" t="s">
        <v>1150</v>
      </c>
      <c r="B282">
        <f t="shared" si="12"/>
        <v>0</v>
      </c>
      <c r="C282" t="s">
        <v>64</v>
      </c>
      <c r="D282" s="27" t="s">
        <v>102</v>
      </c>
      <c r="E282" t="s">
        <v>1151</v>
      </c>
      <c r="F282" s="28">
        <v>0</v>
      </c>
      <c r="G282" s="29">
        <v>1</v>
      </c>
      <c r="H282" s="30" t="s">
        <v>1152</v>
      </c>
      <c r="I282" t="s">
        <v>65</v>
      </c>
      <c r="J2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145</v>
      </c>
      <c r="L282" t="s">
        <v>146</v>
      </c>
      <c r="N282" s="29">
        <v>1</v>
      </c>
      <c r="P282" s="29">
        <v>1</v>
      </c>
      <c r="R282" s="29">
        <v>1</v>
      </c>
      <c r="S282" t="s">
        <v>70</v>
      </c>
      <c r="T282" t="s">
        <v>72</v>
      </c>
      <c r="U282" s="32">
        <v>30</v>
      </c>
      <c r="V282">
        <v>30</v>
      </c>
      <c r="W282" t="s">
        <v>79</v>
      </c>
      <c r="X282" t="s">
        <v>980</v>
      </c>
      <c r="Y282" t="s">
        <v>1151</v>
      </c>
      <c r="AA282" t="s">
        <v>75</v>
      </c>
      <c r="AC282" t="s">
        <v>83</v>
      </c>
      <c r="AE282" t="s">
        <v>75</v>
      </c>
      <c r="AF282" t="s">
        <v>84</v>
      </c>
      <c r="AG282" t="s">
        <v>84</v>
      </c>
      <c r="AH282" s="33">
        <f t="shared" si="13"/>
      </c>
      <c r="AI282" s="33">
        <f t="shared" si="14"/>
      </c>
    </row>
    <row r="283" ht="27.6" customHeight="1" spans="1:35" x14ac:dyDescent="0.25">
      <c r="A283" s="27" t="s">
        <v>1153</v>
      </c>
      <c r="B283">
        <f t="shared" si="12"/>
        <v>0</v>
      </c>
      <c r="C283" t="s">
        <v>64</v>
      </c>
      <c r="D283" s="27" t="s">
        <v>102</v>
      </c>
      <c r="E283" t="s">
        <v>1154</v>
      </c>
      <c r="F283" s="28">
        <v>0</v>
      </c>
      <c r="G283" s="29">
        <v>1</v>
      </c>
      <c r="H283" s="30" t="s">
        <v>1155</v>
      </c>
      <c r="I283" t="s">
        <v>65</v>
      </c>
      <c r="J2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145</v>
      </c>
      <c r="L283" t="s">
        <v>146</v>
      </c>
      <c r="N283" s="29">
        <v>1</v>
      </c>
      <c r="P283" s="29">
        <v>1</v>
      </c>
      <c r="R283" s="29">
        <v>1</v>
      </c>
      <c r="S283" t="s">
        <v>70</v>
      </c>
      <c r="T283" t="s">
        <v>72</v>
      </c>
      <c r="U283" s="32">
        <v>30</v>
      </c>
      <c r="V283">
        <v>30</v>
      </c>
      <c r="W283" t="s">
        <v>79</v>
      </c>
      <c r="X283" t="s">
        <v>980</v>
      </c>
      <c r="Y283" t="s">
        <v>1154</v>
      </c>
      <c r="AA283" t="s">
        <v>75</v>
      </c>
      <c r="AC283" t="s">
        <v>83</v>
      </c>
      <c r="AE283" t="s">
        <v>75</v>
      </c>
      <c r="AF283" t="s">
        <v>84</v>
      </c>
      <c r="AG283" t="s">
        <v>84</v>
      </c>
      <c r="AH283" s="33">
        <f t="shared" si="13"/>
      </c>
      <c r="AI283" s="33">
        <f t="shared" si="14"/>
      </c>
    </row>
    <row r="284" ht="27.6" customHeight="1" spans="1:35" x14ac:dyDescent="0.25">
      <c r="A284" s="27" t="s">
        <v>1156</v>
      </c>
      <c r="B284">
        <f t="shared" si="12"/>
        <v>0</v>
      </c>
      <c r="C284" t="s">
        <v>64</v>
      </c>
      <c r="D284" s="27" t="s">
        <v>102</v>
      </c>
      <c r="E284" t="s">
        <v>1157</v>
      </c>
      <c r="F284" s="28">
        <v>0</v>
      </c>
      <c r="G284" s="29">
        <v>1</v>
      </c>
      <c r="H284" s="30" t="s">
        <v>1158</v>
      </c>
      <c r="I284" t="s">
        <v>65</v>
      </c>
      <c r="J2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145</v>
      </c>
      <c r="L284" t="s">
        <v>146</v>
      </c>
      <c r="N284" s="29">
        <v>1</v>
      </c>
      <c r="P284" s="29">
        <v>1</v>
      </c>
      <c r="R284" s="29">
        <v>1</v>
      </c>
      <c r="S284" t="s">
        <v>70</v>
      </c>
      <c r="T284" t="s">
        <v>72</v>
      </c>
      <c r="U284" s="32">
        <v>30</v>
      </c>
      <c r="V284">
        <v>30</v>
      </c>
      <c r="W284" t="s">
        <v>79</v>
      </c>
      <c r="X284" t="s">
        <v>980</v>
      </c>
      <c r="Y284" t="s">
        <v>1157</v>
      </c>
      <c r="AA284" t="s">
        <v>75</v>
      </c>
      <c r="AC284" t="s">
        <v>83</v>
      </c>
      <c r="AE284" t="s">
        <v>75</v>
      </c>
      <c r="AF284" t="s">
        <v>84</v>
      </c>
      <c r="AG284" t="s">
        <v>84</v>
      </c>
      <c r="AH284" s="33">
        <f t="shared" si="13"/>
      </c>
      <c r="AI284" s="33">
        <f t="shared" si="14"/>
      </c>
    </row>
    <row r="285" ht="27.6" customHeight="1" spans="1:35" x14ac:dyDescent="0.25">
      <c r="A285" s="27" t="s">
        <v>1159</v>
      </c>
      <c r="B285">
        <f t="shared" si="12"/>
        <v>0</v>
      </c>
      <c r="C285" t="s">
        <v>64</v>
      </c>
      <c r="D285" s="27" t="s">
        <v>102</v>
      </c>
      <c r="E285" t="s">
        <v>1160</v>
      </c>
      <c r="F285" s="28">
        <v>0</v>
      </c>
      <c r="G285" s="29">
        <v>1</v>
      </c>
      <c r="H285" s="30" t="s">
        <v>1161</v>
      </c>
      <c r="I285" t="s">
        <v>65</v>
      </c>
      <c r="J2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145</v>
      </c>
      <c r="L285" t="s">
        <v>146</v>
      </c>
      <c r="N285" s="29">
        <v>1</v>
      </c>
      <c r="P285" s="29">
        <v>1</v>
      </c>
      <c r="R285" s="29">
        <v>1</v>
      </c>
      <c r="S285" t="s">
        <v>70</v>
      </c>
      <c r="T285" t="s">
        <v>72</v>
      </c>
      <c r="U285" s="32">
        <v>30</v>
      </c>
      <c r="V285">
        <v>30</v>
      </c>
      <c r="W285" t="s">
        <v>79</v>
      </c>
      <c r="X285" t="s">
        <v>980</v>
      </c>
      <c r="Y285" t="s">
        <v>1160</v>
      </c>
      <c r="AA285" t="s">
        <v>75</v>
      </c>
      <c r="AC285" t="s">
        <v>83</v>
      </c>
      <c r="AE285" t="s">
        <v>75</v>
      </c>
      <c r="AF285" t="s">
        <v>84</v>
      </c>
      <c r="AG285" t="s">
        <v>84</v>
      </c>
      <c r="AH285" s="33">
        <f t="shared" si="13"/>
      </c>
      <c r="AI285" s="33">
        <f t="shared" si="14"/>
      </c>
    </row>
    <row r="286" ht="27.6" customHeight="1" spans="1:35" x14ac:dyDescent="0.25">
      <c r="A286" s="27" t="s">
        <v>1162</v>
      </c>
      <c r="B286">
        <f t="shared" si="12"/>
        <v>0</v>
      </c>
      <c r="C286" t="s">
        <v>64</v>
      </c>
      <c r="D286" s="27" t="s">
        <v>102</v>
      </c>
      <c r="E286" t="s">
        <v>1163</v>
      </c>
      <c r="F286" s="28">
        <v>0</v>
      </c>
      <c r="G286" s="29">
        <v>1</v>
      </c>
      <c r="H286" s="30" t="s">
        <v>1164</v>
      </c>
      <c r="I286" t="s">
        <v>65</v>
      </c>
      <c r="J2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145</v>
      </c>
      <c r="L286" t="s">
        <v>146</v>
      </c>
      <c r="N286" s="29">
        <v>1</v>
      </c>
      <c r="P286" s="29">
        <v>1</v>
      </c>
      <c r="R286" s="29">
        <v>1</v>
      </c>
      <c r="S286" t="s">
        <v>70</v>
      </c>
      <c r="T286" t="s">
        <v>72</v>
      </c>
      <c r="U286" s="32">
        <v>30</v>
      </c>
      <c r="V286">
        <v>30</v>
      </c>
      <c r="W286" t="s">
        <v>79</v>
      </c>
      <c r="X286" t="s">
        <v>980</v>
      </c>
      <c r="Y286" t="s">
        <v>1165</v>
      </c>
      <c r="AA286" t="s">
        <v>75</v>
      </c>
      <c r="AC286" t="s">
        <v>83</v>
      </c>
      <c r="AE286" t="s">
        <v>75</v>
      </c>
      <c r="AF286" t="s">
        <v>84</v>
      </c>
      <c r="AG286" t="s">
        <v>84</v>
      </c>
      <c r="AH286" s="33">
        <f t="shared" si="13"/>
      </c>
      <c r="AI286" s="33">
        <f t="shared" si="14"/>
      </c>
    </row>
    <row r="287" ht="27.6" customHeight="1" spans="1:35" x14ac:dyDescent="0.25">
      <c r="A287" s="27" t="s">
        <v>1166</v>
      </c>
      <c r="B287">
        <f t="shared" si="12"/>
        <v>0</v>
      </c>
      <c r="C287" t="s">
        <v>64</v>
      </c>
      <c r="D287" s="27" t="s">
        <v>1167</v>
      </c>
      <c r="E287" t="s">
        <v>1168</v>
      </c>
      <c r="F287" s="28">
        <v>0</v>
      </c>
      <c r="G287" s="29">
        <v>1</v>
      </c>
      <c r="H287" s="30" t="s">
        <v>1169</v>
      </c>
      <c r="I287" t="s">
        <v>65</v>
      </c>
      <c r="J2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145</v>
      </c>
      <c r="L287" t="s">
        <v>146</v>
      </c>
      <c r="N287" s="29">
        <v>1</v>
      </c>
      <c r="P287" s="29">
        <v>1</v>
      </c>
      <c r="R287" s="29">
        <v>1</v>
      </c>
      <c r="S287" t="s">
        <v>70</v>
      </c>
      <c r="T287" t="s">
        <v>72</v>
      </c>
      <c r="U287" s="32">
        <v>30</v>
      </c>
      <c r="V287">
        <v>30</v>
      </c>
      <c r="W287" t="s">
        <v>79</v>
      </c>
      <c r="X287" t="s">
        <v>980</v>
      </c>
      <c r="Y287" t="s">
        <v>1170</v>
      </c>
      <c r="AA287" t="s">
        <v>75</v>
      </c>
      <c r="AC287" t="s">
        <v>83</v>
      </c>
      <c r="AE287" t="s">
        <v>75</v>
      </c>
      <c r="AF287" t="s">
        <v>84</v>
      </c>
      <c r="AG287" t="s">
        <v>84</v>
      </c>
      <c r="AH287" s="33">
        <f t="shared" si="13"/>
      </c>
      <c r="AI287" s="33">
        <f t="shared" si="14"/>
      </c>
    </row>
    <row r="288" ht="27.6" customHeight="1" spans="1:35" x14ac:dyDescent="0.25">
      <c r="A288" s="27" t="s">
        <v>1171</v>
      </c>
      <c r="B288">
        <f t="shared" si="12"/>
        <v>0</v>
      </c>
      <c r="C288" t="s">
        <v>64</v>
      </c>
      <c r="D288" s="27" t="s">
        <v>102</v>
      </c>
      <c r="E288" t="s">
        <v>1172</v>
      </c>
      <c r="F288" s="28">
        <v>0</v>
      </c>
      <c r="G288" s="29">
        <v>1</v>
      </c>
      <c r="H288" s="30" t="s">
        <v>1173</v>
      </c>
      <c r="I288" t="s">
        <v>65</v>
      </c>
      <c r="J2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145</v>
      </c>
      <c r="L288" t="s">
        <v>146</v>
      </c>
      <c r="N288" s="29">
        <v>1</v>
      </c>
      <c r="P288" s="29">
        <v>1</v>
      </c>
      <c r="R288" s="29">
        <v>1</v>
      </c>
      <c r="S288" t="s">
        <v>70</v>
      </c>
      <c r="T288" t="s">
        <v>72</v>
      </c>
      <c r="U288" s="32">
        <v>30</v>
      </c>
      <c r="V288">
        <v>30</v>
      </c>
      <c r="W288" t="s">
        <v>79</v>
      </c>
      <c r="X288" t="s">
        <v>980</v>
      </c>
      <c r="Y288" t="s">
        <v>1174</v>
      </c>
      <c r="AA288" t="s">
        <v>75</v>
      </c>
      <c r="AC288" t="s">
        <v>83</v>
      </c>
      <c r="AE288" t="s">
        <v>75</v>
      </c>
      <c r="AF288" t="s">
        <v>84</v>
      </c>
      <c r="AG288" t="s">
        <v>84</v>
      </c>
      <c r="AH288" s="33">
        <f t="shared" si="13"/>
      </c>
      <c r="AI288" s="33">
        <f t="shared" si="14"/>
      </c>
    </row>
    <row r="289" ht="27.6" customHeight="1" spans="1:35" x14ac:dyDescent="0.25">
      <c r="A289" s="27" t="s">
        <v>1175</v>
      </c>
      <c r="B289">
        <f t="shared" si="12"/>
        <v>0</v>
      </c>
      <c r="C289" t="s">
        <v>64</v>
      </c>
      <c r="D289" s="27" t="s">
        <v>102</v>
      </c>
      <c r="E289" t="s">
        <v>1176</v>
      </c>
      <c r="F289" s="28">
        <v>0</v>
      </c>
      <c r="G289" s="29">
        <v>1</v>
      </c>
      <c r="H289" s="30" t="s">
        <v>1177</v>
      </c>
      <c r="I289" t="s">
        <v>65</v>
      </c>
      <c r="J2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145</v>
      </c>
      <c r="L289" t="s">
        <v>146</v>
      </c>
      <c r="N289" s="29">
        <v>1</v>
      </c>
      <c r="P289" s="29">
        <v>1</v>
      </c>
      <c r="R289" s="29">
        <v>1</v>
      </c>
      <c r="S289" t="s">
        <v>70</v>
      </c>
      <c r="T289" t="s">
        <v>72</v>
      </c>
      <c r="U289" s="32">
        <v>30</v>
      </c>
      <c r="V289">
        <v>30</v>
      </c>
      <c r="W289" t="s">
        <v>79</v>
      </c>
      <c r="X289" t="s">
        <v>980</v>
      </c>
      <c r="Y289" t="s">
        <v>1178</v>
      </c>
      <c r="AA289" t="s">
        <v>75</v>
      </c>
      <c r="AC289" t="s">
        <v>83</v>
      </c>
      <c r="AE289" t="s">
        <v>75</v>
      </c>
      <c r="AF289" t="s">
        <v>84</v>
      </c>
      <c r="AG289" t="s">
        <v>84</v>
      </c>
      <c r="AH289" s="33">
        <f t="shared" si="13"/>
      </c>
      <c r="AI289" s="33">
        <f t="shared" si="14"/>
      </c>
    </row>
    <row r="290" ht="27.6" customHeight="1" spans="1:35" x14ac:dyDescent="0.25">
      <c r="A290" s="27" t="s">
        <v>1179</v>
      </c>
      <c r="B290">
        <f t="shared" si="12"/>
        <v>0</v>
      </c>
      <c r="C290" t="s">
        <v>64</v>
      </c>
      <c r="D290" s="27" t="s">
        <v>102</v>
      </c>
      <c r="E290" t="s">
        <v>1180</v>
      </c>
      <c r="F290" s="28">
        <v>0</v>
      </c>
      <c r="G290" s="29">
        <v>1</v>
      </c>
      <c r="H290" s="30" t="s">
        <v>1181</v>
      </c>
      <c r="I290" t="s">
        <v>65</v>
      </c>
      <c r="J2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145</v>
      </c>
      <c r="L290" t="s">
        <v>146</v>
      </c>
      <c r="N290" s="29">
        <v>1</v>
      </c>
      <c r="P290" s="29">
        <v>1</v>
      </c>
      <c r="R290" s="29">
        <v>1</v>
      </c>
      <c r="S290" t="s">
        <v>70</v>
      </c>
      <c r="T290" t="s">
        <v>72</v>
      </c>
      <c r="U290" s="32">
        <v>30</v>
      </c>
      <c r="V290">
        <v>30</v>
      </c>
      <c r="W290" t="s">
        <v>79</v>
      </c>
      <c r="X290" t="s">
        <v>980</v>
      </c>
      <c r="Y290" t="s">
        <v>1182</v>
      </c>
      <c r="AA290" t="s">
        <v>75</v>
      </c>
      <c r="AC290" t="s">
        <v>83</v>
      </c>
      <c r="AE290" t="s">
        <v>75</v>
      </c>
      <c r="AF290" t="s">
        <v>84</v>
      </c>
      <c r="AG290" t="s">
        <v>84</v>
      </c>
      <c r="AH290" s="33">
        <f t="shared" si="13"/>
      </c>
      <c r="AI290" s="33">
        <f t="shared" si="14"/>
      </c>
    </row>
    <row r="291" ht="27.6" customHeight="1" spans="1:35" x14ac:dyDescent="0.25">
      <c r="A291" s="27" t="s">
        <v>1183</v>
      </c>
      <c r="B291">
        <f t="shared" si="12"/>
        <v>0</v>
      </c>
      <c r="C291" t="s">
        <v>64</v>
      </c>
      <c r="D291" s="27" t="s">
        <v>102</v>
      </c>
      <c r="E291" t="s">
        <v>1184</v>
      </c>
      <c r="F291" s="28">
        <v>0</v>
      </c>
      <c r="G291" s="29">
        <v>1</v>
      </c>
      <c r="H291" s="30" t="s">
        <v>1185</v>
      </c>
      <c r="I291" t="s">
        <v>65</v>
      </c>
      <c r="J2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145</v>
      </c>
      <c r="L291" t="s">
        <v>146</v>
      </c>
      <c r="N291" s="29">
        <v>1</v>
      </c>
      <c r="P291" s="29">
        <v>1</v>
      </c>
      <c r="R291" s="29">
        <v>1</v>
      </c>
      <c r="S291" t="s">
        <v>70</v>
      </c>
      <c r="T291" t="s">
        <v>72</v>
      </c>
      <c r="U291" s="32">
        <v>30</v>
      </c>
      <c r="V291">
        <v>30</v>
      </c>
      <c r="W291" t="s">
        <v>79</v>
      </c>
      <c r="X291" t="s">
        <v>572</v>
      </c>
      <c r="Y291" t="s">
        <v>1186</v>
      </c>
      <c r="AA291" t="s">
        <v>75</v>
      </c>
      <c r="AC291" t="s">
        <v>83</v>
      </c>
      <c r="AE291" t="s">
        <v>75</v>
      </c>
      <c r="AF291" t="s">
        <v>84</v>
      </c>
      <c r="AG291" t="s">
        <v>84</v>
      </c>
      <c r="AH291" s="33">
        <f t="shared" si="13"/>
      </c>
      <c r="AI291" s="33">
        <f t="shared" si="14"/>
      </c>
    </row>
    <row r="292" ht="27.6" customHeight="1" spans="1:35" x14ac:dyDescent="0.25">
      <c r="A292" s="27" t="s">
        <v>1187</v>
      </c>
      <c r="B292">
        <f t="shared" si="12"/>
        <v>0</v>
      </c>
      <c r="C292" t="s">
        <v>64</v>
      </c>
      <c r="D292" s="27" t="s">
        <v>102</v>
      </c>
      <c r="E292" t="s">
        <v>1188</v>
      </c>
      <c r="F292" s="28">
        <v>0</v>
      </c>
      <c r="G292" s="29">
        <v>1</v>
      </c>
      <c r="H292" s="30" t="s">
        <v>1189</v>
      </c>
      <c r="I292" t="s">
        <v>65</v>
      </c>
      <c r="J2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145</v>
      </c>
      <c r="L292" t="s">
        <v>146</v>
      </c>
      <c r="N292" s="29">
        <v>1</v>
      </c>
      <c r="P292" s="29">
        <v>1</v>
      </c>
      <c r="R292" s="29">
        <v>1</v>
      </c>
      <c r="S292" t="s">
        <v>70</v>
      </c>
      <c r="T292" t="s">
        <v>72</v>
      </c>
      <c r="U292" s="32">
        <v>30</v>
      </c>
      <c r="V292">
        <v>30</v>
      </c>
      <c r="W292" t="s">
        <v>79</v>
      </c>
      <c r="X292" t="s">
        <v>980</v>
      </c>
      <c r="Y292" t="s">
        <v>1190</v>
      </c>
      <c r="AA292" t="s">
        <v>75</v>
      </c>
      <c r="AC292" t="s">
        <v>83</v>
      </c>
      <c r="AE292" t="s">
        <v>75</v>
      </c>
      <c r="AF292" t="s">
        <v>84</v>
      </c>
      <c r="AG292" t="s">
        <v>84</v>
      </c>
      <c r="AH292" s="33">
        <f t="shared" si="13"/>
      </c>
      <c r="AI292" s="33">
        <f t="shared" si="14"/>
      </c>
    </row>
    <row r="293" ht="27.6" customHeight="1" spans="1:35" x14ac:dyDescent="0.25">
      <c r="A293" s="27" t="s">
        <v>1191</v>
      </c>
      <c r="B293">
        <f t="shared" si="12"/>
        <v>0</v>
      </c>
      <c r="C293" t="s">
        <v>64</v>
      </c>
      <c r="D293" s="27" t="s">
        <v>102</v>
      </c>
      <c r="E293" t="s">
        <v>1192</v>
      </c>
      <c r="F293" s="28">
        <v>0</v>
      </c>
      <c r="G293" s="29">
        <v>1</v>
      </c>
      <c r="H293" s="30" t="s">
        <v>1193</v>
      </c>
      <c r="I293" t="s">
        <v>65</v>
      </c>
      <c r="J2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145</v>
      </c>
      <c r="L293" t="s">
        <v>146</v>
      </c>
      <c r="N293" s="29">
        <v>1</v>
      </c>
      <c r="P293" s="29">
        <v>1</v>
      </c>
      <c r="R293" s="29">
        <v>1</v>
      </c>
      <c r="S293" t="s">
        <v>70</v>
      </c>
      <c r="T293" t="s">
        <v>72</v>
      </c>
      <c r="U293" s="32">
        <v>30</v>
      </c>
      <c r="V293">
        <v>30</v>
      </c>
      <c r="W293" t="s">
        <v>79</v>
      </c>
      <c r="X293" t="s">
        <v>980</v>
      </c>
      <c r="Y293" t="s">
        <v>1194</v>
      </c>
      <c r="AA293" t="s">
        <v>75</v>
      </c>
      <c r="AC293" t="s">
        <v>83</v>
      </c>
      <c r="AE293" t="s">
        <v>75</v>
      </c>
      <c r="AF293" t="s">
        <v>84</v>
      </c>
      <c r="AG293" t="s">
        <v>84</v>
      </c>
      <c r="AH293" s="33">
        <f t="shared" si="13"/>
      </c>
      <c r="AI293" s="33">
        <f t="shared" si="14"/>
      </c>
    </row>
    <row r="294" ht="27.6" customHeight="1" spans="1:35" x14ac:dyDescent="0.25">
      <c r="A294" s="27" t="s">
        <v>1195</v>
      </c>
      <c r="B294">
        <f t="shared" si="12"/>
        <v>0</v>
      </c>
      <c r="C294" t="s">
        <v>64</v>
      </c>
      <c r="D294" s="27" t="s">
        <v>102</v>
      </c>
      <c r="E294" t="s">
        <v>1196</v>
      </c>
      <c r="F294" s="28">
        <v>0</v>
      </c>
      <c r="G294" s="29">
        <v>1</v>
      </c>
      <c r="H294" s="30" t="s">
        <v>1197</v>
      </c>
      <c r="I294" t="s">
        <v>65</v>
      </c>
      <c r="J2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145</v>
      </c>
      <c r="L294" t="s">
        <v>146</v>
      </c>
      <c r="N294" s="29">
        <v>1</v>
      </c>
      <c r="P294" s="29">
        <v>1</v>
      </c>
      <c r="R294" s="29">
        <v>1</v>
      </c>
      <c r="S294" t="s">
        <v>70</v>
      </c>
      <c r="T294" t="s">
        <v>72</v>
      </c>
      <c r="U294" s="32">
        <v>30</v>
      </c>
      <c r="V294">
        <v>30</v>
      </c>
      <c r="W294" t="s">
        <v>79</v>
      </c>
      <c r="X294" t="s">
        <v>980</v>
      </c>
      <c r="Y294" t="s">
        <v>1198</v>
      </c>
      <c r="AA294" t="s">
        <v>75</v>
      </c>
      <c r="AC294" t="s">
        <v>83</v>
      </c>
      <c r="AE294" t="s">
        <v>75</v>
      </c>
      <c r="AF294" t="s">
        <v>84</v>
      </c>
      <c r="AG294" t="s">
        <v>84</v>
      </c>
      <c r="AH294" s="33">
        <f t="shared" si="13"/>
      </c>
      <c r="AI294" s="33">
        <f t="shared" si="14"/>
      </c>
    </row>
    <row r="295" ht="27.6" customHeight="1" spans="1:35" x14ac:dyDescent="0.25">
      <c r="A295" s="27" t="s">
        <v>1199</v>
      </c>
      <c r="B295">
        <f t="shared" si="12"/>
        <v>0</v>
      </c>
      <c r="C295" t="s">
        <v>64</v>
      </c>
      <c r="D295" s="27" t="s">
        <v>102</v>
      </c>
      <c r="E295" t="s">
        <v>1200</v>
      </c>
      <c r="F295" s="28">
        <v>0</v>
      </c>
      <c r="G295" s="29">
        <v>1</v>
      </c>
      <c r="H295" s="30" t="s">
        <v>1201</v>
      </c>
      <c r="I295" t="s">
        <v>65</v>
      </c>
      <c r="J2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145</v>
      </c>
      <c r="L295" t="s">
        <v>146</v>
      </c>
      <c r="N295" s="29">
        <v>1</v>
      </c>
      <c r="P295" s="29">
        <v>1</v>
      </c>
      <c r="R295" s="29">
        <v>1</v>
      </c>
      <c r="S295" t="s">
        <v>70</v>
      </c>
      <c r="T295" t="s">
        <v>72</v>
      </c>
      <c r="U295" s="32">
        <v>30</v>
      </c>
      <c r="V295">
        <v>30</v>
      </c>
      <c r="W295" t="s">
        <v>79</v>
      </c>
      <c r="X295" t="s">
        <v>980</v>
      </c>
      <c r="Y295" t="s">
        <v>1202</v>
      </c>
      <c r="AA295" t="s">
        <v>75</v>
      </c>
      <c r="AC295" t="s">
        <v>83</v>
      </c>
      <c r="AE295" t="s">
        <v>75</v>
      </c>
      <c r="AF295" t="s">
        <v>84</v>
      </c>
      <c r="AG295" t="s">
        <v>84</v>
      </c>
      <c r="AH295" s="33">
        <f t="shared" si="13"/>
      </c>
      <c r="AI295" s="33">
        <f t="shared" si="14"/>
      </c>
    </row>
    <row r="296" ht="27.6" customHeight="1" spans="1:35" x14ac:dyDescent="0.25">
      <c r="A296" s="27" t="s">
        <v>1203</v>
      </c>
      <c r="B296">
        <f t="shared" si="12"/>
        <v>0</v>
      </c>
      <c r="C296" t="s">
        <v>64</v>
      </c>
      <c r="D296" s="27" t="s">
        <v>102</v>
      </c>
      <c r="E296" t="s">
        <v>1204</v>
      </c>
      <c r="F296" s="28">
        <v>0</v>
      </c>
      <c r="G296" s="29">
        <v>1</v>
      </c>
      <c r="H296" s="30" t="s">
        <v>1205</v>
      </c>
      <c r="I296" t="s">
        <v>65</v>
      </c>
      <c r="J2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145</v>
      </c>
      <c r="L296" t="s">
        <v>146</v>
      </c>
      <c r="N296" s="29">
        <v>1</v>
      </c>
      <c r="P296" s="29">
        <v>1</v>
      </c>
      <c r="R296" s="29">
        <v>1</v>
      </c>
      <c r="S296" t="s">
        <v>70</v>
      </c>
      <c r="T296" t="s">
        <v>72</v>
      </c>
      <c r="U296" s="32">
        <v>30</v>
      </c>
      <c r="V296">
        <v>30</v>
      </c>
      <c r="W296" t="s">
        <v>79</v>
      </c>
      <c r="X296" t="s">
        <v>980</v>
      </c>
      <c r="Y296" t="s">
        <v>1204</v>
      </c>
      <c r="AA296" t="s">
        <v>75</v>
      </c>
      <c r="AC296" t="s">
        <v>83</v>
      </c>
      <c r="AE296" t="s">
        <v>75</v>
      </c>
      <c r="AF296" t="s">
        <v>84</v>
      </c>
      <c r="AG296" t="s">
        <v>84</v>
      </c>
      <c r="AH296" s="33">
        <f t="shared" si="13"/>
      </c>
      <c r="AI296" s="33">
        <f t="shared" si="14"/>
      </c>
    </row>
    <row r="297" ht="27.6" customHeight="1" spans="1:35" x14ac:dyDescent="0.25">
      <c r="A297" s="27" t="s">
        <v>1206</v>
      </c>
      <c r="B297">
        <f t="shared" si="12"/>
        <v>0</v>
      </c>
      <c r="C297" t="s">
        <v>64</v>
      </c>
      <c r="D297" s="27" t="s">
        <v>102</v>
      </c>
      <c r="E297" t="s">
        <v>1207</v>
      </c>
      <c r="F297" s="28">
        <v>0</v>
      </c>
      <c r="G297" s="29">
        <v>1</v>
      </c>
      <c r="H297" s="30" t="s">
        <v>1208</v>
      </c>
      <c r="I297" t="s">
        <v>65</v>
      </c>
      <c r="J2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145</v>
      </c>
      <c r="L297" t="s">
        <v>146</v>
      </c>
      <c r="N297" s="29">
        <v>1</v>
      </c>
      <c r="P297" s="29">
        <v>1</v>
      </c>
      <c r="R297" s="29">
        <v>1</v>
      </c>
      <c r="S297" t="s">
        <v>70</v>
      </c>
      <c r="T297" t="s">
        <v>72</v>
      </c>
      <c r="U297" s="32">
        <v>30</v>
      </c>
      <c r="V297">
        <v>30</v>
      </c>
      <c r="W297" t="s">
        <v>79</v>
      </c>
      <c r="X297" t="s">
        <v>980</v>
      </c>
      <c r="Y297" t="s">
        <v>1209</v>
      </c>
      <c r="AA297" t="s">
        <v>75</v>
      </c>
      <c r="AC297" t="s">
        <v>83</v>
      </c>
      <c r="AE297" t="s">
        <v>75</v>
      </c>
      <c r="AF297" t="s">
        <v>84</v>
      </c>
      <c r="AG297" t="s">
        <v>84</v>
      </c>
      <c r="AH297" s="33">
        <f t="shared" si="13"/>
      </c>
      <c r="AI297" s="33">
        <f t="shared" si="14"/>
      </c>
    </row>
    <row r="298" ht="27.6" customHeight="1" spans="1:35" x14ac:dyDescent="0.25">
      <c r="A298" s="27" t="s">
        <v>1210</v>
      </c>
      <c r="B298">
        <f t="shared" si="12"/>
        <v>0</v>
      </c>
      <c r="C298" t="s">
        <v>64</v>
      </c>
      <c r="D298" s="27" t="s">
        <v>102</v>
      </c>
      <c r="E298" t="s">
        <v>1211</v>
      </c>
      <c r="F298" s="28">
        <v>0</v>
      </c>
      <c r="G298" s="29">
        <v>1</v>
      </c>
      <c r="H298" s="30" t="s">
        <v>1212</v>
      </c>
      <c r="I298" t="s">
        <v>65</v>
      </c>
      <c r="J2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145</v>
      </c>
      <c r="L298" t="s">
        <v>146</v>
      </c>
      <c r="N298" s="29">
        <v>1</v>
      </c>
      <c r="P298" s="29">
        <v>1</v>
      </c>
      <c r="R298" s="29">
        <v>1</v>
      </c>
      <c r="S298" t="s">
        <v>70</v>
      </c>
      <c r="T298" t="s">
        <v>72</v>
      </c>
      <c r="U298" s="32">
        <v>30</v>
      </c>
      <c r="V298">
        <v>30</v>
      </c>
      <c r="W298" t="s">
        <v>79</v>
      </c>
      <c r="X298" t="s">
        <v>980</v>
      </c>
      <c r="Y298" t="s">
        <v>1213</v>
      </c>
      <c r="AA298" t="s">
        <v>75</v>
      </c>
      <c r="AC298" t="s">
        <v>83</v>
      </c>
      <c r="AE298" t="s">
        <v>75</v>
      </c>
      <c r="AF298" t="s">
        <v>84</v>
      </c>
      <c r="AG298" t="s">
        <v>84</v>
      </c>
      <c r="AH298" s="33">
        <f t="shared" si="13"/>
      </c>
      <c r="AI298" s="33">
        <f t="shared" si="14"/>
      </c>
    </row>
    <row r="299" ht="27.6" customHeight="1" spans="1:35" x14ac:dyDescent="0.25">
      <c r="A299" s="27" t="s">
        <v>1214</v>
      </c>
      <c r="B299">
        <f t="shared" si="12"/>
        <v>0</v>
      </c>
      <c r="C299" t="s">
        <v>64</v>
      </c>
      <c r="D299" s="27" t="s">
        <v>102</v>
      </c>
      <c r="E299" t="s">
        <v>1215</v>
      </c>
      <c r="F299" s="28">
        <v>0</v>
      </c>
      <c r="G299" s="29">
        <v>1</v>
      </c>
      <c r="H299" s="30" t="s">
        <v>1216</v>
      </c>
      <c r="I299" t="s">
        <v>65</v>
      </c>
      <c r="J2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145</v>
      </c>
      <c r="L299" t="s">
        <v>146</v>
      </c>
      <c r="N299" s="29">
        <v>1</v>
      </c>
      <c r="P299" s="29">
        <v>1</v>
      </c>
      <c r="R299" s="29">
        <v>1</v>
      </c>
      <c r="S299" t="s">
        <v>70</v>
      </c>
      <c r="T299" t="s">
        <v>72</v>
      </c>
      <c r="U299" s="32">
        <v>30</v>
      </c>
      <c r="V299">
        <v>30</v>
      </c>
      <c r="W299" t="s">
        <v>79</v>
      </c>
      <c r="X299" t="s">
        <v>980</v>
      </c>
      <c r="Y299" t="s">
        <v>1217</v>
      </c>
      <c r="AA299" t="s">
        <v>75</v>
      </c>
      <c r="AC299" t="s">
        <v>83</v>
      </c>
      <c r="AE299" t="s">
        <v>75</v>
      </c>
      <c r="AF299" t="s">
        <v>84</v>
      </c>
      <c r="AG299" t="s">
        <v>84</v>
      </c>
      <c r="AH299" s="33">
        <f t="shared" si="13"/>
      </c>
      <c r="AI299" s="33">
        <f t="shared" si="14"/>
      </c>
    </row>
    <row r="300" ht="27.6" customHeight="1" spans="1:35" x14ac:dyDescent="0.25">
      <c r="A300" s="27" t="s">
        <v>1218</v>
      </c>
      <c r="B300">
        <f t="shared" si="12"/>
        <v>0</v>
      </c>
      <c r="C300" t="s">
        <v>64</v>
      </c>
      <c r="D300" s="27" t="s">
        <v>102</v>
      </c>
      <c r="E300" t="s">
        <v>1215</v>
      </c>
      <c r="F300" s="28">
        <v>0</v>
      </c>
      <c r="G300" s="29">
        <v>1</v>
      </c>
      <c r="H300" s="30" t="s">
        <v>1219</v>
      </c>
      <c r="I300" t="s">
        <v>65</v>
      </c>
      <c r="J3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145</v>
      </c>
      <c r="L300" t="s">
        <v>146</v>
      </c>
      <c r="N300" s="29">
        <v>1</v>
      </c>
      <c r="P300" s="29">
        <v>1</v>
      </c>
      <c r="R300" s="29">
        <v>1</v>
      </c>
      <c r="S300" t="s">
        <v>70</v>
      </c>
      <c r="T300" t="s">
        <v>72</v>
      </c>
      <c r="U300" s="32">
        <v>30</v>
      </c>
      <c r="V300">
        <v>30</v>
      </c>
      <c r="W300" t="s">
        <v>79</v>
      </c>
      <c r="X300" t="s">
        <v>980</v>
      </c>
      <c r="Y300" t="s">
        <v>1217</v>
      </c>
      <c r="AA300" t="s">
        <v>75</v>
      </c>
      <c r="AC300" t="s">
        <v>83</v>
      </c>
      <c r="AE300" t="s">
        <v>75</v>
      </c>
      <c r="AF300" t="s">
        <v>84</v>
      </c>
      <c r="AG300" t="s">
        <v>84</v>
      </c>
      <c r="AH300" s="33">
        <f t="shared" si="13"/>
      </c>
      <c r="AI300" s="33">
        <f t="shared" si="14"/>
      </c>
    </row>
    <row r="301" ht="27.6" customHeight="1" spans="1:35" x14ac:dyDescent="0.25">
      <c r="A301" s="27" t="s">
        <v>1220</v>
      </c>
      <c r="B301">
        <f t="shared" si="12"/>
        <v>0</v>
      </c>
      <c r="C301" t="s">
        <v>64</v>
      </c>
      <c r="D301" s="27" t="s">
        <v>102</v>
      </c>
      <c r="E301" t="s">
        <v>1221</v>
      </c>
      <c r="F301" s="28">
        <v>0</v>
      </c>
      <c r="G301" s="29">
        <v>1</v>
      </c>
      <c r="H301" s="30" t="s">
        <v>1222</v>
      </c>
      <c r="I301" t="s">
        <v>65</v>
      </c>
      <c r="J3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145</v>
      </c>
      <c r="L301" t="s">
        <v>146</v>
      </c>
      <c r="N301" s="29">
        <v>1</v>
      </c>
      <c r="P301" s="29">
        <v>1</v>
      </c>
      <c r="R301" s="29">
        <v>1</v>
      </c>
      <c r="S301" t="s">
        <v>70</v>
      </c>
      <c r="T301" t="s">
        <v>72</v>
      </c>
      <c r="U301" s="32">
        <v>30</v>
      </c>
      <c r="V301">
        <v>30</v>
      </c>
      <c r="W301" t="s">
        <v>79</v>
      </c>
      <c r="X301" t="s">
        <v>980</v>
      </c>
      <c r="Y301" t="s">
        <v>1223</v>
      </c>
      <c r="AA301" t="s">
        <v>75</v>
      </c>
      <c r="AC301" t="s">
        <v>83</v>
      </c>
      <c r="AE301" t="s">
        <v>75</v>
      </c>
      <c r="AF301" t="s">
        <v>84</v>
      </c>
      <c r="AG301" t="s">
        <v>84</v>
      </c>
      <c r="AH301" s="33">
        <f t="shared" si="13"/>
      </c>
      <c r="AI301" s="33">
        <f t="shared" si="14"/>
      </c>
    </row>
    <row r="302" ht="27.6" customHeight="1" spans="1:35" x14ac:dyDescent="0.25">
      <c r="A302" s="27" t="s">
        <v>1224</v>
      </c>
      <c r="B302">
        <f t="shared" si="12"/>
        <v>0</v>
      </c>
      <c r="C302" t="s">
        <v>64</v>
      </c>
      <c r="D302" s="27" t="s">
        <v>102</v>
      </c>
      <c r="E302" t="s">
        <v>1221</v>
      </c>
      <c r="F302" s="28">
        <v>0</v>
      </c>
      <c r="G302" s="29">
        <v>1</v>
      </c>
      <c r="H302" s="30" t="s">
        <v>1225</v>
      </c>
      <c r="I302" t="s">
        <v>65</v>
      </c>
      <c r="J3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145</v>
      </c>
      <c r="L302" t="s">
        <v>146</v>
      </c>
      <c r="N302" s="29">
        <v>1</v>
      </c>
      <c r="P302" s="29">
        <v>1</v>
      </c>
      <c r="R302" s="29">
        <v>1</v>
      </c>
      <c r="S302" t="s">
        <v>70</v>
      </c>
      <c r="T302" t="s">
        <v>72</v>
      </c>
      <c r="U302" s="32">
        <v>30</v>
      </c>
      <c r="V302">
        <v>30</v>
      </c>
      <c r="W302" t="s">
        <v>79</v>
      </c>
      <c r="X302" t="s">
        <v>980</v>
      </c>
      <c r="Y302" t="s">
        <v>1223</v>
      </c>
      <c r="AA302" t="s">
        <v>75</v>
      </c>
      <c r="AC302" t="s">
        <v>83</v>
      </c>
      <c r="AE302" t="s">
        <v>75</v>
      </c>
      <c r="AF302" t="s">
        <v>84</v>
      </c>
      <c r="AG302" t="s">
        <v>84</v>
      </c>
      <c r="AH302" s="33">
        <f t="shared" si="13"/>
      </c>
      <c r="AI302" s="33">
        <f t="shared" si="14"/>
      </c>
    </row>
    <row r="303" ht="27.6" customHeight="1" spans="1:35" x14ac:dyDescent="0.25">
      <c r="A303" s="27" t="s">
        <v>1226</v>
      </c>
      <c r="B303">
        <f t="shared" si="12"/>
        <v>0</v>
      </c>
      <c r="C303" t="s">
        <v>64</v>
      </c>
      <c r="D303" s="27" t="s">
        <v>102</v>
      </c>
      <c r="E303" t="s">
        <v>1227</v>
      </c>
      <c r="F303" s="28">
        <v>0</v>
      </c>
      <c r="G303" s="29">
        <v>1</v>
      </c>
      <c r="H303" s="30" t="s">
        <v>1228</v>
      </c>
      <c r="I303" t="s">
        <v>65</v>
      </c>
      <c r="J3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145</v>
      </c>
      <c r="L303" t="s">
        <v>146</v>
      </c>
      <c r="N303" s="29">
        <v>1</v>
      </c>
      <c r="P303" s="29">
        <v>1</v>
      </c>
      <c r="R303" s="29">
        <v>1</v>
      </c>
      <c r="S303" t="s">
        <v>70</v>
      </c>
      <c r="T303" t="s">
        <v>72</v>
      </c>
      <c r="U303" s="32">
        <v>30</v>
      </c>
      <c r="V303">
        <v>30</v>
      </c>
      <c r="W303" t="s">
        <v>79</v>
      </c>
      <c r="X303" t="s">
        <v>980</v>
      </c>
      <c r="Y303" t="s">
        <v>1229</v>
      </c>
      <c r="AA303" t="s">
        <v>75</v>
      </c>
      <c r="AC303" t="s">
        <v>83</v>
      </c>
      <c r="AE303" t="s">
        <v>75</v>
      </c>
      <c r="AF303" t="s">
        <v>84</v>
      </c>
      <c r="AG303" t="s">
        <v>84</v>
      </c>
      <c r="AH303" s="33">
        <f t="shared" si="13"/>
      </c>
      <c r="AI303" s="33">
        <f t="shared" si="14"/>
      </c>
    </row>
    <row r="304" ht="27.6" customHeight="1" spans="1:35" x14ac:dyDescent="0.25">
      <c r="A304" s="27" t="s">
        <v>1230</v>
      </c>
      <c r="B304">
        <f t="shared" si="12"/>
        <v>0</v>
      </c>
      <c r="C304" t="s">
        <v>64</v>
      </c>
      <c r="D304" s="27" t="s">
        <v>102</v>
      </c>
      <c r="E304" t="s">
        <v>1227</v>
      </c>
      <c r="F304" s="28">
        <v>0</v>
      </c>
      <c r="G304" s="29">
        <v>1</v>
      </c>
      <c r="H304" s="30" t="s">
        <v>1231</v>
      </c>
      <c r="I304" t="s">
        <v>65</v>
      </c>
      <c r="J3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145</v>
      </c>
      <c r="L304" t="s">
        <v>146</v>
      </c>
      <c r="N304" s="29">
        <v>1</v>
      </c>
      <c r="P304" s="29">
        <v>1</v>
      </c>
      <c r="R304" s="29">
        <v>1</v>
      </c>
      <c r="S304" t="s">
        <v>70</v>
      </c>
      <c r="T304" t="s">
        <v>72</v>
      </c>
      <c r="U304" s="32">
        <v>30</v>
      </c>
      <c r="V304">
        <v>30</v>
      </c>
      <c r="W304" t="s">
        <v>79</v>
      </c>
      <c r="X304" t="s">
        <v>980</v>
      </c>
      <c r="Y304" t="s">
        <v>1229</v>
      </c>
      <c r="AA304" t="s">
        <v>75</v>
      </c>
      <c r="AC304" t="s">
        <v>83</v>
      </c>
      <c r="AE304" t="s">
        <v>75</v>
      </c>
      <c r="AF304" t="s">
        <v>84</v>
      </c>
      <c r="AG304" t="s">
        <v>84</v>
      </c>
      <c r="AH304" s="33">
        <f t="shared" si="13"/>
      </c>
      <c r="AI304" s="33">
        <f t="shared" si="14"/>
      </c>
    </row>
    <row r="305" ht="27.6" customHeight="1" spans="1:35" x14ac:dyDescent="0.25">
      <c r="A305" s="27" t="s">
        <v>1232</v>
      </c>
      <c r="B305">
        <f t="shared" si="12"/>
        <v>0</v>
      </c>
      <c r="C305" t="s">
        <v>64</v>
      </c>
      <c r="D305" s="27" t="s">
        <v>102</v>
      </c>
      <c r="E305" t="s">
        <v>1233</v>
      </c>
      <c r="F305" s="28">
        <v>0</v>
      </c>
      <c r="G305" s="29">
        <v>1</v>
      </c>
      <c r="H305" s="30" t="s">
        <v>1234</v>
      </c>
      <c r="I305" t="s">
        <v>65</v>
      </c>
      <c r="J3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145</v>
      </c>
      <c r="L305" t="s">
        <v>146</v>
      </c>
      <c r="N305" s="29">
        <v>1</v>
      </c>
      <c r="P305" s="29">
        <v>1</v>
      </c>
      <c r="R305" s="29">
        <v>1</v>
      </c>
      <c r="S305" t="s">
        <v>70</v>
      </c>
      <c r="T305" t="s">
        <v>72</v>
      </c>
      <c r="U305" s="32">
        <v>30</v>
      </c>
      <c r="V305">
        <v>30</v>
      </c>
      <c r="W305" t="s">
        <v>79</v>
      </c>
      <c r="X305" t="s">
        <v>980</v>
      </c>
      <c r="Y305" t="s">
        <v>1235</v>
      </c>
      <c r="AA305" t="s">
        <v>75</v>
      </c>
      <c r="AC305" t="s">
        <v>83</v>
      </c>
      <c r="AE305" t="s">
        <v>75</v>
      </c>
      <c r="AF305" t="s">
        <v>84</v>
      </c>
      <c r="AG305" t="s">
        <v>84</v>
      </c>
      <c r="AH305" s="33">
        <f t="shared" si="13"/>
      </c>
      <c r="AI305" s="33">
        <f t="shared" si="14"/>
      </c>
    </row>
    <row r="306" ht="27.6" customHeight="1" spans="1:35" x14ac:dyDescent="0.25">
      <c r="A306" s="27" t="s">
        <v>1236</v>
      </c>
      <c r="B306">
        <f t="shared" si="12"/>
        <v>0</v>
      </c>
      <c r="C306" t="s">
        <v>64</v>
      </c>
      <c r="D306" s="27" t="s">
        <v>102</v>
      </c>
      <c r="E306" t="s">
        <v>1233</v>
      </c>
      <c r="F306" s="28">
        <v>0</v>
      </c>
      <c r="G306" s="29">
        <v>1</v>
      </c>
      <c r="H306" s="30" t="s">
        <v>1237</v>
      </c>
      <c r="I306" t="s">
        <v>65</v>
      </c>
      <c r="J3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145</v>
      </c>
      <c r="L306" t="s">
        <v>146</v>
      </c>
      <c r="N306" s="29">
        <v>1</v>
      </c>
      <c r="P306" s="29">
        <v>1</v>
      </c>
      <c r="R306" s="29">
        <v>1</v>
      </c>
      <c r="S306" t="s">
        <v>70</v>
      </c>
      <c r="T306" t="s">
        <v>72</v>
      </c>
      <c r="U306" s="32">
        <v>30</v>
      </c>
      <c r="V306">
        <v>30</v>
      </c>
      <c r="W306" t="s">
        <v>79</v>
      </c>
      <c r="X306" t="s">
        <v>980</v>
      </c>
      <c r="Y306" t="s">
        <v>1235</v>
      </c>
      <c r="AA306" t="s">
        <v>75</v>
      </c>
      <c r="AC306" t="s">
        <v>83</v>
      </c>
      <c r="AE306" t="s">
        <v>75</v>
      </c>
      <c r="AF306" t="s">
        <v>84</v>
      </c>
      <c r="AG306" t="s">
        <v>84</v>
      </c>
      <c r="AH306" s="33">
        <f t="shared" si="13"/>
      </c>
      <c r="AI306" s="33">
        <f t="shared" si="14"/>
      </c>
    </row>
    <row r="307" ht="27.6" customHeight="1" spans="1:35" x14ac:dyDescent="0.25">
      <c r="A307" s="27" t="s">
        <v>1238</v>
      </c>
      <c r="B307">
        <f t="shared" si="12"/>
        <v>0</v>
      </c>
      <c r="C307" t="s">
        <v>64</v>
      </c>
      <c r="D307" s="27" t="s">
        <v>102</v>
      </c>
      <c r="E307" t="s">
        <v>1239</v>
      </c>
      <c r="F307" s="28">
        <v>0</v>
      </c>
      <c r="G307" s="29">
        <v>1</v>
      </c>
      <c r="H307" s="30" t="s">
        <v>1240</v>
      </c>
      <c r="I307" t="s">
        <v>65</v>
      </c>
      <c r="J3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145</v>
      </c>
      <c r="L307" t="s">
        <v>146</v>
      </c>
      <c r="N307" s="29">
        <v>1</v>
      </c>
      <c r="P307" s="29">
        <v>1</v>
      </c>
      <c r="R307" s="29">
        <v>1</v>
      </c>
      <c r="S307" t="s">
        <v>70</v>
      </c>
      <c r="T307" t="s">
        <v>72</v>
      </c>
      <c r="U307" s="32">
        <v>30</v>
      </c>
      <c r="V307">
        <v>30</v>
      </c>
      <c r="W307" t="s">
        <v>79</v>
      </c>
      <c r="X307" t="s">
        <v>980</v>
      </c>
      <c r="Y307" t="s">
        <v>1241</v>
      </c>
      <c r="AA307" t="s">
        <v>75</v>
      </c>
      <c r="AC307" t="s">
        <v>83</v>
      </c>
      <c r="AE307" t="s">
        <v>75</v>
      </c>
      <c r="AF307" t="s">
        <v>84</v>
      </c>
      <c r="AG307" t="s">
        <v>84</v>
      </c>
      <c r="AH307" s="33">
        <f t="shared" si="13"/>
      </c>
      <c r="AI307" s="33">
        <f t="shared" si="14"/>
      </c>
    </row>
    <row r="308" ht="27.6" customHeight="1" spans="1:35" x14ac:dyDescent="0.25">
      <c r="A308" s="27" t="s">
        <v>1242</v>
      </c>
      <c r="B308">
        <f t="shared" si="12"/>
        <v>0</v>
      </c>
      <c r="C308" t="s">
        <v>64</v>
      </c>
      <c r="D308" s="27" t="s">
        <v>102</v>
      </c>
      <c r="E308" t="s">
        <v>1239</v>
      </c>
      <c r="F308" s="28">
        <v>0</v>
      </c>
      <c r="G308" s="29">
        <v>1</v>
      </c>
      <c r="H308" s="30" t="s">
        <v>1243</v>
      </c>
      <c r="I308" t="s">
        <v>65</v>
      </c>
      <c r="J3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145</v>
      </c>
      <c r="L308" t="s">
        <v>146</v>
      </c>
      <c r="N308" s="29">
        <v>1</v>
      </c>
      <c r="P308" s="29">
        <v>1</v>
      </c>
      <c r="R308" s="29">
        <v>1</v>
      </c>
      <c r="S308" t="s">
        <v>70</v>
      </c>
      <c r="T308" t="s">
        <v>72</v>
      </c>
      <c r="U308" s="32">
        <v>30</v>
      </c>
      <c r="V308">
        <v>30</v>
      </c>
      <c r="W308" t="s">
        <v>79</v>
      </c>
      <c r="X308" t="s">
        <v>980</v>
      </c>
      <c r="Y308" t="s">
        <v>1241</v>
      </c>
      <c r="AA308" t="s">
        <v>75</v>
      </c>
      <c r="AC308" t="s">
        <v>83</v>
      </c>
      <c r="AE308" t="s">
        <v>75</v>
      </c>
      <c r="AF308" t="s">
        <v>84</v>
      </c>
      <c r="AG308" t="s">
        <v>84</v>
      </c>
      <c r="AH308" s="33">
        <f t="shared" si="13"/>
      </c>
      <c r="AI308" s="33">
        <f t="shared" si="14"/>
      </c>
    </row>
    <row r="309" ht="27.6" customHeight="1" spans="1:35" x14ac:dyDescent="0.25">
      <c r="A309" s="27" t="s">
        <v>1244</v>
      </c>
      <c r="B309">
        <f t="shared" si="12"/>
        <v>0</v>
      </c>
      <c r="C309" t="s">
        <v>64</v>
      </c>
      <c r="D309" s="27" t="s">
        <v>102</v>
      </c>
      <c r="E309" t="s">
        <v>1245</v>
      </c>
      <c r="F309" s="28">
        <v>0</v>
      </c>
      <c r="G309" s="29">
        <v>1</v>
      </c>
      <c r="H309" s="30" t="s">
        <v>1246</v>
      </c>
      <c r="I309" t="s">
        <v>65</v>
      </c>
      <c r="J3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145</v>
      </c>
      <c r="L309" t="s">
        <v>146</v>
      </c>
      <c r="N309" s="29">
        <v>1</v>
      </c>
      <c r="P309" s="29">
        <v>1</v>
      </c>
      <c r="R309" s="29">
        <v>1</v>
      </c>
      <c r="S309" t="s">
        <v>70</v>
      </c>
      <c r="T309" t="s">
        <v>72</v>
      </c>
      <c r="U309" s="32">
        <v>30</v>
      </c>
      <c r="V309">
        <v>30</v>
      </c>
      <c r="W309" t="s">
        <v>79</v>
      </c>
      <c r="X309" t="s">
        <v>980</v>
      </c>
      <c r="Y309" t="s">
        <v>1247</v>
      </c>
      <c r="AA309" t="s">
        <v>75</v>
      </c>
      <c r="AC309" t="s">
        <v>83</v>
      </c>
      <c r="AE309" t="s">
        <v>75</v>
      </c>
      <c r="AF309" t="s">
        <v>84</v>
      </c>
      <c r="AG309" t="s">
        <v>84</v>
      </c>
      <c r="AH309" s="33">
        <f t="shared" si="13"/>
      </c>
      <c r="AI309" s="33">
        <f t="shared" si="14"/>
      </c>
    </row>
    <row r="310" ht="27.6" customHeight="1" spans="1:35" x14ac:dyDescent="0.25">
      <c r="A310" s="27" t="s">
        <v>1248</v>
      </c>
      <c r="B310">
        <f t="shared" si="12"/>
        <v>0</v>
      </c>
      <c r="C310" t="s">
        <v>64</v>
      </c>
      <c r="D310" s="27" t="s">
        <v>102</v>
      </c>
      <c r="E310" t="s">
        <v>1245</v>
      </c>
      <c r="F310" s="28">
        <v>0</v>
      </c>
      <c r="G310" s="29">
        <v>1</v>
      </c>
      <c r="H310" s="30" t="s">
        <v>1249</v>
      </c>
      <c r="I310" t="s">
        <v>65</v>
      </c>
      <c r="J3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145</v>
      </c>
      <c r="L310" t="s">
        <v>146</v>
      </c>
      <c r="N310" s="29">
        <v>1</v>
      </c>
      <c r="P310" s="29">
        <v>1</v>
      </c>
      <c r="R310" s="29">
        <v>1</v>
      </c>
      <c r="S310" t="s">
        <v>70</v>
      </c>
      <c r="T310" t="s">
        <v>72</v>
      </c>
      <c r="U310" s="32">
        <v>30</v>
      </c>
      <c r="V310">
        <v>30</v>
      </c>
      <c r="W310" t="s">
        <v>79</v>
      </c>
      <c r="X310" t="s">
        <v>980</v>
      </c>
      <c r="Y310" t="s">
        <v>1247</v>
      </c>
      <c r="AA310" t="s">
        <v>75</v>
      </c>
      <c r="AC310" t="s">
        <v>83</v>
      </c>
      <c r="AE310" t="s">
        <v>75</v>
      </c>
      <c r="AF310" t="s">
        <v>84</v>
      </c>
      <c r="AG310" t="s">
        <v>84</v>
      </c>
      <c r="AH310" s="33">
        <f t="shared" si="13"/>
      </c>
      <c r="AI310" s="33">
        <f t="shared" si="14"/>
      </c>
    </row>
    <row r="311" ht="27.6" customHeight="1" spans="1:35" x14ac:dyDescent="0.25">
      <c r="A311" s="27" t="s">
        <v>1250</v>
      </c>
      <c r="B311">
        <f t="shared" si="12"/>
        <v>0</v>
      </c>
      <c r="C311" t="s">
        <v>64</v>
      </c>
      <c r="D311" s="27" t="s">
        <v>102</v>
      </c>
      <c r="E311" t="s">
        <v>1251</v>
      </c>
      <c r="F311" s="28">
        <v>0</v>
      </c>
      <c r="G311" s="29">
        <v>1</v>
      </c>
      <c r="H311" s="30" t="s">
        <v>1252</v>
      </c>
      <c r="I311" t="s">
        <v>65</v>
      </c>
      <c r="J3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145</v>
      </c>
      <c r="L311" t="s">
        <v>146</v>
      </c>
      <c r="N311" s="29">
        <v>1</v>
      </c>
      <c r="P311" s="29">
        <v>1</v>
      </c>
      <c r="R311" s="29">
        <v>1</v>
      </c>
      <c r="S311" t="s">
        <v>70</v>
      </c>
      <c r="T311" t="s">
        <v>72</v>
      </c>
      <c r="U311" s="32">
        <v>30</v>
      </c>
      <c r="V311">
        <v>30</v>
      </c>
      <c r="W311" t="s">
        <v>79</v>
      </c>
      <c r="X311" t="s">
        <v>980</v>
      </c>
      <c r="Y311" t="s">
        <v>1253</v>
      </c>
      <c r="AA311" t="s">
        <v>75</v>
      </c>
      <c r="AC311" t="s">
        <v>83</v>
      </c>
      <c r="AE311" t="s">
        <v>75</v>
      </c>
      <c r="AF311" t="s">
        <v>84</v>
      </c>
      <c r="AG311" t="s">
        <v>84</v>
      </c>
      <c r="AH311" s="33">
        <f t="shared" si="13"/>
      </c>
      <c r="AI311" s="33">
        <f t="shared" si="14"/>
      </c>
    </row>
    <row r="312" ht="27.6" customHeight="1" spans="1:35" x14ac:dyDescent="0.25">
      <c r="A312" s="27" t="s">
        <v>1254</v>
      </c>
      <c r="B312">
        <f t="shared" si="12"/>
        <v>0</v>
      </c>
      <c r="C312" t="s">
        <v>64</v>
      </c>
      <c r="D312" s="27" t="s">
        <v>102</v>
      </c>
      <c r="E312" t="s">
        <v>1255</v>
      </c>
      <c r="F312" s="28">
        <v>0</v>
      </c>
      <c r="G312" s="29">
        <v>1</v>
      </c>
      <c r="H312" s="30" t="s">
        <v>1256</v>
      </c>
      <c r="I312" t="s">
        <v>65</v>
      </c>
      <c r="J3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145</v>
      </c>
      <c r="L312" t="s">
        <v>146</v>
      </c>
      <c r="N312" s="29">
        <v>1</v>
      </c>
      <c r="P312" s="29">
        <v>1</v>
      </c>
      <c r="R312" s="29">
        <v>1</v>
      </c>
      <c r="S312" t="s">
        <v>70</v>
      </c>
      <c r="T312" t="s">
        <v>72</v>
      </c>
      <c r="U312" s="32">
        <v>30</v>
      </c>
      <c r="V312">
        <v>30</v>
      </c>
      <c r="W312" t="s">
        <v>79</v>
      </c>
      <c r="X312" t="s">
        <v>980</v>
      </c>
      <c r="Y312" t="s">
        <v>1257</v>
      </c>
      <c r="AA312" t="s">
        <v>75</v>
      </c>
      <c r="AC312" t="s">
        <v>83</v>
      </c>
      <c r="AE312" t="s">
        <v>75</v>
      </c>
      <c r="AF312" t="s">
        <v>84</v>
      </c>
      <c r="AG312" t="s">
        <v>84</v>
      </c>
      <c r="AH312" s="33">
        <f t="shared" si="13"/>
      </c>
      <c r="AI312" s="33">
        <f t="shared" si="14"/>
      </c>
    </row>
    <row r="313" ht="27.6" customHeight="1" spans="1:35" x14ac:dyDescent="0.25">
      <c r="A313" s="27" t="s">
        <v>1258</v>
      </c>
      <c r="B313">
        <f t="shared" si="12"/>
        <v>0</v>
      </c>
      <c r="C313" t="s">
        <v>64</v>
      </c>
      <c r="D313" s="27" t="s">
        <v>102</v>
      </c>
      <c r="E313" t="s">
        <v>1259</v>
      </c>
      <c r="F313" s="28">
        <v>0</v>
      </c>
      <c r="G313" s="29">
        <v>1</v>
      </c>
      <c r="H313" s="30" t="s">
        <v>1260</v>
      </c>
      <c r="I313" t="s">
        <v>65</v>
      </c>
      <c r="J3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145</v>
      </c>
      <c r="L313" t="s">
        <v>146</v>
      </c>
      <c r="N313" s="29">
        <v>1</v>
      </c>
      <c r="P313" s="29">
        <v>1</v>
      </c>
      <c r="R313" s="29">
        <v>1</v>
      </c>
      <c r="S313" t="s">
        <v>70</v>
      </c>
      <c r="T313" t="s">
        <v>72</v>
      </c>
      <c r="U313" s="32">
        <v>30</v>
      </c>
      <c r="V313">
        <v>30</v>
      </c>
      <c r="W313" t="s">
        <v>79</v>
      </c>
      <c r="X313" t="s">
        <v>980</v>
      </c>
      <c r="Y313" t="s">
        <v>1259</v>
      </c>
      <c r="AA313" t="s">
        <v>75</v>
      </c>
      <c r="AC313" t="s">
        <v>83</v>
      </c>
      <c r="AE313" t="s">
        <v>75</v>
      </c>
      <c r="AF313" t="s">
        <v>84</v>
      </c>
      <c r="AG313" t="s">
        <v>84</v>
      </c>
      <c r="AH313" s="33">
        <f t="shared" si="13"/>
      </c>
      <c r="AI313" s="33">
        <f t="shared" si="14"/>
      </c>
    </row>
    <row r="314" ht="27.6" customHeight="1" spans="1:35" x14ac:dyDescent="0.25">
      <c r="A314" s="27" t="s">
        <v>1261</v>
      </c>
      <c r="B314">
        <f t="shared" si="12"/>
        <v>0</v>
      </c>
      <c r="C314" t="s">
        <v>64</v>
      </c>
      <c r="D314" s="27" t="s">
        <v>102</v>
      </c>
      <c r="E314" t="s">
        <v>1262</v>
      </c>
      <c r="F314" s="28">
        <v>0</v>
      </c>
      <c r="G314" s="29">
        <v>1</v>
      </c>
      <c r="H314" s="30" t="s">
        <v>1263</v>
      </c>
      <c r="I314" t="s">
        <v>65</v>
      </c>
      <c r="J3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145</v>
      </c>
      <c r="L314" t="s">
        <v>146</v>
      </c>
      <c r="N314" s="29">
        <v>1</v>
      </c>
      <c r="P314" s="29">
        <v>1</v>
      </c>
      <c r="R314" s="29">
        <v>1</v>
      </c>
      <c r="S314" t="s">
        <v>70</v>
      </c>
      <c r="T314" t="s">
        <v>72</v>
      </c>
      <c r="U314" s="32">
        <v>30</v>
      </c>
      <c r="V314">
        <v>30</v>
      </c>
      <c r="W314" t="s">
        <v>79</v>
      </c>
      <c r="X314" t="s">
        <v>980</v>
      </c>
      <c r="Y314" t="s">
        <v>1262</v>
      </c>
      <c r="AA314" t="s">
        <v>75</v>
      </c>
      <c r="AC314" t="s">
        <v>83</v>
      </c>
      <c r="AE314" t="s">
        <v>75</v>
      </c>
      <c r="AF314" t="s">
        <v>84</v>
      </c>
      <c r="AG314" t="s">
        <v>84</v>
      </c>
      <c r="AH314" s="33">
        <f t="shared" si="13"/>
      </c>
      <c r="AI314" s="33">
        <f t="shared" si="14"/>
      </c>
    </row>
    <row r="315" ht="27.6" customHeight="1" spans="1:35" x14ac:dyDescent="0.25">
      <c r="A315" s="27" t="s">
        <v>1264</v>
      </c>
      <c r="B315">
        <f t="shared" si="12"/>
        <v>0</v>
      </c>
      <c r="C315" t="s">
        <v>64</v>
      </c>
      <c r="D315" s="27" t="s">
        <v>102</v>
      </c>
      <c r="E315" t="s">
        <v>1265</v>
      </c>
      <c r="F315" s="28">
        <v>0</v>
      </c>
      <c r="G315" s="29">
        <v>1</v>
      </c>
      <c r="H315" s="30" t="s">
        <v>1266</v>
      </c>
      <c r="I315" t="s">
        <v>65</v>
      </c>
      <c r="J3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145</v>
      </c>
      <c r="L315" t="s">
        <v>146</v>
      </c>
      <c r="N315" s="29">
        <v>1</v>
      </c>
      <c r="P315" s="29">
        <v>1</v>
      </c>
      <c r="R315" s="29">
        <v>1</v>
      </c>
      <c r="S315" t="s">
        <v>70</v>
      </c>
      <c r="T315" t="s">
        <v>72</v>
      </c>
      <c r="U315" s="32">
        <v>30</v>
      </c>
      <c r="V315">
        <v>30</v>
      </c>
      <c r="W315" t="s">
        <v>79</v>
      </c>
      <c r="X315" t="s">
        <v>980</v>
      </c>
      <c r="Y315" t="s">
        <v>1265</v>
      </c>
      <c r="AA315" t="s">
        <v>75</v>
      </c>
      <c r="AC315" t="s">
        <v>83</v>
      </c>
      <c r="AE315" t="s">
        <v>75</v>
      </c>
      <c r="AF315" t="s">
        <v>84</v>
      </c>
      <c r="AG315" t="s">
        <v>84</v>
      </c>
      <c r="AH315" s="33">
        <f t="shared" si="13"/>
      </c>
      <c r="AI315" s="33">
        <f t="shared" si="14"/>
      </c>
    </row>
    <row r="316" ht="27.6" customHeight="1" spans="1:35" x14ac:dyDescent="0.25">
      <c r="A316" s="27" t="s">
        <v>1267</v>
      </c>
      <c r="B316">
        <f t="shared" si="12"/>
        <v>0</v>
      </c>
      <c r="C316" t="s">
        <v>64</v>
      </c>
      <c r="D316" s="27" t="s">
        <v>102</v>
      </c>
      <c r="E316" t="s">
        <v>1268</v>
      </c>
      <c r="F316" s="28">
        <v>0</v>
      </c>
      <c r="G316" s="29">
        <v>1</v>
      </c>
      <c r="H316" s="30" t="s">
        <v>1269</v>
      </c>
      <c r="I316" t="s">
        <v>65</v>
      </c>
      <c r="J3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145</v>
      </c>
      <c r="L316" t="s">
        <v>146</v>
      </c>
      <c r="N316" s="29">
        <v>1</v>
      </c>
      <c r="P316" s="29">
        <v>1</v>
      </c>
      <c r="R316" s="29">
        <v>1</v>
      </c>
      <c r="S316" t="s">
        <v>70</v>
      </c>
      <c r="T316" t="s">
        <v>72</v>
      </c>
      <c r="U316" s="32">
        <v>30</v>
      </c>
      <c r="V316">
        <v>30</v>
      </c>
      <c r="W316" t="s">
        <v>79</v>
      </c>
      <c r="X316" t="s">
        <v>980</v>
      </c>
      <c r="Y316" t="s">
        <v>1268</v>
      </c>
      <c r="AA316" t="s">
        <v>75</v>
      </c>
      <c r="AC316" t="s">
        <v>83</v>
      </c>
      <c r="AE316" t="s">
        <v>75</v>
      </c>
      <c r="AF316" t="s">
        <v>84</v>
      </c>
      <c r="AG316" t="s">
        <v>84</v>
      </c>
      <c r="AH316" s="33">
        <f t="shared" si="13"/>
      </c>
      <c r="AI316" s="33">
        <f t="shared" si="14"/>
      </c>
    </row>
    <row r="317" ht="27.6" customHeight="1" spans="1:35" x14ac:dyDescent="0.25">
      <c r="A317" s="27" t="s">
        <v>1270</v>
      </c>
      <c r="B317">
        <f t="shared" si="12"/>
        <v>0</v>
      </c>
      <c r="C317" t="s">
        <v>64</v>
      </c>
      <c r="D317" s="27" t="s">
        <v>102</v>
      </c>
      <c r="E317" t="s">
        <v>1271</v>
      </c>
      <c r="F317" s="28">
        <v>0</v>
      </c>
      <c r="G317" s="29">
        <v>1</v>
      </c>
      <c r="H317" s="30" t="s">
        <v>1272</v>
      </c>
      <c r="I317" t="s">
        <v>65</v>
      </c>
      <c r="J3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145</v>
      </c>
      <c r="L317" t="s">
        <v>146</v>
      </c>
      <c r="N317" s="29">
        <v>1</v>
      </c>
      <c r="P317" s="29">
        <v>1</v>
      </c>
      <c r="R317" s="29">
        <v>1</v>
      </c>
      <c r="S317" t="s">
        <v>70</v>
      </c>
      <c r="T317" t="s">
        <v>72</v>
      </c>
      <c r="U317" s="32">
        <v>30</v>
      </c>
      <c r="V317">
        <v>30</v>
      </c>
      <c r="W317" t="s">
        <v>79</v>
      </c>
      <c r="X317" t="s">
        <v>980</v>
      </c>
      <c r="Y317" t="s">
        <v>1273</v>
      </c>
      <c r="AA317" t="s">
        <v>75</v>
      </c>
      <c r="AC317" t="s">
        <v>83</v>
      </c>
      <c r="AE317" t="s">
        <v>75</v>
      </c>
      <c r="AF317" t="s">
        <v>84</v>
      </c>
      <c r="AG317" t="s">
        <v>84</v>
      </c>
      <c r="AH317" s="33">
        <f t="shared" si="13"/>
      </c>
      <c r="AI317" s="33">
        <f t="shared" si="14"/>
      </c>
    </row>
    <row r="318" ht="27.6" customHeight="1" spans="1:35" x14ac:dyDescent="0.25">
      <c r="A318" s="27" t="s">
        <v>1274</v>
      </c>
      <c r="B318">
        <f t="shared" si="12"/>
        <v>0</v>
      </c>
      <c r="C318" t="s">
        <v>64</v>
      </c>
      <c r="D318" s="27" t="s">
        <v>102</v>
      </c>
      <c r="E318" t="s">
        <v>1275</v>
      </c>
      <c r="F318" s="28">
        <v>0</v>
      </c>
      <c r="G318" s="29">
        <v>1</v>
      </c>
      <c r="H318" s="30" t="s">
        <v>1276</v>
      </c>
      <c r="I318" t="s">
        <v>65</v>
      </c>
      <c r="J3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145</v>
      </c>
      <c r="L318" t="s">
        <v>146</v>
      </c>
      <c r="N318" s="29">
        <v>1</v>
      </c>
      <c r="P318" s="29">
        <v>1</v>
      </c>
      <c r="R318" s="29">
        <v>1</v>
      </c>
      <c r="S318" t="s">
        <v>70</v>
      </c>
      <c r="T318" t="s">
        <v>72</v>
      </c>
      <c r="U318" s="32">
        <v>30</v>
      </c>
      <c r="V318">
        <v>30</v>
      </c>
      <c r="W318" t="s">
        <v>79</v>
      </c>
      <c r="X318" t="s">
        <v>980</v>
      </c>
      <c r="Y318" t="s">
        <v>1277</v>
      </c>
      <c r="AA318" t="s">
        <v>75</v>
      </c>
      <c r="AC318" t="s">
        <v>83</v>
      </c>
      <c r="AE318" t="s">
        <v>75</v>
      </c>
      <c r="AF318" t="s">
        <v>84</v>
      </c>
      <c r="AG318" t="s">
        <v>84</v>
      </c>
      <c r="AH318" s="33">
        <f t="shared" si="13"/>
      </c>
      <c r="AI318" s="33">
        <f t="shared" si="14"/>
      </c>
    </row>
    <row r="319" ht="27.6" customHeight="1" spans="1:35" x14ac:dyDescent="0.25">
      <c r="A319" s="27" t="s">
        <v>1278</v>
      </c>
      <c r="B319">
        <f t="shared" si="12"/>
        <v>0</v>
      </c>
      <c r="C319" t="s">
        <v>64</v>
      </c>
      <c r="D319" s="27" t="s">
        <v>102</v>
      </c>
      <c r="E319" t="s">
        <v>1279</v>
      </c>
      <c r="F319" s="28">
        <v>0</v>
      </c>
      <c r="G319" s="29">
        <v>1</v>
      </c>
      <c r="H319" s="30" t="s">
        <v>1280</v>
      </c>
      <c r="I319" t="s">
        <v>65</v>
      </c>
      <c r="J3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145</v>
      </c>
      <c r="L319" t="s">
        <v>146</v>
      </c>
      <c r="N319" s="29">
        <v>1</v>
      </c>
      <c r="P319" s="29">
        <v>1</v>
      </c>
      <c r="R319" s="29">
        <v>1</v>
      </c>
      <c r="S319" t="s">
        <v>70</v>
      </c>
      <c r="T319" t="s">
        <v>72</v>
      </c>
      <c r="U319" s="32">
        <v>30</v>
      </c>
      <c r="V319">
        <v>30</v>
      </c>
      <c r="W319" t="s">
        <v>79</v>
      </c>
      <c r="X319" t="s">
        <v>980</v>
      </c>
      <c r="Y319" t="s">
        <v>1281</v>
      </c>
      <c r="AA319" t="s">
        <v>75</v>
      </c>
      <c r="AC319" t="s">
        <v>83</v>
      </c>
      <c r="AE319" t="s">
        <v>75</v>
      </c>
      <c r="AF319" t="s">
        <v>84</v>
      </c>
      <c r="AG319" t="s">
        <v>84</v>
      </c>
      <c r="AH319" s="33">
        <f t="shared" si="13"/>
      </c>
      <c r="AI319" s="33">
        <f t="shared" si="14"/>
      </c>
    </row>
    <row r="320" ht="27.6" customHeight="1" spans="1:35" x14ac:dyDescent="0.25">
      <c r="A320" s="27" t="s">
        <v>1282</v>
      </c>
      <c r="B320">
        <f t="shared" si="12"/>
        <v>0</v>
      </c>
      <c r="C320" t="s">
        <v>64</v>
      </c>
      <c r="D320" s="27" t="s">
        <v>102</v>
      </c>
      <c r="E320" t="s">
        <v>1283</v>
      </c>
      <c r="F320" s="28">
        <v>0</v>
      </c>
      <c r="G320" s="29">
        <v>1</v>
      </c>
      <c r="H320" s="30" t="s">
        <v>1284</v>
      </c>
      <c r="I320" t="s">
        <v>65</v>
      </c>
      <c r="J3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145</v>
      </c>
      <c r="L320" t="s">
        <v>146</v>
      </c>
      <c r="N320" s="29">
        <v>1</v>
      </c>
      <c r="P320" s="29">
        <v>1</v>
      </c>
      <c r="R320" s="29">
        <v>1</v>
      </c>
      <c r="S320" t="s">
        <v>70</v>
      </c>
      <c r="T320" t="s">
        <v>72</v>
      </c>
      <c r="U320" s="32">
        <v>30</v>
      </c>
      <c r="V320">
        <v>30</v>
      </c>
      <c r="W320" t="s">
        <v>79</v>
      </c>
      <c r="X320" t="s">
        <v>980</v>
      </c>
      <c r="Y320" t="s">
        <v>1285</v>
      </c>
      <c r="AA320" t="s">
        <v>75</v>
      </c>
      <c r="AC320" t="s">
        <v>83</v>
      </c>
      <c r="AE320" t="s">
        <v>75</v>
      </c>
      <c r="AF320" t="s">
        <v>84</v>
      </c>
      <c r="AG320" t="s">
        <v>84</v>
      </c>
      <c r="AH320" s="33">
        <f t="shared" si="13"/>
      </c>
      <c r="AI320" s="33">
        <f t="shared" si="14"/>
      </c>
    </row>
    <row r="321" ht="27.6" customHeight="1" spans="1:35" x14ac:dyDescent="0.25">
      <c r="A321" s="27" t="s">
        <v>1286</v>
      </c>
      <c r="B321">
        <f t="shared" si="12"/>
        <v>0</v>
      </c>
      <c r="C321" t="s">
        <v>64</v>
      </c>
      <c r="D321" s="27" t="s">
        <v>102</v>
      </c>
      <c r="E321" t="s">
        <v>1287</v>
      </c>
      <c r="F321" s="28">
        <v>0</v>
      </c>
      <c r="G321" s="29">
        <v>1</v>
      </c>
      <c r="H321" s="30" t="s">
        <v>1288</v>
      </c>
      <c r="I321" t="s">
        <v>65</v>
      </c>
      <c r="J3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145</v>
      </c>
      <c r="L321" t="s">
        <v>146</v>
      </c>
      <c r="N321" s="29">
        <v>1</v>
      </c>
      <c r="P321" s="29">
        <v>1</v>
      </c>
      <c r="R321" s="29">
        <v>1</v>
      </c>
      <c r="S321" t="s">
        <v>70</v>
      </c>
      <c r="T321" t="s">
        <v>72</v>
      </c>
      <c r="U321" s="32">
        <v>30</v>
      </c>
      <c r="V321">
        <v>30</v>
      </c>
      <c r="W321" t="s">
        <v>79</v>
      </c>
      <c r="X321" t="s">
        <v>980</v>
      </c>
      <c r="Y321" t="s">
        <v>1289</v>
      </c>
      <c r="AA321" t="s">
        <v>75</v>
      </c>
      <c r="AC321" t="s">
        <v>83</v>
      </c>
      <c r="AE321" t="s">
        <v>75</v>
      </c>
      <c r="AF321" t="s">
        <v>84</v>
      </c>
      <c r="AG321" t="s">
        <v>84</v>
      </c>
      <c r="AH321" s="33">
        <f t="shared" si="13"/>
      </c>
      <c r="AI321" s="33">
        <f t="shared" si="14"/>
      </c>
    </row>
    <row r="322" ht="27.6" customHeight="1" spans="1:35" x14ac:dyDescent="0.25">
      <c r="A322" s="27" t="s">
        <v>1290</v>
      </c>
      <c r="B322">
        <f t="shared" si="12"/>
        <v>0</v>
      </c>
      <c r="C322" t="s">
        <v>64</v>
      </c>
      <c r="D322" s="27" t="s">
        <v>102</v>
      </c>
      <c r="E322" t="s">
        <v>1291</v>
      </c>
      <c r="F322" s="28">
        <v>0</v>
      </c>
      <c r="G322" s="29">
        <v>1</v>
      </c>
      <c r="H322" s="30" t="s">
        <v>1292</v>
      </c>
      <c r="I322" t="s">
        <v>65</v>
      </c>
      <c r="J3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145</v>
      </c>
      <c r="L322" t="s">
        <v>146</v>
      </c>
      <c r="N322" s="29">
        <v>1</v>
      </c>
      <c r="P322" s="29">
        <v>1</v>
      </c>
      <c r="R322" s="29">
        <v>1</v>
      </c>
      <c r="S322" t="s">
        <v>70</v>
      </c>
      <c r="T322" t="s">
        <v>72</v>
      </c>
      <c r="U322" s="32">
        <v>30</v>
      </c>
      <c r="V322">
        <v>30</v>
      </c>
      <c r="W322" t="s">
        <v>79</v>
      </c>
      <c r="X322" t="s">
        <v>980</v>
      </c>
      <c r="Y322" t="s">
        <v>1293</v>
      </c>
      <c r="AA322" t="s">
        <v>75</v>
      </c>
      <c r="AC322" t="s">
        <v>83</v>
      </c>
      <c r="AE322" t="s">
        <v>75</v>
      </c>
      <c r="AF322" t="s">
        <v>84</v>
      </c>
      <c r="AG322" t="s">
        <v>84</v>
      </c>
      <c r="AH322" s="33">
        <f t="shared" si="13"/>
      </c>
      <c r="AI322" s="33">
        <f t="shared" si="14"/>
      </c>
    </row>
    <row r="323" ht="27.6" customHeight="1" spans="1:35" x14ac:dyDescent="0.25">
      <c r="A323" s="27" t="s">
        <v>1294</v>
      </c>
      <c r="B323">
        <f t="shared" si="12"/>
        <v>0</v>
      </c>
      <c r="C323" t="s">
        <v>64</v>
      </c>
      <c r="D323" s="27" t="s">
        <v>102</v>
      </c>
      <c r="E323" t="s">
        <v>1295</v>
      </c>
      <c r="F323" s="28">
        <v>0</v>
      </c>
      <c r="G323" s="29">
        <v>1</v>
      </c>
      <c r="H323" s="30" t="s">
        <v>1296</v>
      </c>
      <c r="I323" t="s">
        <v>65</v>
      </c>
      <c r="J3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145</v>
      </c>
      <c r="L323" t="s">
        <v>146</v>
      </c>
      <c r="N323" s="29">
        <v>1</v>
      </c>
      <c r="P323" s="29">
        <v>1</v>
      </c>
      <c r="R323" s="29">
        <v>1</v>
      </c>
      <c r="S323" t="s">
        <v>70</v>
      </c>
      <c r="T323" t="s">
        <v>72</v>
      </c>
      <c r="U323" s="32">
        <v>30</v>
      </c>
      <c r="V323">
        <v>30</v>
      </c>
      <c r="W323" t="s">
        <v>79</v>
      </c>
      <c r="X323" t="s">
        <v>980</v>
      </c>
      <c r="Y323" t="s">
        <v>1295</v>
      </c>
      <c r="AA323" t="s">
        <v>75</v>
      </c>
      <c r="AC323" t="s">
        <v>83</v>
      </c>
      <c r="AE323" t="s">
        <v>75</v>
      </c>
      <c r="AF323" t="s">
        <v>84</v>
      </c>
      <c r="AG323" t="s">
        <v>84</v>
      </c>
      <c r="AH323" s="33">
        <f t="shared" si="13"/>
      </c>
      <c r="AI323" s="33">
        <f t="shared" si="14"/>
      </c>
    </row>
    <row r="324" ht="27.6" customHeight="1" spans="1:35" x14ac:dyDescent="0.25">
      <c r="A324" s="27" t="s">
        <v>1297</v>
      </c>
      <c r="B324">
        <f t="shared" si="12"/>
        <v>0</v>
      </c>
      <c r="C324" t="s">
        <v>64</v>
      </c>
      <c r="D324" s="27" t="s">
        <v>102</v>
      </c>
      <c r="E324" t="s">
        <v>1298</v>
      </c>
      <c r="F324" s="28">
        <v>0</v>
      </c>
      <c r="G324" s="29">
        <v>1</v>
      </c>
      <c r="H324" s="30" t="s">
        <v>1299</v>
      </c>
      <c r="I324" t="s">
        <v>65</v>
      </c>
      <c r="J3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145</v>
      </c>
      <c r="L324" t="s">
        <v>146</v>
      </c>
      <c r="N324" s="29">
        <v>1</v>
      </c>
      <c r="P324" s="29">
        <v>1</v>
      </c>
      <c r="R324" s="29">
        <v>1</v>
      </c>
      <c r="S324" t="s">
        <v>70</v>
      </c>
      <c r="T324" t="s">
        <v>72</v>
      </c>
      <c r="U324" s="32">
        <v>30</v>
      </c>
      <c r="V324">
        <v>30</v>
      </c>
      <c r="W324" t="s">
        <v>79</v>
      </c>
      <c r="X324" t="s">
        <v>980</v>
      </c>
      <c r="Y324" t="s">
        <v>1298</v>
      </c>
      <c r="AA324" t="s">
        <v>75</v>
      </c>
      <c r="AC324" t="s">
        <v>83</v>
      </c>
      <c r="AE324" t="s">
        <v>75</v>
      </c>
      <c r="AF324" t="s">
        <v>84</v>
      </c>
      <c r="AG324" t="s">
        <v>84</v>
      </c>
      <c r="AH324" s="33">
        <f t="shared" si="13"/>
      </c>
      <c r="AI324" s="33">
        <f t="shared" si="14"/>
      </c>
    </row>
    <row r="325" ht="27.6" customHeight="1" spans="1:35" x14ac:dyDescent="0.25">
      <c r="A325" s="27" t="s">
        <v>1300</v>
      </c>
      <c r="B325">
        <f t="shared" si="12"/>
        <v>0</v>
      </c>
      <c r="C325" t="s">
        <v>64</v>
      </c>
      <c r="D325" s="27" t="s">
        <v>102</v>
      </c>
      <c r="E325" t="s">
        <v>1301</v>
      </c>
      <c r="F325" s="28">
        <v>0</v>
      </c>
      <c r="G325" s="29">
        <v>1</v>
      </c>
      <c r="H325" s="30" t="s">
        <v>1302</v>
      </c>
      <c r="I325" t="s">
        <v>65</v>
      </c>
      <c r="J3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145</v>
      </c>
      <c r="L325" t="s">
        <v>146</v>
      </c>
      <c r="N325" s="29">
        <v>1</v>
      </c>
      <c r="P325" s="29">
        <v>1</v>
      </c>
      <c r="R325" s="29">
        <v>1</v>
      </c>
      <c r="S325" t="s">
        <v>70</v>
      </c>
      <c r="T325" t="s">
        <v>72</v>
      </c>
      <c r="U325" s="32">
        <v>30</v>
      </c>
      <c r="V325">
        <v>30</v>
      </c>
      <c r="W325" t="s">
        <v>79</v>
      </c>
      <c r="X325" t="s">
        <v>980</v>
      </c>
      <c r="Y325" t="s">
        <v>1301</v>
      </c>
      <c r="AA325" t="s">
        <v>75</v>
      </c>
      <c r="AC325" t="s">
        <v>83</v>
      </c>
      <c r="AE325" t="s">
        <v>75</v>
      </c>
      <c r="AF325" t="s">
        <v>84</v>
      </c>
      <c r="AG325" t="s">
        <v>84</v>
      </c>
      <c r="AH325" s="33">
        <f t="shared" si="13"/>
      </c>
      <c r="AI325" s="33">
        <f t="shared" si="14"/>
      </c>
    </row>
    <row r="326" ht="27.6" customHeight="1" spans="1:35" x14ac:dyDescent="0.25">
      <c r="A326" s="27" t="s">
        <v>1303</v>
      </c>
      <c r="B326">
        <f t="shared" si="12"/>
        <v>0</v>
      </c>
      <c r="C326" t="s">
        <v>64</v>
      </c>
      <c r="D326" s="27" t="s">
        <v>102</v>
      </c>
      <c r="E326" t="s">
        <v>1304</v>
      </c>
      <c r="F326" s="28">
        <v>0</v>
      </c>
      <c r="G326" s="29">
        <v>1</v>
      </c>
      <c r="H326" s="30" t="s">
        <v>1305</v>
      </c>
      <c r="I326" t="s">
        <v>65</v>
      </c>
      <c r="J3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145</v>
      </c>
      <c r="L326" t="s">
        <v>146</v>
      </c>
      <c r="N326" s="29">
        <v>1</v>
      </c>
      <c r="P326" s="29">
        <v>1</v>
      </c>
      <c r="R326" s="29">
        <v>1</v>
      </c>
      <c r="S326" t="s">
        <v>70</v>
      </c>
      <c r="T326" t="s">
        <v>72</v>
      </c>
      <c r="U326" s="32">
        <v>30</v>
      </c>
      <c r="V326">
        <v>30</v>
      </c>
      <c r="W326" t="s">
        <v>79</v>
      </c>
      <c r="X326" t="s">
        <v>980</v>
      </c>
      <c r="Y326" t="s">
        <v>1304</v>
      </c>
      <c r="AA326" t="s">
        <v>75</v>
      </c>
      <c r="AC326" t="s">
        <v>83</v>
      </c>
      <c r="AE326" t="s">
        <v>75</v>
      </c>
      <c r="AF326" t="s">
        <v>84</v>
      </c>
      <c r="AG326" t="s">
        <v>84</v>
      </c>
      <c r="AH326" s="33">
        <f t="shared" si="13"/>
      </c>
      <c r="AI326" s="33">
        <f t="shared" si="14"/>
      </c>
    </row>
    <row r="327" ht="27.6" customHeight="1" spans="1:35" x14ac:dyDescent="0.25">
      <c r="A327" s="27" t="s">
        <v>1306</v>
      </c>
      <c r="B327">
        <f t="shared" si="12"/>
        <v>0</v>
      </c>
      <c r="C327" t="s">
        <v>64</v>
      </c>
      <c r="D327" s="27" t="s">
        <v>102</v>
      </c>
      <c r="E327" t="s">
        <v>1307</v>
      </c>
      <c r="F327" s="28">
        <v>0</v>
      </c>
      <c r="G327" s="29">
        <v>1</v>
      </c>
      <c r="H327" s="30" t="s">
        <v>1308</v>
      </c>
      <c r="I327" t="s">
        <v>65</v>
      </c>
      <c r="J3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145</v>
      </c>
      <c r="L327" t="s">
        <v>146</v>
      </c>
      <c r="N327" s="29">
        <v>1</v>
      </c>
      <c r="P327" s="29">
        <v>1</v>
      </c>
      <c r="R327" s="29">
        <v>1</v>
      </c>
      <c r="S327" t="s">
        <v>70</v>
      </c>
      <c r="T327" t="s">
        <v>72</v>
      </c>
      <c r="U327" s="32">
        <v>30</v>
      </c>
      <c r="V327">
        <v>30</v>
      </c>
      <c r="W327" t="s">
        <v>79</v>
      </c>
      <c r="X327" t="s">
        <v>980</v>
      </c>
      <c r="Y327" t="s">
        <v>1309</v>
      </c>
      <c r="AA327" t="s">
        <v>75</v>
      </c>
      <c r="AC327" t="s">
        <v>83</v>
      </c>
      <c r="AE327" t="s">
        <v>75</v>
      </c>
      <c r="AF327" t="s">
        <v>84</v>
      </c>
      <c r="AG327" t="s">
        <v>84</v>
      </c>
      <c r="AH327" s="33">
        <f t="shared" si="13"/>
      </c>
      <c r="AI327" s="33">
        <f t="shared" si="14"/>
      </c>
    </row>
    <row r="328" ht="27.6" customHeight="1" spans="1:35" x14ac:dyDescent="0.25">
      <c r="A328" s="27" t="s">
        <v>1310</v>
      </c>
      <c r="B328">
        <f t="shared" ref="B328:B391" si="15">LEN(INDIRECT(ADDRESS(ROW() + (0),COLUMN() + (-1))))</f>
        <v>0</v>
      </c>
      <c r="C328" t="s">
        <v>64</v>
      </c>
      <c r="D328" s="27" t="s">
        <v>102</v>
      </c>
      <c r="E328" t="s">
        <v>1311</v>
      </c>
      <c r="F328" s="28">
        <v>0</v>
      </c>
      <c r="G328" s="29">
        <v>1</v>
      </c>
      <c r="H328" s="30" t="s">
        <v>1312</v>
      </c>
      <c r="I328" t="s">
        <v>65</v>
      </c>
      <c r="J3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145</v>
      </c>
      <c r="L328" t="s">
        <v>146</v>
      </c>
      <c r="N328" s="29">
        <v>1</v>
      </c>
      <c r="P328" s="29">
        <v>1</v>
      </c>
      <c r="R328" s="29">
        <v>1</v>
      </c>
      <c r="S328" t="s">
        <v>70</v>
      </c>
      <c r="T328" t="s">
        <v>72</v>
      </c>
      <c r="U328" s="32">
        <v>30</v>
      </c>
      <c r="V328">
        <v>30</v>
      </c>
      <c r="W328" t="s">
        <v>79</v>
      </c>
      <c r="X328" t="s">
        <v>980</v>
      </c>
      <c r="Y328" t="s">
        <v>1313</v>
      </c>
      <c r="AA328" t="s">
        <v>75</v>
      </c>
      <c r="AC328" t="s">
        <v>83</v>
      </c>
      <c r="AE328" t="s">
        <v>75</v>
      </c>
      <c r="AF328" t="s">
        <v>84</v>
      </c>
      <c r="AG328" t="s">
        <v>84</v>
      </c>
      <c r="AH328" s="33">
        <f t="shared" ref="AH328:AH391" si="1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28" s="33">
        <f t="shared" ref="AI328:AI391" si="17">IF(TRIM(INDIRECT("A"&amp;ROW())) &lt;&gt; "",FALSE,"")</f>
      </c>
    </row>
    <row r="329" ht="27.6" customHeight="1" spans="1:35" x14ac:dyDescent="0.25">
      <c r="A329" s="27" t="s">
        <v>1314</v>
      </c>
      <c r="B329">
        <f t="shared" si="15"/>
        <v>0</v>
      </c>
      <c r="C329" t="s">
        <v>64</v>
      </c>
      <c r="D329" s="27" t="s">
        <v>102</v>
      </c>
      <c r="E329" t="s">
        <v>1315</v>
      </c>
      <c r="F329" s="28">
        <v>0</v>
      </c>
      <c r="G329" s="29">
        <v>1</v>
      </c>
      <c r="H329" s="30" t="s">
        <v>1316</v>
      </c>
      <c r="I329" t="s">
        <v>65</v>
      </c>
      <c r="J3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145</v>
      </c>
      <c r="L329" t="s">
        <v>146</v>
      </c>
      <c r="N329" s="29">
        <v>1</v>
      </c>
      <c r="P329" s="29">
        <v>1</v>
      </c>
      <c r="R329" s="29">
        <v>1</v>
      </c>
      <c r="S329" t="s">
        <v>70</v>
      </c>
      <c r="T329" t="s">
        <v>72</v>
      </c>
      <c r="U329" s="32">
        <v>30</v>
      </c>
      <c r="V329">
        <v>30</v>
      </c>
      <c r="W329" t="s">
        <v>79</v>
      </c>
      <c r="X329" t="s">
        <v>980</v>
      </c>
      <c r="Y329" t="s">
        <v>1315</v>
      </c>
      <c r="AA329" t="s">
        <v>75</v>
      </c>
      <c r="AC329" t="s">
        <v>83</v>
      </c>
      <c r="AE329" t="s">
        <v>75</v>
      </c>
      <c r="AF329" t="s">
        <v>84</v>
      </c>
      <c r="AG329" t="s">
        <v>84</v>
      </c>
      <c r="AH329" s="33">
        <f t="shared" si="16"/>
      </c>
      <c r="AI329" s="33">
        <f t="shared" si="17"/>
      </c>
    </row>
    <row r="330" ht="27.6" customHeight="1" spans="1:35" x14ac:dyDescent="0.25">
      <c r="A330" s="27" t="s">
        <v>1317</v>
      </c>
      <c r="B330">
        <f t="shared" si="15"/>
        <v>0</v>
      </c>
      <c r="C330" t="s">
        <v>64</v>
      </c>
      <c r="D330" s="27" t="s">
        <v>102</v>
      </c>
      <c r="E330" t="s">
        <v>1318</v>
      </c>
      <c r="F330" s="28">
        <v>0</v>
      </c>
      <c r="G330" s="29">
        <v>1</v>
      </c>
      <c r="H330" s="30" t="s">
        <v>1319</v>
      </c>
      <c r="I330" t="s">
        <v>65</v>
      </c>
      <c r="J3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145</v>
      </c>
      <c r="L330" t="s">
        <v>146</v>
      </c>
      <c r="N330" s="29">
        <v>1</v>
      </c>
      <c r="P330" s="29">
        <v>1</v>
      </c>
      <c r="R330" s="29">
        <v>1</v>
      </c>
      <c r="S330" t="s">
        <v>70</v>
      </c>
      <c r="T330" t="s">
        <v>72</v>
      </c>
      <c r="U330" s="32">
        <v>30</v>
      </c>
      <c r="V330">
        <v>30</v>
      </c>
      <c r="W330" t="s">
        <v>79</v>
      </c>
      <c r="X330" t="s">
        <v>980</v>
      </c>
      <c r="Y330" t="s">
        <v>1318</v>
      </c>
      <c r="AA330" t="s">
        <v>75</v>
      </c>
      <c r="AC330" t="s">
        <v>83</v>
      </c>
      <c r="AE330" t="s">
        <v>75</v>
      </c>
      <c r="AF330" t="s">
        <v>84</v>
      </c>
      <c r="AG330" t="s">
        <v>84</v>
      </c>
      <c r="AH330" s="33">
        <f t="shared" si="16"/>
      </c>
      <c r="AI330" s="33">
        <f t="shared" si="17"/>
      </c>
    </row>
    <row r="331" ht="27.6" customHeight="1" spans="1:35" x14ac:dyDescent="0.25">
      <c r="A331" s="27" t="s">
        <v>1320</v>
      </c>
      <c r="B331">
        <f t="shared" si="15"/>
        <v>0</v>
      </c>
      <c r="C331" t="s">
        <v>64</v>
      </c>
      <c r="D331" s="27" t="s">
        <v>102</v>
      </c>
      <c r="E331" t="s">
        <v>1321</v>
      </c>
      <c r="F331" s="28">
        <v>0</v>
      </c>
      <c r="G331" s="29">
        <v>1</v>
      </c>
      <c r="H331" s="30" t="s">
        <v>1322</v>
      </c>
      <c r="I331" t="s">
        <v>65</v>
      </c>
      <c r="J3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145</v>
      </c>
      <c r="L331" t="s">
        <v>146</v>
      </c>
      <c r="N331" s="29">
        <v>1</v>
      </c>
      <c r="P331" s="29">
        <v>1</v>
      </c>
      <c r="R331" s="29">
        <v>1</v>
      </c>
      <c r="S331" t="s">
        <v>70</v>
      </c>
      <c r="T331" t="s">
        <v>72</v>
      </c>
      <c r="U331" s="32">
        <v>30</v>
      </c>
      <c r="V331">
        <v>30</v>
      </c>
      <c r="W331" t="s">
        <v>79</v>
      </c>
      <c r="X331" t="s">
        <v>980</v>
      </c>
      <c r="Y331" t="s">
        <v>1321</v>
      </c>
      <c r="AA331" t="s">
        <v>75</v>
      </c>
      <c r="AC331" t="s">
        <v>83</v>
      </c>
      <c r="AE331" t="s">
        <v>75</v>
      </c>
      <c r="AF331" t="s">
        <v>84</v>
      </c>
      <c r="AG331" t="s">
        <v>84</v>
      </c>
      <c r="AH331" s="33">
        <f t="shared" si="16"/>
      </c>
      <c r="AI331" s="33">
        <f t="shared" si="17"/>
      </c>
    </row>
    <row r="332" ht="27.6" customHeight="1" spans="1:35" x14ac:dyDescent="0.25">
      <c r="A332" s="27" t="s">
        <v>1323</v>
      </c>
      <c r="B332">
        <f t="shared" si="15"/>
        <v>0</v>
      </c>
      <c r="C332" t="s">
        <v>64</v>
      </c>
      <c r="D332" s="27" t="s">
        <v>102</v>
      </c>
      <c r="E332" t="s">
        <v>1324</v>
      </c>
      <c r="F332" s="28">
        <v>0</v>
      </c>
      <c r="G332" s="29">
        <v>1</v>
      </c>
      <c r="H332" s="30" t="s">
        <v>1325</v>
      </c>
      <c r="I332" t="s">
        <v>65</v>
      </c>
      <c r="J3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145</v>
      </c>
      <c r="L332" t="s">
        <v>146</v>
      </c>
      <c r="N332" s="29">
        <v>1</v>
      </c>
      <c r="P332" s="29">
        <v>1</v>
      </c>
      <c r="R332" s="29">
        <v>1</v>
      </c>
      <c r="S332" t="s">
        <v>70</v>
      </c>
      <c r="T332" t="s">
        <v>72</v>
      </c>
      <c r="U332" s="32">
        <v>30</v>
      </c>
      <c r="V332">
        <v>30</v>
      </c>
      <c r="W332" t="s">
        <v>79</v>
      </c>
      <c r="X332" t="s">
        <v>980</v>
      </c>
      <c r="Y332" t="s">
        <v>1324</v>
      </c>
      <c r="AA332" t="s">
        <v>75</v>
      </c>
      <c r="AC332" t="s">
        <v>83</v>
      </c>
      <c r="AE332" t="s">
        <v>75</v>
      </c>
      <c r="AF332" t="s">
        <v>84</v>
      </c>
      <c r="AG332" t="s">
        <v>84</v>
      </c>
      <c r="AH332" s="33">
        <f t="shared" si="16"/>
      </c>
      <c r="AI332" s="33">
        <f t="shared" si="17"/>
      </c>
    </row>
    <row r="333" ht="27.6" customHeight="1" spans="1:35" x14ac:dyDescent="0.25">
      <c r="A333" s="27" t="s">
        <v>1326</v>
      </c>
      <c r="B333">
        <f t="shared" si="15"/>
        <v>0</v>
      </c>
      <c r="C333" t="s">
        <v>64</v>
      </c>
      <c r="D333" s="27" t="s">
        <v>102</v>
      </c>
      <c r="E333" t="s">
        <v>1327</v>
      </c>
      <c r="F333" s="28">
        <v>0</v>
      </c>
      <c r="G333" s="29">
        <v>1</v>
      </c>
      <c r="H333" s="30" t="s">
        <v>1328</v>
      </c>
      <c r="I333" t="s">
        <v>65</v>
      </c>
      <c r="J3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145</v>
      </c>
      <c r="L333" t="s">
        <v>146</v>
      </c>
      <c r="N333" s="29">
        <v>1</v>
      </c>
      <c r="P333" s="29">
        <v>1</v>
      </c>
      <c r="R333" s="29">
        <v>1</v>
      </c>
      <c r="S333" t="s">
        <v>70</v>
      </c>
      <c r="T333" t="s">
        <v>72</v>
      </c>
      <c r="U333" s="32">
        <v>30</v>
      </c>
      <c r="V333">
        <v>30</v>
      </c>
      <c r="W333" t="s">
        <v>79</v>
      </c>
      <c r="X333" t="s">
        <v>980</v>
      </c>
      <c r="Y333" t="s">
        <v>1327</v>
      </c>
      <c r="AA333" t="s">
        <v>75</v>
      </c>
      <c r="AC333" t="s">
        <v>83</v>
      </c>
      <c r="AE333" t="s">
        <v>75</v>
      </c>
      <c r="AF333" t="s">
        <v>84</v>
      </c>
      <c r="AG333" t="s">
        <v>84</v>
      </c>
      <c r="AH333" s="33">
        <f t="shared" si="16"/>
      </c>
      <c r="AI333" s="33">
        <f t="shared" si="17"/>
      </c>
    </row>
    <row r="334" ht="27.6" customHeight="1" spans="1:35" x14ac:dyDescent="0.25">
      <c r="A334" s="27" t="s">
        <v>1329</v>
      </c>
      <c r="B334">
        <f t="shared" si="15"/>
        <v>0</v>
      </c>
      <c r="C334" t="s">
        <v>64</v>
      </c>
      <c r="D334" s="27" t="s">
        <v>102</v>
      </c>
      <c r="E334" t="s">
        <v>1330</v>
      </c>
      <c r="F334" s="28">
        <v>0</v>
      </c>
      <c r="G334" s="29">
        <v>1</v>
      </c>
      <c r="H334" s="30" t="s">
        <v>1331</v>
      </c>
      <c r="I334" t="s">
        <v>65</v>
      </c>
      <c r="J3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145</v>
      </c>
      <c r="L334" t="s">
        <v>146</v>
      </c>
      <c r="N334" s="29">
        <v>1</v>
      </c>
      <c r="P334" s="29">
        <v>1</v>
      </c>
      <c r="R334" s="29">
        <v>1</v>
      </c>
      <c r="S334" t="s">
        <v>70</v>
      </c>
      <c r="T334" t="s">
        <v>72</v>
      </c>
      <c r="U334" s="32">
        <v>30</v>
      </c>
      <c r="V334">
        <v>30</v>
      </c>
      <c r="W334" t="s">
        <v>79</v>
      </c>
      <c r="X334" t="s">
        <v>980</v>
      </c>
      <c r="Y334" t="s">
        <v>1330</v>
      </c>
      <c r="AA334" t="s">
        <v>75</v>
      </c>
      <c r="AC334" t="s">
        <v>83</v>
      </c>
      <c r="AE334" t="s">
        <v>75</v>
      </c>
      <c r="AF334" t="s">
        <v>84</v>
      </c>
      <c r="AG334" t="s">
        <v>84</v>
      </c>
      <c r="AH334" s="33">
        <f t="shared" si="16"/>
      </c>
      <c r="AI334" s="33">
        <f t="shared" si="17"/>
      </c>
    </row>
    <row r="335" ht="27.6" customHeight="1" spans="1:35" x14ac:dyDescent="0.25">
      <c r="A335" s="27" t="s">
        <v>1332</v>
      </c>
      <c r="B335">
        <f t="shared" si="15"/>
        <v>0</v>
      </c>
      <c r="C335" t="s">
        <v>64</v>
      </c>
      <c r="D335" s="27" t="s">
        <v>102</v>
      </c>
      <c r="E335" t="s">
        <v>1333</v>
      </c>
      <c r="F335" s="28">
        <v>0</v>
      </c>
      <c r="G335" s="29">
        <v>1</v>
      </c>
      <c r="H335" s="30" t="s">
        <v>1334</v>
      </c>
      <c r="I335" t="s">
        <v>65</v>
      </c>
      <c r="J3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145</v>
      </c>
      <c r="L335" t="s">
        <v>146</v>
      </c>
      <c r="N335" s="29">
        <v>1</v>
      </c>
      <c r="P335" s="29">
        <v>1</v>
      </c>
      <c r="R335" s="29">
        <v>1</v>
      </c>
      <c r="S335" t="s">
        <v>70</v>
      </c>
      <c r="T335" t="s">
        <v>72</v>
      </c>
      <c r="U335" s="32">
        <v>30</v>
      </c>
      <c r="V335">
        <v>30</v>
      </c>
      <c r="W335" t="s">
        <v>79</v>
      </c>
      <c r="X335" t="s">
        <v>980</v>
      </c>
      <c r="Y335" t="s">
        <v>1333</v>
      </c>
      <c r="AA335" t="s">
        <v>75</v>
      </c>
      <c r="AC335" t="s">
        <v>83</v>
      </c>
      <c r="AE335" t="s">
        <v>75</v>
      </c>
      <c r="AF335" t="s">
        <v>84</v>
      </c>
      <c r="AG335" t="s">
        <v>84</v>
      </c>
      <c r="AH335" s="33">
        <f t="shared" si="16"/>
      </c>
      <c r="AI335" s="33">
        <f t="shared" si="17"/>
      </c>
    </row>
    <row r="336" ht="27.6" customHeight="1" spans="1:35" x14ac:dyDescent="0.25">
      <c r="A336" s="27" t="s">
        <v>1335</v>
      </c>
      <c r="B336">
        <f t="shared" si="15"/>
        <v>0</v>
      </c>
      <c r="C336" t="s">
        <v>64</v>
      </c>
      <c r="D336" s="27" t="s">
        <v>102</v>
      </c>
      <c r="E336" t="s">
        <v>1336</v>
      </c>
      <c r="F336" s="28">
        <v>0</v>
      </c>
      <c r="G336" s="29">
        <v>1</v>
      </c>
      <c r="H336" s="30" t="s">
        <v>1337</v>
      </c>
      <c r="I336" t="s">
        <v>65</v>
      </c>
      <c r="J3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145</v>
      </c>
      <c r="L336" t="s">
        <v>146</v>
      </c>
      <c r="N336" s="29">
        <v>1</v>
      </c>
      <c r="P336" s="29">
        <v>1</v>
      </c>
      <c r="R336" s="29">
        <v>1</v>
      </c>
      <c r="S336" t="s">
        <v>70</v>
      </c>
      <c r="T336" t="s">
        <v>72</v>
      </c>
      <c r="U336" s="32">
        <v>30</v>
      </c>
      <c r="V336">
        <v>30</v>
      </c>
      <c r="W336" t="s">
        <v>79</v>
      </c>
      <c r="X336" t="s">
        <v>980</v>
      </c>
      <c r="Y336" t="s">
        <v>1336</v>
      </c>
      <c r="AA336" t="s">
        <v>75</v>
      </c>
      <c r="AC336" t="s">
        <v>83</v>
      </c>
      <c r="AE336" t="s">
        <v>75</v>
      </c>
      <c r="AF336" t="s">
        <v>84</v>
      </c>
      <c r="AG336" t="s">
        <v>84</v>
      </c>
      <c r="AH336" s="33">
        <f t="shared" si="16"/>
      </c>
      <c r="AI336" s="33">
        <f t="shared" si="17"/>
      </c>
    </row>
    <row r="337" ht="27.6" customHeight="1" spans="1:35" x14ac:dyDescent="0.25">
      <c r="A337" s="27" t="s">
        <v>1338</v>
      </c>
      <c r="B337">
        <f t="shared" si="15"/>
        <v>0</v>
      </c>
      <c r="C337" t="s">
        <v>64</v>
      </c>
      <c r="D337" s="27" t="s">
        <v>102</v>
      </c>
      <c r="E337" t="s">
        <v>1339</v>
      </c>
      <c r="F337" s="28">
        <v>0</v>
      </c>
      <c r="G337" s="29">
        <v>1</v>
      </c>
      <c r="H337" s="30" t="s">
        <v>1340</v>
      </c>
      <c r="I337" t="s">
        <v>65</v>
      </c>
      <c r="J3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145</v>
      </c>
      <c r="L337" t="s">
        <v>146</v>
      </c>
      <c r="N337" s="29">
        <v>1</v>
      </c>
      <c r="P337" s="29">
        <v>1</v>
      </c>
      <c r="R337" s="29">
        <v>1</v>
      </c>
      <c r="S337" t="s">
        <v>70</v>
      </c>
      <c r="T337" t="s">
        <v>72</v>
      </c>
      <c r="U337" s="32">
        <v>30</v>
      </c>
      <c r="V337">
        <v>30</v>
      </c>
      <c r="W337" t="s">
        <v>79</v>
      </c>
      <c r="X337" t="s">
        <v>980</v>
      </c>
      <c r="Y337" t="s">
        <v>1339</v>
      </c>
      <c r="AA337" t="s">
        <v>75</v>
      </c>
      <c r="AC337" t="s">
        <v>83</v>
      </c>
      <c r="AE337" t="s">
        <v>75</v>
      </c>
      <c r="AF337" t="s">
        <v>84</v>
      </c>
      <c r="AG337" t="s">
        <v>84</v>
      </c>
      <c r="AH337" s="33">
        <f t="shared" si="16"/>
      </c>
      <c r="AI337" s="33">
        <f t="shared" si="17"/>
      </c>
    </row>
    <row r="338" ht="27.6" customHeight="1" spans="1:35" x14ac:dyDescent="0.25">
      <c r="A338" s="27" t="s">
        <v>1341</v>
      </c>
      <c r="B338">
        <f t="shared" si="15"/>
        <v>0</v>
      </c>
      <c r="C338" t="s">
        <v>64</v>
      </c>
      <c r="D338" s="27" t="s">
        <v>102</v>
      </c>
      <c r="E338" t="s">
        <v>1342</v>
      </c>
      <c r="F338" s="28">
        <v>0</v>
      </c>
      <c r="G338" s="29">
        <v>1</v>
      </c>
      <c r="H338" s="30" t="s">
        <v>1343</v>
      </c>
      <c r="I338" t="s">
        <v>65</v>
      </c>
      <c r="J3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145</v>
      </c>
      <c r="L338" t="s">
        <v>146</v>
      </c>
      <c r="N338" s="29">
        <v>1</v>
      </c>
      <c r="P338" s="29">
        <v>1</v>
      </c>
      <c r="R338" s="29">
        <v>1</v>
      </c>
      <c r="S338" t="s">
        <v>70</v>
      </c>
      <c r="T338" t="s">
        <v>72</v>
      </c>
      <c r="U338" s="32">
        <v>30</v>
      </c>
      <c r="V338">
        <v>30</v>
      </c>
      <c r="W338" t="s">
        <v>79</v>
      </c>
      <c r="X338" t="s">
        <v>980</v>
      </c>
      <c r="Y338" t="s">
        <v>1342</v>
      </c>
      <c r="AA338" t="s">
        <v>75</v>
      </c>
      <c r="AC338" t="s">
        <v>83</v>
      </c>
      <c r="AE338" t="s">
        <v>75</v>
      </c>
      <c r="AF338" t="s">
        <v>84</v>
      </c>
      <c r="AG338" t="s">
        <v>84</v>
      </c>
      <c r="AH338" s="33">
        <f t="shared" si="16"/>
      </c>
      <c r="AI338" s="33">
        <f t="shared" si="17"/>
      </c>
    </row>
    <row r="339" ht="27.6" customHeight="1" spans="1:35" x14ac:dyDescent="0.25">
      <c r="A339" s="27" t="s">
        <v>1344</v>
      </c>
      <c r="B339">
        <f t="shared" si="15"/>
        <v>0</v>
      </c>
      <c r="C339" t="s">
        <v>64</v>
      </c>
      <c r="D339" s="27" t="s">
        <v>102</v>
      </c>
      <c r="E339" t="s">
        <v>1345</v>
      </c>
      <c r="F339" s="28">
        <v>0</v>
      </c>
      <c r="G339" s="29">
        <v>1</v>
      </c>
      <c r="H339" s="30" t="s">
        <v>1346</v>
      </c>
      <c r="I339" t="s">
        <v>65</v>
      </c>
      <c r="J3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145</v>
      </c>
      <c r="L339" t="s">
        <v>146</v>
      </c>
      <c r="N339" s="29">
        <v>1</v>
      </c>
      <c r="P339" s="29">
        <v>1</v>
      </c>
      <c r="R339" s="29">
        <v>1</v>
      </c>
      <c r="S339" t="s">
        <v>70</v>
      </c>
      <c r="T339" t="s">
        <v>72</v>
      </c>
      <c r="U339" s="32">
        <v>30</v>
      </c>
      <c r="V339">
        <v>30</v>
      </c>
      <c r="W339" t="s">
        <v>79</v>
      </c>
      <c r="X339" t="s">
        <v>980</v>
      </c>
      <c r="Y339" t="s">
        <v>1345</v>
      </c>
      <c r="AA339" t="s">
        <v>75</v>
      </c>
      <c r="AC339" t="s">
        <v>83</v>
      </c>
      <c r="AE339" t="s">
        <v>75</v>
      </c>
      <c r="AF339" t="s">
        <v>84</v>
      </c>
      <c r="AG339" t="s">
        <v>84</v>
      </c>
      <c r="AH339" s="33">
        <f t="shared" si="16"/>
      </c>
      <c r="AI339" s="33">
        <f t="shared" si="17"/>
      </c>
    </row>
    <row r="340" ht="27.6" customHeight="1" spans="1:35" x14ac:dyDescent="0.25">
      <c r="A340" s="27" t="s">
        <v>1347</v>
      </c>
      <c r="B340">
        <f t="shared" si="15"/>
        <v>0</v>
      </c>
      <c r="C340" t="s">
        <v>64</v>
      </c>
      <c r="D340" s="27" t="s">
        <v>102</v>
      </c>
      <c r="E340" t="s">
        <v>1348</v>
      </c>
      <c r="F340" s="28">
        <v>0</v>
      </c>
      <c r="G340" s="29">
        <v>1</v>
      </c>
      <c r="H340" s="30" t="s">
        <v>1349</v>
      </c>
      <c r="I340" t="s">
        <v>65</v>
      </c>
      <c r="J3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145</v>
      </c>
      <c r="L340" t="s">
        <v>146</v>
      </c>
      <c r="N340" s="29">
        <v>1</v>
      </c>
      <c r="P340" s="29">
        <v>1</v>
      </c>
      <c r="R340" s="29">
        <v>1</v>
      </c>
      <c r="S340" t="s">
        <v>70</v>
      </c>
      <c r="T340" t="s">
        <v>72</v>
      </c>
      <c r="U340" s="32">
        <v>30</v>
      </c>
      <c r="V340">
        <v>30</v>
      </c>
      <c r="W340" t="s">
        <v>79</v>
      </c>
      <c r="X340" t="s">
        <v>980</v>
      </c>
      <c r="Y340" t="s">
        <v>1350</v>
      </c>
      <c r="AA340" t="s">
        <v>75</v>
      </c>
      <c r="AC340" t="s">
        <v>83</v>
      </c>
      <c r="AE340" t="s">
        <v>75</v>
      </c>
      <c r="AF340" t="s">
        <v>84</v>
      </c>
      <c r="AG340" t="s">
        <v>84</v>
      </c>
      <c r="AH340" s="33">
        <f t="shared" si="16"/>
      </c>
      <c r="AI340" s="33">
        <f t="shared" si="17"/>
      </c>
    </row>
    <row r="341" ht="27.6" customHeight="1" spans="1:35" x14ac:dyDescent="0.25">
      <c r="A341" s="27" t="s">
        <v>1351</v>
      </c>
      <c r="B341">
        <f t="shared" si="15"/>
        <v>0</v>
      </c>
      <c r="C341" t="s">
        <v>64</v>
      </c>
      <c r="D341" s="27" t="s">
        <v>102</v>
      </c>
      <c r="E341" t="s">
        <v>1352</v>
      </c>
      <c r="F341" s="28">
        <v>0</v>
      </c>
      <c r="G341" s="29">
        <v>1</v>
      </c>
      <c r="H341" s="30" t="s">
        <v>1353</v>
      </c>
      <c r="I341" t="s">
        <v>65</v>
      </c>
      <c r="J3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145</v>
      </c>
      <c r="L341" t="s">
        <v>146</v>
      </c>
      <c r="N341" s="29">
        <v>1</v>
      </c>
      <c r="P341" s="29">
        <v>1</v>
      </c>
      <c r="R341" s="29">
        <v>1</v>
      </c>
      <c r="S341" t="s">
        <v>70</v>
      </c>
      <c r="T341" t="s">
        <v>72</v>
      </c>
      <c r="U341" s="32">
        <v>30</v>
      </c>
      <c r="V341">
        <v>30</v>
      </c>
      <c r="W341" t="s">
        <v>79</v>
      </c>
      <c r="X341" t="s">
        <v>980</v>
      </c>
      <c r="Y341" t="s">
        <v>1354</v>
      </c>
      <c r="AA341" t="s">
        <v>75</v>
      </c>
      <c r="AC341" t="s">
        <v>83</v>
      </c>
      <c r="AE341" t="s">
        <v>75</v>
      </c>
      <c r="AF341" t="s">
        <v>84</v>
      </c>
      <c r="AG341" t="s">
        <v>84</v>
      </c>
      <c r="AH341" s="33">
        <f t="shared" si="16"/>
      </c>
      <c r="AI341" s="33">
        <f t="shared" si="17"/>
      </c>
    </row>
    <row r="342" ht="27.6" customHeight="1" spans="1:35" x14ac:dyDescent="0.25">
      <c r="A342" s="27" t="s">
        <v>1355</v>
      </c>
      <c r="B342">
        <f t="shared" si="15"/>
        <v>0</v>
      </c>
      <c r="C342" t="s">
        <v>64</v>
      </c>
      <c r="D342" s="27" t="s">
        <v>102</v>
      </c>
      <c r="E342" t="s">
        <v>1352</v>
      </c>
      <c r="F342" s="28">
        <v>0</v>
      </c>
      <c r="G342" s="29">
        <v>1</v>
      </c>
      <c r="H342" s="30" t="s">
        <v>1356</v>
      </c>
      <c r="I342" t="s">
        <v>65</v>
      </c>
      <c r="J3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145</v>
      </c>
      <c r="L342" t="s">
        <v>146</v>
      </c>
      <c r="N342" s="29">
        <v>1</v>
      </c>
      <c r="P342" s="29">
        <v>1</v>
      </c>
      <c r="R342" s="29">
        <v>1</v>
      </c>
      <c r="S342" t="s">
        <v>70</v>
      </c>
      <c r="T342" t="s">
        <v>72</v>
      </c>
      <c r="U342" s="32">
        <v>30</v>
      </c>
      <c r="V342">
        <v>30</v>
      </c>
      <c r="W342" t="s">
        <v>79</v>
      </c>
      <c r="X342" t="s">
        <v>980</v>
      </c>
      <c r="Y342" t="s">
        <v>1354</v>
      </c>
      <c r="AA342" t="s">
        <v>75</v>
      </c>
      <c r="AC342" t="s">
        <v>83</v>
      </c>
      <c r="AE342" t="s">
        <v>75</v>
      </c>
      <c r="AF342" t="s">
        <v>84</v>
      </c>
      <c r="AG342" t="s">
        <v>84</v>
      </c>
      <c r="AH342" s="33">
        <f t="shared" si="16"/>
      </c>
      <c r="AI342" s="33">
        <f t="shared" si="17"/>
      </c>
    </row>
    <row r="343" ht="27.6" customHeight="1" spans="1:35" x14ac:dyDescent="0.25">
      <c r="A343" s="27" t="s">
        <v>1357</v>
      </c>
      <c r="B343">
        <f t="shared" si="15"/>
        <v>0</v>
      </c>
      <c r="C343" t="s">
        <v>64</v>
      </c>
      <c r="D343" s="27" t="s">
        <v>102</v>
      </c>
      <c r="E343" t="s">
        <v>1358</v>
      </c>
      <c r="F343" s="28">
        <v>0</v>
      </c>
      <c r="G343" s="29">
        <v>1</v>
      </c>
      <c r="H343" s="30" t="s">
        <v>1359</v>
      </c>
      <c r="I343" t="s">
        <v>65</v>
      </c>
      <c r="J3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145</v>
      </c>
      <c r="L343" t="s">
        <v>146</v>
      </c>
      <c r="N343" s="29">
        <v>1</v>
      </c>
      <c r="P343" s="29">
        <v>1</v>
      </c>
      <c r="R343" s="29">
        <v>1</v>
      </c>
      <c r="S343" t="s">
        <v>70</v>
      </c>
      <c r="T343" t="s">
        <v>72</v>
      </c>
      <c r="U343" s="32">
        <v>30</v>
      </c>
      <c r="V343">
        <v>30</v>
      </c>
      <c r="W343" t="s">
        <v>79</v>
      </c>
      <c r="X343" t="s">
        <v>980</v>
      </c>
      <c r="Y343" t="s">
        <v>1360</v>
      </c>
      <c r="AA343" t="s">
        <v>75</v>
      </c>
      <c r="AC343" t="s">
        <v>83</v>
      </c>
      <c r="AE343" t="s">
        <v>75</v>
      </c>
      <c r="AF343" t="s">
        <v>84</v>
      </c>
      <c r="AG343" t="s">
        <v>84</v>
      </c>
      <c r="AH343" s="33">
        <f t="shared" si="16"/>
      </c>
      <c r="AI343" s="33">
        <f t="shared" si="17"/>
      </c>
    </row>
    <row r="344" ht="27.6" customHeight="1" spans="1:35" x14ac:dyDescent="0.25">
      <c r="A344" s="27" t="s">
        <v>1361</v>
      </c>
      <c r="B344">
        <f t="shared" si="15"/>
        <v>0</v>
      </c>
      <c r="C344" t="s">
        <v>64</v>
      </c>
      <c r="D344" s="27" t="s">
        <v>102</v>
      </c>
      <c r="E344" t="s">
        <v>1362</v>
      </c>
      <c r="F344" s="28">
        <v>0</v>
      </c>
      <c r="G344" s="29">
        <v>1</v>
      </c>
      <c r="H344" s="30" t="s">
        <v>1363</v>
      </c>
      <c r="I344" t="s">
        <v>65</v>
      </c>
      <c r="J3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145</v>
      </c>
      <c r="L344" t="s">
        <v>146</v>
      </c>
      <c r="N344" s="29">
        <v>1</v>
      </c>
      <c r="P344" s="29">
        <v>1</v>
      </c>
      <c r="R344" s="29">
        <v>1</v>
      </c>
      <c r="S344" t="s">
        <v>70</v>
      </c>
      <c r="T344" t="s">
        <v>72</v>
      </c>
      <c r="U344" s="32">
        <v>30</v>
      </c>
      <c r="V344">
        <v>30</v>
      </c>
      <c r="W344" t="s">
        <v>79</v>
      </c>
      <c r="X344" t="s">
        <v>1066</v>
      </c>
      <c r="Y344" t="s">
        <v>1364</v>
      </c>
      <c r="AA344" t="s">
        <v>75</v>
      </c>
      <c r="AC344" t="s">
        <v>83</v>
      </c>
      <c r="AE344" t="s">
        <v>75</v>
      </c>
      <c r="AF344" t="s">
        <v>84</v>
      </c>
      <c r="AG344" t="s">
        <v>84</v>
      </c>
      <c r="AH344" s="33">
        <f t="shared" si="16"/>
      </c>
      <c r="AI344" s="33">
        <f t="shared" si="17"/>
      </c>
    </row>
    <row r="345" ht="27.6" customHeight="1" spans="1:35" x14ac:dyDescent="0.25">
      <c r="A345" s="27" t="s">
        <v>1365</v>
      </c>
      <c r="B345">
        <f t="shared" si="15"/>
        <v>0</v>
      </c>
      <c r="C345" t="s">
        <v>64</v>
      </c>
      <c r="D345" s="27" t="s">
        <v>102</v>
      </c>
      <c r="E345" t="s">
        <v>1362</v>
      </c>
      <c r="F345" s="28">
        <v>0</v>
      </c>
      <c r="G345" s="29">
        <v>1</v>
      </c>
      <c r="H345" s="30" t="s">
        <v>1366</v>
      </c>
      <c r="I345" t="s">
        <v>65</v>
      </c>
      <c r="J3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145</v>
      </c>
      <c r="L345" t="s">
        <v>146</v>
      </c>
      <c r="N345" s="29">
        <v>1</v>
      </c>
      <c r="P345" s="29">
        <v>1</v>
      </c>
      <c r="R345" s="29">
        <v>1</v>
      </c>
      <c r="S345" t="s">
        <v>70</v>
      </c>
      <c r="T345" t="s">
        <v>72</v>
      </c>
      <c r="U345" s="32">
        <v>30</v>
      </c>
      <c r="V345">
        <v>30</v>
      </c>
      <c r="W345" t="s">
        <v>79</v>
      </c>
      <c r="X345" t="s">
        <v>1066</v>
      </c>
      <c r="Y345" t="s">
        <v>1364</v>
      </c>
      <c r="AA345" t="s">
        <v>75</v>
      </c>
      <c r="AC345" t="s">
        <v>83</v>
      </c>
      <c r="AE345" t="s">
        <v>75</v>
      </c>
      <c r="AF345" t="s">
        <v>84</v>
      </c>
      <c r="AG345" t="s">
        <v>84</v>
      </c>
      <c r="AH345" s="33">
        <f t="shared" si="16"/>
      </c>
      <c r="AI345" s="33">
        <f t="shared" si="17"/>
      </c>
    </row>
    <row r="346" ht="27.6" customHeight="1" spans="1:35" x14ac:dyDescent="0.25">
      <c r="A346" s="27" t="s">
        <v>1367</v>
      </c>
      <c r="B346">
        <f t="shared" si="15"/>
        <v>0</v>
      </c>
      <c r="C346" t="s">
        <v>64</v>
      </c>
      <c r="D346" s="27" t="s">
        <v>1368</v>
      </c>
      <c r="E346" t="s">
        <v>1369</v>
      </c>
      <c r="F346" s="28">
        <v>0</v>
      </c>
      <c r="G346" s="29">
        <v>1</v>
      </c>
      <c r="H346" s="30" t="s">
        <v>1370</v>
      </c>
      <c r="I346" t="s">
        <v>65</v>
      </c>
      <c r="J3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145</v>
      </c>
      <c r="L346" t="s">
        <v>146</v>
      </c>
      <c r="N346" s="29">
        <v>1</v>
      </c>
      <c r="P346" s="29">
        <v>1</v>
      </c>
      <c r="R346" s="29">
        <v>1</v>
      </c>
      <c r="S346" t="s">
        <v>70</v>
      </c>
      <c r="T346" t="s">
        <v>72</v>
      </c>
      <c r="U346" s="32">
        <v>30</v>
      </c>
      <c r="V346">
        <v>30</v>
      </c>
      <c r="W346" t="s">
        <v>79</v>
      </c>
      <c r="X346" t="s">
        <v>980</v>
      </c>
      <c r="Y346" t="s">
        <v>1369</v>
      </c>
      <c r="AA346" t="s">
        <v>75</v>
      </c>
      <c r="AC346" t="s">
        <v>83</v>
      </c>
      <c r="AE346" t="s">
        <v>75</v>
      </c>
      <c r="AF346" t="s">
        <v>84</v>
      </c>
      <c r="AG346" t="s">
        <v>84</v>
      </c>
      <c r="AH346" s="33">
        <f t="shared" si="16"/>
      </c>
      <c r="AI346" s="33">
        <f t="shared" si="17"/>
      </c>
    </row>
    <row r="347" ht="27.6" customHeight="1" spans="1:35" x14ac:dyDescent="0.25">
      <c r="A347" s="27" t="s">
        <v>573</v>
      </c>
      <c r="B347">
        <f t="shared" si="15"/>
        <v>0</v>
      </c>
      <c r="C347" t="s">
        <v>64</v>
      </c>
      <c r="D347" s="27" t="s">
        <v>1371</v>
      </c>
      <c r="E347" t="s">
        <v>577</v>
      </c>
      <c r="F347" s="28">
        <v>0</v>
      </c>
      <c r="G347" s="29">
        <v>1</v>
      </c>
      <c r="H347" s="30" t="s">
        <v>1372</v>
      </c>
      <c r="I347" t="s">
        <v>65</v>
      </c>
      <c r="J3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145</v>
      </c>
      <c r="L347" t="s">
        <v>146</v>
      </c>
      <c r="N347" s="29">
        <v>1</v>
      </c>
      <c r="P347" s="29">
        <v>1</v>
      </c>
      <c r="R347" s="29">
        <v>1</v>
      </c>
      <c r="S347" t="s">
        <v>70</v>
      </c>
      <c r="T347" t="s">
        <v>72</v>
      </c>
      <c r="U347" s="32">
        <v>30</v>
      </c>
      <c r="V347">
        <v>30</v>
      </c>
      <c r="W347" t="s">
        <v>79</v>
      </c>
      <c r="X347" t="s">
        <v>980</v>
      </c>
      <c r="Y347" t="s">
        <v>575</v>
      </c>
      <c r="AA347" t="s">
        <v>75</v>
      </c>
      <c r="AC347" t="s">
        <v>83</v>
      </c>
      <c r="AE347" t="s">
        <v>75</v>
      </c>
      <c r="AF347" t="s">
        <v>84</v>
      </c>
      <c r="AG347" t="s">
        <v>84</v>
      </c>
      <c r="AH347" s="33">
        <f t="shared" si="16"/>
      </c>
      <c r="AI347" s="33">
        <f t="shared" si="17"/>
      </c>
    </row>
    <row r="348" ht="27.6" customHeight="1" spans="1:35" x14ac:dyDescent="0.25">
      <c r="A348" s="27" t="s">
        <v>1373</v>
      </c>
      <c r="B348">
        <f t="shared" si="15"/>
        <v>0</v>
      </c>
      <c r="C348" t="s">
        <v>64</v>
      </c>
      <c r="D348" s="27" t="s">
        <v>1374</v>
      </c>
      <c r="E348" t="s">
        <v>1375</v>
      </c>
      <c r="F348" s="28">
        <v>0</v>
      </c>
      <c r="G348" s="29">
        <v>1</v>
      </c>
      <c r="H348" s="30" t="s">
        <v>1376</v>
      </c>
      <c r="I348" t="s">
        <v>65</v>
      </c>
      <c r="J3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145</v>
      </c>
      <c r="L348" t="s">
        <v>146</v>
      </c>
      <c r="N348" s="29">
        <v>1</v>
      </c>
      <c r="P348" s="29">
        <v>1</v>
      </c>
      <c r="R348" s="29">
        <v>1</v>
      </c>
      <c r="S348" t="s">
        <v>70</v>
      </c>
      <c r="T348" t="s">
        <v>72</v>
      </c>
      <c r="U348" s="32">
        <v>30</v>
      </c>
      <c r="V348">
        <v>30</v>
      </c>
      <c r="W348" t="s">
        <v>79</v>
      </c>
      <c r="X348" t="s">
        <v>980</v>
      </c>
      <c r="Y348" t="s">
        <v>1375</v>
      </c>
      <c r="AA348" t="s">
        <v>75</v>
      </c>
      <c r="AC348" t="s">
        <v>83</v>
      </c>
      <c r="AE348" t="s">
        <v>75</v>
      </c>
      <c r="AF348" t="s">
        <v>84</v>
      </c>
      <c r="AG348" t="s">
        <v>84</v>
      </c>
      <c r="AH348" s="33">
        <f t="shared" si="16"/>
      </c>
      <c r="AI348" s="33">
        <f t="shared" si="17"/>
      </c>
    </row>
    <row r="349" ht="27.6" customHeight="1" spans="1:35" x14ac:dyDescent="0.25">
      <c r="A349" s="27" t="s">
        <v>1377</v>
      </c>
      <c r="B349">
        <f t="shared" si="15"/>
        <v>0</v>
      </c>
      <c r="C349" t="s">
        <v>64</v>
      </c>
      <c r="D349" s="27" t="s">
        <v>1378</v>
      </c>
      <c r="E349" t="s">
        <v>1379</v>
      </c>
      <c r="F349" s="28">
        <v>0</v>
      </c>
      <c r="G349" s="29">
        <v>1</v>
      </c>
      <c r="H349" s="30" t="s">
        <v>1380</v>
      </c>
      <c r="I349" t="s">
        <v>65</v>
      </c>
      <c r="J3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145</v>
      </c>
      <c r="L349" t="s">
        <v>146</v>
      </c>
      <c r="N349" s="29">
        <v>1</v>
      </c>
      <c r="P349" s="29">
        <v>1</v>
      </c>
      <c r="R349" s="29">
        <v>1</v>
      </c>
      <c r="S349" t="s">
        <v>70</v>
      </c>
      <c r="T349" t="s">
        <v>72</v>
      </c>
      <c r="U349" s="32">
        <v>30</v>
      </c>
      <c r="V349">
        <v>30</v>
      </c>
      <c r="W349" t="s">
        <v>79</v>
      </c>
      <c r="X349" t="s">
        <v>980</v>
      </c>
      <c r="Y349" t="s">
        <v>1379</v>
      </c>
      <c r="AA349" t="s">
        <v>75</v>
      </c>
      <c r="AC349" t="s">
        <v>83</v>
      </c>
      <c r="AE349" t="s">
        <v>75</v>
      </c>
      <c r="AF349" t="s">
        <v>84</v>
      </c>
      <c r="AG349" t="s">
        <v>84</v>
      </c>
      <c r="AH349" s="33">
        <f t="shared" si="16"/>
      </c>
      <c r="AI349" s="33">
        <f t="shared" si="17"/>
      </c>
    </row>
    <row r="350" ht="27.6" customHeight="1" spans="1:35" x14ac:dyDescent="0.25">
      <c r="A350" s="27" t="s">
        <v>1381</v>
      </c>
      <c r="B350">
        <f t="shared" si="15"/>
        <v>0</v>
      </c>
      <c r="C350" t="s">
        <v>64</v>
      </c>
      <c r="D350" s="27" t="s">
        <v>1382</v>
      </c>
      <c r="E350" t="s">
        <v>1383</v>
      </c>
      <c r="F350" s="28">
        <v>0</v>
      </c>
      <c r="G350" s="29">
        <v>1</v>
      </c>
      <c r="H350" s="30" t="s">
        <v>1384</v>
      </c>
      <c r="I350" t="s">
        <v>65</v>
      </c>
      <c r="J3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145</v>
      </c>
      <c r="L350" t="s">
        <v>146</v>
      </c>
      <c r="N350" s="29">
        <v>1</v>
      </c>
      <c r="P350" s="29">
        <v>1</v>
      </c>
      <c r="R350" s="29">
        <v>1</v>
      </c>
      <c r="S350" t="s">
        <v>70</v>
      </c>
      <c r="T350" t="s">
        <v>72</v>
      </c>
      <c r="U350" s="32">
        <v>30</v>
      </c>
      <c r="V350">
        <v>30</v>
      </c>
      <c r="W350" t="s">
        <v>79</v>
      </c>
      <c r="X350" t="s">
        <v>980</v>
      </c>
      <c r="Y350" t="s">
        <v>1383</v>
      </c>
      <c r="AA350" t="s">
        <v>75</v>
      </c>
      <c r="AC350" t="s">
        <v>83</v>
      </c>
      <c r="AE350" t="s">
        <v>75</v>
      </c>
      <c r="AF350" t="s">
        <v>84</v>
      </c>
      <c r="AG350" t="s">
        <v>84</v>
      </c>
      <c r="AH350" s="33">
        <f t="shared" si="16"/>
      </c>
      <c r="AI350" s="33">
        <f t="shared" si="17"/>
      </c>
    </row>
    <row r="351" ht="27.6" customHeight="1" spans="1:35" x14ac:dyDescent="0.25">
      <c r="A351" s="27" t="s">
        <v>1385</v>
      </c>
      <c r="B351">
        <f t="shared" si="15"/>
        <v>0</v>
      </c>
      <c r="C351" t="s">
        <v>64</v>
      </c>
      <c r="D351" s="27" t="s">
        <v>1386</v>
      </c>
      <c r="E351" t="s">
        <v>1387</v>
      </c>
      <c r="F351" s="28">
        <v>0</v>
      </c>
      <c r="G351" s="29">
        <v>1</v>
      </c>
      <c r="H351" s="30" t="s">
        <v>1388</v>
      </c>
      <c r="I351" t="s">
        <v>65</v>
      </c>
      <c r="J3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145</v>
      </c>
      <c r="L351" t="s">
        <v>146</v>
      </c>
      <c r="N351" s="29">
        <v>1</v>
      </c>
      <c r="P351" s="29">
        <v>1</v>
      </c>
      <c r="R351" s="29">
        <v>1</v>
      </c>
      <c r="S351" t="s">
        <v>70</v>
      </c>
      <c r="T351" t="s">
        <v>72</v>
      </c>
      <c r="U351" s="32">
        <v>30</v>
      </c>
      <c r="V351">
        <v>30</v>
      </c>
      <c r="W351" t="s">
        <v>79</v>
      </c>
      <c r="X351" t="s">
        <v>980</v>
      </c>
      <c r="Y351" t="s">
        <v>1387</v>
      </c>
      <c r="AA351" t="s">
        <v>75</v>
      </c>
      <c r="AC351" t="s">
        <v>83</v>
      </c>
      <c r="AE351" t="s">
        <v>75</v>
      </c>
      <c r="AF351" t="s">
        <v>84</v>
      </c>
      <c r="AG351" t="s">
        <v>84</v>
      </c>
      <c r="AH351" s="33">
        <f t="shared" si="16"/>
      </c>
      <c r="AI351" s="33">
        <f t="shared" si="17"/>
      </c>
    </row>
    <row r="352" ht="27.6" customHeight="1" spans="1:35" x14ac:dyDescent="0.25">
      <c r="A352" s="27" t="s">
        <v>1389</v>
      </c>
      <c r="B352">
        <f t="shared" si="15"/>
        <v>0</v>
      </c>
      <c r="C352" t="s">
        <v>64</v>
      </c>
      <c r="D352" s="27" t="s">
        <v>1390</v>
      </c>
      <c r="E352" t="s">
        <v>1391</v>
      </c>
      <c r="F352" s="28">
        <v>0</v>
      </c>
      <c r="G352" s="29">
        <v>1</v>
      </c>
      <c r="H352" s="30" t="s">
        <v>1392</v>
      </c>
      <c r="I352" t="s">
        <v>65</v>
      </c>
      <c r="J3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145</v>
      </c>
      <c r="L352" t="s">
        <v>146</v>
      </c>
      <c r="N352" s="29">
        <v>1</v>
      </c>
      <c r="P352" s="29">
        <v>1</v>
      </c>
      <c r="R352" s="29">
        <v>1</v>
      </c>
      <c r="S352" t="s">
        <v>70</v>
      </c>
      <c r="T352" t="s">
        <v>72</v>
      </c>
      <c r="U352" s="32">
        <v>30</v>
      </c>
      <c r="V352">
        <v>30</v>
      </c>
      <c r="W352" t="s">
        <v>79</v>
      </c>
      <c r="X352" t="s">
        <v>980</v>
      </c>
      <c r="Y352" t="s">
        <v>1391</v>
      </c>
      <c r="AA352" t="s">
        <v>75</v>
      </c>
      <c r="AC352" t="s">
        <v>83</v>
      </c>
      <c r="AE352" t="s">
        <v>75</v>
      </c>
      <c r="AF352" t="s">
        <v>84</v>
      </c>
      <c r="AG352" t="s">
        <v>84</v>
      </c>
      <c r="AH352" s="33">
        <f t="shared" si="16"/>
      </c>
      <c r="AI352" s="33">
        <f t="shared" si="17"/>
      </c>
    </row>
    <row r="353" ht="27.6" customHeight="1" spans="1:35" x14ac:dyDescent="0.25">
      <c r="A353" s="27" t="s">
        <v>1393</v>
      </c>
      <c r="B353">
        <f t="shared" si="15"/>
        <v>0</v>
      </c>
      <c r="C353" t="s">
        <v>64</v>
      </c>
      <c r="D353" s="27" t="s">
        <v>1394</v>
      </c>
      <c r="E353" t="s">
        <v>1395</v>
      </c>
      <c r="F353" s="28">
        <v>0</v>
      </c>
      <c r="G353" s="29">
        <v>1</v>
      </c>
      <c r="H353" s="30" t="s">
        <v>1396</v>
      </c>
      <c r="I353" t="s">
        <v>65</v>
      </c>
      <c r="J3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145</v>
      </c>
      <c r="L353" t="s">
        <v>146</v>
      </c>
      <c r="N353" s="29">
        <v>1</v>
      </c>
      <c r="P353" s="29">
        <v>1</v>
      </c>
      <c r="R353" s="29">
        <v>1</v>
      </c>
      <c r="S353" t="s">
        <v>70</v>
      </c>
      <c r="T353" t="s">
        <v>72</v>
      </c>
      <c r="U353" s="32">
        <v>30</v>
      </c>
      <c r="V353">
        <v>30</v>
      </c>
      <c r="W353" t="s">
        <v>79</v>
      </c>
      <c r="X353" t="s">
        <v>980</v>
      </c>
      <c r="Y353" t="s">
        <v>1397</v>
      </c>
      <c r="AA353" t="s">
        <v>75</v>
      </c>
      <c r="AC353" t="s">
        <v>83</v>
      </c>
      <c r="AE353" t="s">
        <v>75</v>
      </c>
      <c r="AF353" t="s">
        <v>84</v>
      </c>
      <c r="AG353" t="s">
        <v>84</v>
      </c>
      <c r="AH353" s="33">
        <f t="shared" si="16"/>
      </c>
      <c r="AI353" s="33">
        <f t="shared" si="17"/>
      </c>
    </row>
    <row r="354" ht="27.6" customHeight="1" spans="1:35" x14ac:dyDescent="0.25">
      <c r="A354" s="27" t="s">
        <v>1398</v>
      </c>
      <c r="B354">
        <f t="shared" si="15"/>
        <v>0</v>
      </c>
      <c r="C354" t="s">
        <v>64</v>
      </c>
      <c r="D354" s="27" t="s">
        <v>1399</v>
      </c>
      <c r="E354" t="s">
        <v>1400</v>
      </c>
      <c r="F354" s="28">
        <v>0</v>
      </c>
      <c r="G354" s="29">
        <v>1</v>
      </c>
      <c r="H354" s="30" t="s">
        <v>1401</v>
      </c>
      <c r="I354" t="s">
        <v>65</v>
      </c>
      <c r="J3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145</v>
      </c>
      <c r="L354" t="s">
        <v>146</v>
      </c>
      <c r="N354" s="29">
        <v>1</v>
      </c>
      <c r="P354" s="29">
        <v>1</v>
      </c>
      <c r="R354" s="29">
        <v>1</v>
      </c>
      <c r="S354" t="s">
        <v>70</v>
      </c>
      <c r="T354" t="s">
        <v>72</v>
      </c>
      <c r="U354" s="32">
        <v>30</v>
      </c>
      <c r="V354">
        <v>30</v>
      </c>
      <c r="W354" t="s">
        <v>79</v>
      </c>
      <c r="X354" t="s">
        <v>980</v>
      </c>
      <c r="Y354" t="s">
        <v>1400</v>
      </c>
      <c r="AA354" t="s">
        <v>75</v>
      </c>
      <c r="AC354" t="s">
        <v>83</v>
      </c>
      <c r="AE354" t="s">
        <v>75</v>
      </c>
      <c r="AF354" t="s">
        <v>84</v>
      </c>
      <c r="AG354" t="s">
        <v>84</v>
      </c>
      <c r="AH354" s="33">
        <f t="shared" si="16"/>
      </c>
      <c r="AI354" s="33">
        <f t="shared" si="17"/>
      </c>
    </row>
    <row r="355" ht="27.6" customHeight="1" spans="1:35" x14ac:dyDescent="0.25">
      <c r="A355" s="27" t="s">
        <v>1402</v>
      </c>
      <c r="B355">
        <f t="shared" si="15"/>
        <v>0</v>
      </c>
      <c r="C355" t="s">
        <v>64</v>
      </c>
      <c r="D355" s="27" t="s">
        <v>102</v>
      </c>
      <c r="E355" t="s">
        <v>1403</v>
      </c>
      <c r="F355" s="28">
        <v>0</v>
      </c>
      <c r="G355" s="29">
        <v>1</v>
      </c>
      <c r="H355" s="30" t="s">
        <v>1404</v>
      </c>
      <c r="I355" t="s">
        <v>65</v>
      </c>
      <c r="J3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145</v>
      </c>
      <c r="L355" t="s">
        <v>146</v>
      </c>
      <c r="N355" s="29">
        <v>1</v>
      </c>
      <c r="P355" s="29">
        <v>1</v>
      </c>
      <c r="R355" s="29">
        <v>1</v>
      </c>
      <c r="S355" t="s">
        <v>70</v>
      </c>
      <c r="T355" t="s">
        <v>72</v>
      </c>
      <c r="U355" s="32">
        <v>30</v>
      </c>
      <c r="V355">
        <v>30</v>
      </c>
      <c r="W355" t="s">
        <v>79</v>
      </c>
      <c r="X355" t="s">
        <v>980</v>
      </c>
      <c r="Y355" t="s">
        <v>1405</v>
      </c>
      <c r="AA355" t="s">
        <v>75</v>
      </c>
      <c r="AC355" t="s">
        <v>83</v>
      </c>
      <c r="AE355" t="s">
        <v>75</v>
      </c>
      <c r="AF355" t="s">
        <v>84</v>
      </c>
      <c r="AG355" t="s">
        <v>84</v>
      </c>
      <c r="AH355" s="33">
        <f t="shared" si="16"/>
      </c>
      <c r="AI355" s="33">
        <f t="shared" si="17"/>
      </c>
    </row>
    <row r="356" ht="27.6" customHeight="1" spans="1:35" x14ac:dyDescent="0.25">
      <c r="A356" s="27" t="s">
        <v>1406</v>
      </c>
      <c r="B356">
        <f t="shared" si="15"/>
        <v>0</v>
      </c>
      <c r="C356" t="s">
        <v>64</v>
      </c>
      <c r="D356" s="27" t="s">
        <v>102</v>
      </c>
      <c r="E356" t="s">
        <v>1403</v>
      </c>
      <c r="F356" s="28">
        <v>0</v>
      </c>
      <c r="G356" s="29">
        <v>1</v>
      </c>
      <c r="H356" s="30" t="s">
        <v>1407</v>
      </c>
      <c r="I356" t="s">
        <v>65</v>
      </c>
      <c r="J3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145</v>
      </c>
      <c r="L356" t="s">
        <v>146</v>
      </c>
      <c r="N356" s="29">
        <v>1</v>
      </c>
      <c r="P356" s="29">
        <v>1</v>
      </c>
      <c r="R356" s="29">
        <v>1</v>
      </c>
      <c r="S356" t="s">
        <v>70</v>
      </c>
      <c r="T356" t="s">
        <v>72</v>
      </c>
      <c r="U356" s="32">
        <v>30</v>
      </c>
      <c r="V356">
        <v>30</v>
      </c>
      <c r="W356" t="s">
        <v>79</v>
      </c>
      <c r="X356" t="s">
        <v>980</v>
      </c>
      <c r="Y356" t="s">
        <v>1405</v>
      </c>
      <c r="AA356" t="s">
        <v>75</v>
      </c>
      <c r="AC356" t="s">
        <v>83</v>
      </c>
      <c r="AE356" t="s">
        <v>75</v>
      </c>
      <c r="AF356" t="s">
        <v>84</v>
      </c>
      <c r="AG356" t="s">
        <v>84</v>
      </c>
      <c r="AH356" s="33">
        <f t="shared" si="16"/>
      </c>
      <c r="AI356" s="33">
        <f t="shared" si="17"/>
      </c>
    </row>
    <row r="357" ht="27.6" customHeight="1" spans="1:35" x14ac:dyDescent="0.25">
      <c r="A357" s="27" t="s">
        <v>1408</v>
      </c>
      <c r="B357">
        <f t="shared" si="15"/>
        <v>0</v>
      </c>
      <c r="C357" t="s">
        <v>64</v>
      </c>
      <c r="D357" s="27" t="s">
        <v>102</v>
      </c>
      <c r="E357" t="s">
        <v>1409</v>
      </c>
      <c r="F357" s="28">
        <v>0</v>
      </c>
      <c r="G357" s="29">
        <v>1</v>
      </c>
      <c r="H357" s="30" t="s">
        <v>1410</v>
      </c>
      <c r="I357" t="s">
        <v>65</v>
      </c>
      <c r="J3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145</v>
      </c>
      <c r="L357" t="s">
        <v>146</v>
      </c>
      <c r="N357" s="29">
        <v>1</v>
      </c>
      <c r="P357" s="29">
        <v>1</v>
      </c>
      <c r="R357" s="29">
        <v>1</v>
      </c>
      <c r="S357" t="s">
        <v>70</v>
      </c>
      <c r="T357" t="s">
        <v>72</v>
      </c>
      <c r="U357" s="32">
        <v>30</v>
      </c>
      <c r="V357">
        <v>30</v>
      </c>
      <c r="W357" t="s">
        <v>79</v>
      </c>
      <c r="X357" t="s">
        <v>980</v>
      </c>
      <c r="Y357" t="s">
        <v>1409</v>
      </c>
      <c r="AA357" t="s">
        <v>75</v>
      </c>
      <c r="AC357" t="s">
        <v>83</v>
      </c>
      <c r="AE357" t="s">
        <v>75</v>
      </c>
      <c r="AF357" t="s">
        <v>84</v>
      </c>
      <c r="AG357" t="s">
        <v>84</v>
      </c>
      <c r="AH357" s="33">
        <f t="shared" si="16"/>
      </c>
      <c r="AI357" s="33">
        <f t="shared" si="17"/>
      </c>
    </row>
    <row r="358" ht="27.6" customHeight="1" spans="1:35" x14ac:dyDescent="0.25">
      <c r="A358" s="27" t="s">
        <v>1411</v>
      </c>
      <c r="B358">
        <f t="shared" si="15"/>
        <v>0</v>
      </c>
      <c r="C358" t="s">
        <v>64</v>
      </c>
      <c r="D358" s="27" t="s">
        <v>102</v>
      </c>
      <c r="E358" t="s">
        <v>1412</v>
      </c>
      <c r="F358" s="28">
        <v>0</v>
      </c>
      <c r="G358" s="29">
        <v>1</v>
      </c>
      <c r="H358" s="30" t="s">
        <v>1413</v>
      </c>
      <c r="I358" t="s">
        <v>65</v>
      </c>
      <c r="J3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145</v>
      </c>
      <c r="L358" t="s">
        <v>146</v>
      </c>
      <c r="N358" s="29">
        <v>1</v>
      </c>
      <c r="P358" s="29">
        <v>1</v>
      </c>
      <c r="R358" s="29">
        <v>1</v>
      </c>
      <c r="S358" t="s">
        <v>70</v>
      </c>
      <c r="T358" t="s">
        <v>72</v>
      </c>
      <c r="U358" s="32">
        <v>30</v>
      </c>
      <c r="V358">
        <v>30</v>
      </c>
      <c r="W358" t="s">
        <v>79</v>
      </c>
      <c r="X358" t="s">
        <v>980</v>
      </c>
      <c r="Y358" t="s">
        <v>1414</v>
      </c>
      <c r="AA358" t="s">
        <v>75</v>
      </c>
      <c r="AC358" t="s">
        <v>83</v>
      </c>
      <c r="AE358" t="s">
        <v>75</v>
      </c>
      <c r="AF358" t="s">
        <v>84</v>
      </c>
      <c r="AG358" t="s">
        <v>84</v>
      </c>
      <c r="AH358" s="33">
        <f t="shared" si="16"/>
      </c>
      <c r="AI358" s="33">
        <f t="shared" si="17"/>
      </c>
    </row>
    <row r="359" ht="27.6" customHeight="1" spans="1:35" x14ac:dyDescent="0.25">
      <c r="A359" s="27" t="s">
        <v>1415</v>
      </c>
      <c r="B359">
        <f t="shared" si="15"/>
        <v>0</v>
      </c>
      <c r="C359" t="s">
        <v>64</v>
      </c>
      <c r="D359" s="27" t="s">
        <v>1416</v>
      </c>
      <c r="E359" t="s">
        <v>1417</v>
      </c>
      <c r="F359" s="28">
        <v>0</v>
      </c>
      <c r="G359" s="29">
        <v>1</v>
      </c>
      <c r="H359" s="30" t="s">
        <v>1418</v>
      </c>
      <c r="I359" t="s">
        <v>65</v>
      </c>
      <c r="J3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145</v>
      </c>
      <c r="L359" t="s">
        <v>146</v>
      </c>
      <c r="N359" s="29">
        <v>1</v>
      </c>
      <c r="P359" s="29">
        <v>1</v>
      </c>
      <c r="R359" s="29">
        <v>1</v>
      </c>
      <c r="S359" t="s">
        <v>70</v>
      </c>
      <c r="T359" t="s">
        <v>72</v>
      </c>
      <c r="U359" s="32">
        <v>30</v>
      </c>
      <c r="V359">
        <v>30</v>
      </c>
      <c r="W359" t="s">
        <v>79</v>
      </c>
      <c r="X359" t="s">
        <v>980</v>
      </c>
      <c r="Y359" t="s">
        <v>1417</v>
      </c>
      <c r="AA359" t="s">
        <v>75</v>
      </c>
      <c r="AC359" t="s">
        <v>83</v>
      </c>
      <c r="AE359" t="s">
        <v>75</v>
      </c>
      <c r="AF359" t="s">
        <v>84</v>
      </c>
      <c r="AG359" t="s">
        <v>84</v>
      </c>
      <c r="AH359" s="33">
        <f t="shared" si="16"/>
      </c>
      <c r="AI359" s="33">
        <f t="shared" si="17"/>
      </c>
    </row>
    <row r="360" ht="27.6" customHeight="1" spans="1:35" x14ac:dyDescent="0.25">
      <c r="A360" s="27" t="s">
        <v>1419</v>
      </c>
      <c r="B360">
        <f t="shared" si="15"/>
        <v>0</v>
      </c>
      <c r="C360" t="s">
        <v>64</v>
      </c>
      <c r="D360" s="27" t="s">
        <v>1420</v>
      </c>
      <c r="E360" t="s">
        <v>1421</v>
      </c>
      <c r="F360" s="28">
        <v>0</v>
      </c>
      <c r="G360" s="29">
        <v>1</v>
      </c>
      <c r="H360" s="30" t="s">
        <v>1422</v>
      </c>
      <c r="I360" t="s">
        <v>65</v>
      </c>
      <c r="J3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145</v>
      </c>
      <c r="L360" t="s">
        <v>146</v>
      </c>
      <c r="N360" s="29">
        <v>1</v>
      </c>
      <c r="P360" s="29">
        <v>1</v>
      </c>
      <c r="R360" s="29">
        <v>1</v>
      </c>
      <c r="S360" t="s">
        <v>70</v>
      </c>
      <c r="T360" t="s">
        <v>72</v>
      </c>
      <c r="U360" s="32">
        <v>30</v>
      </c>
      <c r="V360">
        <v>30</v>
      </c>
      <c r="W360" t="s">
        <v>79</v>
      </c>
      <c r="X360" t="s">
        <v>980</v>
      </c>
      <c r="Y360" t="s">
        <v>1423</v>
      </c>
      <c r="AA360" t="s">
        <v>75</v>
      </c>
      <c r="AC360" t="s">
        <v>83</v>
      </c>
      <c r="AE360" t="s">
        <v>75</v>
      </c>
      <c r="AF360" t="s">
        <v>84</v>
      </c>
      <c r="AG360" t="s">
        <v>84</v>
      </c>
      <c r="AH360" s="33">
        <f t="shared" si="16"/>
      </c>
      <c r="AI360" s="33">
        <f t="shared" si="17"/>
      </c>
    </row>
    <row r="361" ht="27.6" customHeight="1" spans="1:35" x14ac:dyDescent="0.25">
      <c r="A361" s="27" t="s">
        <v>1424</v>
      </c>
      <c r="B361">
        <f t="shared" si="15"/>
        <v>0</v>
      </c>
      <c r="C361" t="s">
        <v>64</v>
      </c>
      <c r="D361" s="27" t="s">
        <v>102</v>
      </c>
      <c r="E361" t="s">
        <v>1425</v>
      </c>
      <c r="F361" s="28">
        <v>0</v>
      </c>
      <c r="G361" s="29">
        <v>1</v>
      </c>
      <c r="H361" s="30" t="s">
        <v>1426</v>
      </c>
      <c r="I361" t="s">
        <v>65</v>
      </c>
      <c r="J3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145</v>
      </c>
      <c r="L361" t="s">
        <v>146</v>
      </c>
      <c r="N361" s="29">
        <v>1</v>
      </c>
      <c r="P361" s="29">
        <v>1</v>
      </c>
      <c r="R361" s="29">
        <v>1</v>
      </c>
      <c r="S361" t="s">
        <v>70</v>
      </c>
      <c r="T361" t="s">
        <v>72</v>
      </c>
      <c r="U361" s="32">
        <v>30</v>
      </c>
      <c r="V361">
        <v>30</v>
      </c>
      <c r="W361" t="s">
        <v>79</v>
      </c>
      <c r="X361" t="s">
        <v>980</v>
      </c>
      <c r="Y361" t="s">
        <v>1425</v>
      </c>
      <c r="AA361" t="s">
        <v>75</v>
      </c>
      <c r="AC361" t="s">
        <v>83</v>
      </c>
      <c r="AE361" t="s">
        <v>75</v>
      </c>
      <c r="AF361" t="s">
        <v>84</v>
      </c>
      <c r="AG361" t="s">
        <v>84</v>
      </c>
      <c r="AH361" s="33">
        <f t="shared" si="16"/>
      </c>
      <c r="AI361" s="33">
        <f t="shared" si="17"/>
      </c>
    </row>
    <row r="362" ht="27.6" customHeight="1" spans="1:35" x14ac:dyDescent="0.25">
      <c r="A362" s="27" t="s">
        <v>1427</v>
      </c>
      <c r="B362">
        <f t="shared" si="15"/>
        <v>0</v>
      </c>
      <c r="C362" t="s">
        <v>64</v>
      </c>
      <c r="D362" s="27" t="s">
        <v>102</v>
      </c>
      <c r="E362" t="s">
        <v>1425</v>
      </c>
      <c r="F362" s="28">
        <v>0</v>
      </c>
      <c r="G362" s="29">
        <v>1</v>
      </c>
      <c r="H362" s="30" t="s">
        <v>1428</v>
      </c>
      <c r="I362" t="s">
        <v>65</v>
      </c>
      <c r="J3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145</v>
      </c>
      <c r="L362" t="s">
        <v>146</v>
      </c>
      <c r="N362" s="29">
        <v>1</v>
      </c>
      <c r="P362" s="29">
        <v>1</v>
      </c>
      <c r="R362" s="29">
        <v>1</v>
      </c>
      <c r="S362" t="s">
        <v>70</v>
      </c>
      <c r="T362" t="s">
        <v>72</v>
      </c>
      <c r="U362" s="32">
        <v>30</v>
      </c>
      <c r="V362">
        <v>30</v>
      </c>
      <c r="W362" t="s">
        <v>79</v>
      </c>
      <c r="X362" t="s">
        <v>980</v>
      </c>
      <c r="Y362" t="s">
        <v>1425</v>
      </c>
      <c r="AA362" t="s">
        <v>75</v>
      </c>
      <c r="AC362" t="s">
        <v>83</v>
      </c>
      <c r="AE362" t="s">
        <v>75</v>
      </c>
      <c r="AF362" t="s">
        <v>84</v>
      </c>
      <c r="AG362" t="s">
        <v>84</v>
      </c>
      <c r="AH362" s="33">
        <f t="shared" si="16"/>
      </c>
      <c r="AI362" s="33">
        <f t="shared" si="17"/>
      </c>
    </row>
    <row r="363" ht="27.6" customHeight="1" spans="1:35" x14ac:dyDescent="0.25">
      <c r="A363" s="27" t="s">
        <v>1429</v>
      </c>
      <c r="B363">
        <f t="shared" si="15"/>
        <v>0</v>
      </c>
      <c r="C363" t="s">
        <v>64</v>
      </c>
      <c r="D363" s="27" t="s">
        <v>102</v>
      </c>
      <c r="E363" t="s">
        <v>1430</v>
      </c>
      <c r="F363" s="28">
        <v>0</v>
      </c>
      <c r="G363" s="29">
        <v>1</v>
      </c>
      <c r="H363" s="30" t="s">
        <v>1431</v>
      </c>
      <c r="I363" t="s">
        <v>65</v>
      </c>
      <c r="J3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145</v>
      </c>
      <c r="L363" t="s">
        <v>146</v>
      </c>
      <c r="N363" s="29">
        <v>1</v>
      </c>
      <c r="P363" s="29">
        <v>1</v>
      </c>
      <c r="R363" s="29">
        <v>1</v>
      </c>
      <c r="S363" t="s">
        <v>70</v>
      </c>
      <c r="T363" t="s">
        <v>72</v>
      </c>
      <c r="U363" s="32">
        <v>30</v>
      </c>
      <c r="V363">
        <v>30</v>
      </c>
      <c r="W363" t="s">
        <v>79</v>
      </c>
      <c r="X363" t="s">
        <v>572</v>
      </c>
      <c r="Y363" t="s">
        <v>1430</v>
      </c>
      <c r="AA363" t="s">
        <v>75</v>
      </c>
      <c r="AC363" t="s">
        <v>83</v>
      </c>
      <c r="AE363" t="s">
        <v>75</v>
      </c>
      <c r="AF363" t="s">
        <v>84</v>
      </c>
      <c r="AG363" t="s">
        <v>84</v>
      </c>
      <c r="AH363" s="33">
        <f t="shared" si="16"/>
      </c>
      <c r="AI363" s="33">
        <f t="shared" si="17"/>
      </c>
    </row>
    <row r="364" ht="27.6" customHeight="1" spans="1:35" x14ac:dyDescent="0.25">
      <c r="A364" s="27" t="s">
        <v>1432</v>
      </c>
      <c r="B364">
        <f t="shared" si="15"/>
        <v>0</v>
      </c>
      <c r="C364" t="s">
        <v>64</v>
      </c>
      <c r="D364" s="27" t="s">
        <v>102</v>
      </c>
      <c r="E364" t="s">
        <v>1433</v>
      </c>
      <c r="F364" s="28">
        <v>0</v>
      </c>
      <c r="G364" s="29">
        <v>1</v>
      </c>
      <c r="H364" s="30" t="s">
        <v>1434</v>
      </c>
      <c r="I364" t="s">
        <v>65</v>
      </c>
      <c r="J3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145</v>
      </c>
      <c r="L364" t="s">
        <v>146</v>
      </c>
      <c r="N364" s="29">
        <v>1</v>
      </c>
      <c r="P364" s="29">
        <v>1</v>
      </c>
      <c r="R364" s="29">
        <v>1</v>
      </c>
      <c r="S364" t="s">
        <v>70</v>
      </c>
      <c r="T364" t="s">
        <v>72</v>
      </c>
      <c r="U364" s="32">
        <v>30</v>
      </c>
      <c r="V364">
        <v>30</v>
      </c>
      <c r="W364" t="s">
        <v>79</v>
      </c>
      <c r="X364" t="s">
        <v>980</v>
      </c>
      <c r="Y364" t="s">
        <v>1433</v>
      </c>
      <c r="AA364" t="s">
        <v>75</v>
      </c>
      <c r="AC364" t="s">
        <v>83</v>
      </c>
      <c r="AE364" t="s">
        <v>75</v>
      </c>
      <c r="AF364" t="s">
        <v>84</v>
      </c>
      <c r="AG364" t="s">
        <v>84</v>
      </c>
      <c r="AH364" s="33">
        <f t="shared" si="16"/>
      </c>
      <c r="AI364" s="33">
        <f t="shared" si="17"/>
      </c>
    </row>
    <row r="365" ht="27.6" customHeight="1" spans="1:35" x14ac:dyDescent="0.25">
      <c r="A365" s="27" t="s">
        <v>1435</v>
      </c>
      <c r="B365">
        <f t="shared" si="15"/>
        <v>0</v>
      </c>
      <c r="C365" t="s">
        <v>64</v>
      </c>
      <c r="D365" s="27" t="s">
        <v>102</v>
      </c>
      <c r="E365" t="s">
        <v>1436</v>
      </c>
      <c r="F365" s="28">
        <v>0</v>
      </c>
      <c r="G365" s="29">
        <v>1</v>
      </c>
      <c r="H365" s="30" t="s">
        <v>1437</v>
      </c>
      <c r="I365" t="s">
        <v>65</v>
      </c>
      <c r="J3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145</v>
      </c>
      <c r="L365" t="s">
        <v>146</v>
      </c>
      <c r="N365" s="29">
        <v>1</v>
      </c>
      <c r="P365" s="29">
        <v>1</v>
      </c>
      <c r="R365" s="29">
        <v>1</v>
      </c>
      <c r="S365" t="s">
        <v>70</v>
      </c>
      <c r="T365" t="s">
        <v>72</v>
      </c>
      <c r="U365" s="32">
        <v>30</v>
      </c>
      <c r="V365">
        <v>30</v>
      </c>
      <c r="W365" t="s">
        <v>79</v>
      </c>
      <c r="X365" t="s">
        <v>980</v>
      </c>
      <c r="Y365" t="s">
        <v>1436</v>
      </c>
      <c r="AA365" t="s">
        <v>75</v>
      </c>
      <c r="AC365" t="s">
        <v>83</v>
      </c>
      <c r="AE365" t="s">
        <v>75</v>
      </c>
      <c r="AF365" t="s">
        <v>84</v>
      </c>
      <c r="AG365" t="s">
        <v>84</v>
      </c>
      <c r="AH365" s="33">
        <f t="shared" si="16"/>
      </c>
      <c r="AI365" s="33">
        <f t="shared" si="17"/>
      </c>
    </row>
    <row r="366" ht="27.6" customHeight="1" spans="1:35" x14ac:dyDescent="0.25">
      <c r="A366" s="27" t="s">
        <v>1438</v>
      </c>
      <c r="B366">
        <f t="shared" si="15"/>
        <v>0</v>
      </c>
      <c r="C366" t="s">
        <v>64</v>
      </c>
      <c r="D366" s="27" t="s">
        <v>102</v>
      </c>
      <c r="E366" t="s">
        <v>1439</v>
      </c>
      <c r="F366" s="28">
        <v>0</v>
      </c>
      <c r="G366" s="29">
        <v>1</v>
      </c>
      <c r="H366" s="30" t="s">
        <v>1440</v>
      </c>
      <c r="I366" t="s">
        <v>65</v>
      </c>
      <c r="J3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145</v>
      </c>
      <c r="L366" t="s">
        <v>146</v>
      </c>
      <c r="N366" s="29">
        <v>1</v>
      </c>
      <c r="P366" s="29">
        <v>1</v>
      </c>
      <c r="R366" s="29">
        <v>1</v>
      </c>
      <c r="S366" t="s">
        <v>70</v>
      </c>
      <c r="T366" t="s">
        <v>72</v>
      </c>
      <c r="U366" s="32">
        <v>30</v>
      </c>
      <c r="V366">
        <v>30</v>
      </c>
      <c r="W366" t="s">
        <v>79</v>
      </c>
      <c r="X366" t="s">
        <v>980</v>
      </c>
      <c r="Y366" t="s">
        <v>1441</v>
      </c>
      <c r="AA366" t="s">
        <v>75</v>
      </c>
      <c r="AC366" t="s">
        <v>83</v>
      </c>
      <c r="AE366" t="s">
        <v>75</v>
      </c>
      <c r="AF366" t="s">
        <v>84</v>
      </c>
      <c r="AG366" t="s">
        <v>84</v>
      </c>
      <c r="AH366" s="33">
        <f t="shared" si="16"/>
      </c>
      <c r="AI366" s="33">
        <f t="shared" si="17"/>
      </c>
    </row>
    <row r="367" ht="27.6" customHeight="1" spans="1:35" x14ac:dyDescent="0.25">
      <c r="A367" s="27" t="s">
        <v>1438</v>
      </c>
      <c r="B367">
        <f t="shared" si="15"/>
        <v>0</v>
      </c>
      <c r="C367" t="s">
        <v>64</v>
      </c>
      <c r="D367" s="27" t="s">
        <v>102</v>
      </c>
      <c r="E367" t="s">
        <v>1439</v>
      </c>
      <c r="F367" s="28">
        <v>0</v>
      </c>
      <c r="G367" s="29">
        <v>1</v>
      </c>
      <c r="H367" s="30" t="s">
        <v>1442</v>
      </c>
      <c r="I367" t="s">
        <v>65</v>
      </c>
      <c r="J3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145</v>
      </c>
      <c r="L367" t="s">
        <v>146</v>
      </c>
      <c r="N367" s="29">
        <v>1</v>
      </c>
      <c r="P367" s="29">
        <v>1</v>
      </c>
      <c r="R367" s="29">
        <v>1</v>
      </c>
      <c r="S367" t="s">
        <v>70</v>
      </c>
      <c r="T367" t="s">
        <v>72</v>
      </c>
      <c r="U367" s="32">
        <v>30</v>
      </c>
      <c r="V367">
        <v>30</v>
      </c>
      <c r="W367" t="s">
        <v>79</v>
      </c>
      <c r="X367" t="s">
        <v>980</v>
      </c>
      <c r="Y367" t="s">
        <v>1441</v>
      </c>
      <c r="AA367" t="s">
        <v>75</v>
      </c>
      <c r="AC367" t="s">
        <v>83</v>
      </c>
      <c r="AE367" t="s">
        <v>75</v>
      </c>
      <c r="AF367" t="s">
        <v>84</v>
      </c>
      <c r="AG367" t="s">
        <v>84</v>
      </c>
      <c r="AH367" s="33">
        <f t="shared" si="16"/>
      </c>
      <c r="AI367" s="33">
        <f t="shared" si="17"/>
      </c>
    </row>
    <row r="368" ht="27.6" customHeight="1" spans="1:35" x14ac:dyDescent="0.25">
      <c r="A368" s="27" t="s">
        <v>1443</v>
      </c>
      <c r="B368">
        <f t="shared" si="15"/>
        <v>0</v>
      </c>
      <c r="C368" t="s">
        <v>64</v>
      </c>
      <c r="D368" s="27" t="s">
        <v>102</v>
      </c>
      <c r="E368" t="s">
        <v>1444</v>
      </c>
      <c r="F368" s="28">
        <v>0</v>
      </c>
      <c r="G368" s="29">
        <v>1</v>
      </c>
      <c r="H368" s="30" t="s">
        <v>1445</v>
      </c>
      <c r="I368" t="s">
        <v>65</v>
      </c>
      <c r="J3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145</v>
      </c>
      <c r="L368" t="s">
        <v>146</v>
      </c>
      <c r="N368" s="29">
        <v>1</v>
      </c>
      <c r="P368" s="29">
        <v>1</v>
      </c>
      <c r="R368" s="29">
        <v>1</v>
      </c>
      <c r="S368" t="s">
        <v>70</v>
      </c>
      <c r="T368" t="s">
        <v>72</v>
      </c>
      <c r="U368" s="32">
        <v>30</v>
      </c>
      <c r="V368">
        <v>30</v>
      </c>
      <c r="W368" t="s">
        <v>79</v>
      </c>
      <c r="X368" t="s">
        <v>980</v>
      </c>
      <c r="Y368" t="s">
        <v>1446</v>
      </c>
      <c r="AA368" t="s">
        <v>75</v>
      </c>
      <c r="AC368" t="s">
        <v>83</v>
      </c>
      <c r="AE368" t="s">
        <v>75</v>
      </c>
      <c r="AF368" t="s">
        <v>84</v>
      </c>
      <c r="AG368" t="s">
        <v>84</v>
      </c>
      <c r="AH368" s="33">
        <f t="shared" si="16"/>
      </c>
      <c r="AI368" s="33">
        <f t="shared" si="17"/>
      </c>
    </row>
    <row r="369" ht="27.6" customHeight="1" spans="1:35" x14ac:dyDescent="0.25">
      <c r="A369" s="27" t="s">
        <v>1447</v>
      </c>
      <c r="B369">
        <f t="shared" si="15"/>
        <v>0</v>
      </c>
      <c r="C369" t="s">
        <v>64</v>
      </c>
      <c r="D369" s="27" t="s">
        <v>102</v>
      </c>
      <c r="E369" t="s">
        <v>1448</v>
      </c>
      <c r="F369" s="28">
        <v>0</v>
      </c>
      <c r="G369" s="29">
        <v>1</v>
      </c>
      <c r="H369" s="30" t="s">
        <v>1449</v>
      </c>
      <c r="I369" t="s">
        <v>65</v>
      </c>
      <c r="J3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145</v>
      </c>
      <c r="L369" t="s">
        <v>146</v>
      </c>
      <c r="N369" s="29">
        <v>1</v>
      </c>
      <c r="P369" s="29">
        <v>1</v>
      </c>
      <c r="R369" s="29">
        <v>1</v>
      </c>
      <c r="S369" t="s">
        <v>70</v>
      </c>
      <c r="T369" t="s">
        <v>72</v>
      </c>
      <c r="U369" s="32">
        <v>30</v>
      </c>
      <c r="V369">
        <v>30</v>
      </c>
      <c r="W369" t="s">
        <v>79</v>
      </c>
      <c r="X369" t="s">
        <v>980</v>
      </c>
      <c r="Y369" t="s">
        <v>1450</v>
      </c>
      <c r="AA369" t="s">
        <v>75</v>
      </c>
      <c r="AC369" t="s">
        <v>83</v>
      </c>
      <c r="AE369" t="s">
        <v>75</v>
      </c>
      <c r="AF369" t="s">
        <v>84</v>
      </c>
      <c r="AG369" t="s">
        <v>84</v>
      </c>
      <c r="AH369" s="33">
        <f t="shared" si="16"/>
      </c>
      <c r="AI369" s="33">
        <f t="shared" si="17"/>
      </c>
    </row>
    <row r="370" ht="27.6" customHeight="1" spans="1:35" x14ac:dyDescent="0.25">
      <c r="A370" s="27" t="s">
        <v>1451</v>
      </c>
      <c r="B370">
        <f t="shared" si="15"/>
        <v>0</v>
      </c>
      <c r="C370" t="s">
        <v>64</v>
      </c>
      <c r="D370" s="27" t="s">
        <v>1452</v>
      </c>
      <c r="E370" t="s">
        <v>1453</v>
      </c>
      <c r="F370" s="28">
        <v>0</v>
      </c>
      <c r="G370" s="29">
        <v>1</v>
      </c>
      <c r="H370" s="30" t="s">
        <v>1454</v>
      </c>
      <c r="I370" t="s">
        <v>65</v>
      </c>
      <c r="J3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145</v>
      </c>
      <c r="L370" t="s">
        <v>146</v>
      </c>
      <c r="N370" s="29">
        <v>1</v>
      </c>
      <c r="P370" s="29">
        <v>1</v>
      </c>
      <c r="R370" s="29">
        <v>1</v>
      </c>
      <c r="S370" t="s">
        <v>70</v>
      </c>
      <c r="T370" t="s">
        <v>72</v>
      </c>
      <c r="U370" s="32">
        <v>30</v>
      </c>
      <c r="V370">
        <v>30</v>
      </c>
      <c r="W370" t="s">
        <v>79</v>
      </c>
      <c r="X370" t="s">
        <v>980</v>
      </c>
      <c r="Y370" t="s">
        <v>1453</v>
      </c>
      <c r="AA370" t="s">
        <v>75</v>
      </c>
      <c r="AC370" t="s">
        <v>83</v>
      </c>
      <c r="AE370" t="s">
        <v>75</v>
      </c>
      <c r="AF370" t="s">
        <v>84</v>
      </c>
      <c r="AG370" t="s">
        <v>84</v>
      </c>
      <c r="AH370" s="33">
        <f t="shared" si="16"/>
      </c>
      <c r="AI370" s="33">
        <f t="shared" si="17"/>
      </c>
    </row>
    <row r="371" ht="27.6" customHeight="1" spans="1:35" x14ac:dyDescent="0.25">
      <c r="A371" s="27" t="s">
        <v>1455</v>
      </c>
      <c r="B371">
        <f t="shared" si="15"/>
        <v>0</v>
      </c>
      <c r="C371" t="s">
        <v>64</v>
      </c>
      <c r="D371" s="27" t="s">
        <v>102</v>
      </c>
      <c r="E371" t="s">
        <v>1456</v>
      </c>
      <c r="F371" s="28">
        <v>0</v>
      </c>
      <c r="G371" s="29">
        <v>1</v>
      </c>
      <c r="H371" s="30" t="s">
        <v>1457</v>
      </c>
      <c r="I371" t="s">
        <v>65</v>
      </c>
      <c r="J3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145</v>
      </c>
      <c r="L371" t="s">
        <v>146</v>
      </c>
      <c r="N371" s="29">
        <v>1</v>
      </c>
      <c r="P371" s="29">
        <v>1</v>
      </c>
      <c r="R371" s="29">
        <v>1</v>
      </c>
      <c r="S371" t="s">
        <v>70</v>
      </c>
      <c r="T371" t="s">
        <v>72</v>
      </c>
      <c r="U371" s="32">
        <v>30</v>
      </c>
      <c r="V371">
        <v>30</v>
      </c>
      <c r="W371" t="s">
        <v>79</v>
      </c>
      <c r="X371" t="s">
        <v>980</v>
      </c>
      <c r="Y371" t="s">
        <v>1456</v>
      </c>
      <c r="AA371" t="s">
        <v>75</v>
      </c>
      <c r="AC371" t="s">
        <v>83</v>
      </c>
      <c r="AE371" t="s">
        <v>75</v>
      </c>
      <c r="AF371" t="s">
        <v>84</v>
      </c>
      <c r="AG371" t="s">
        <v>84</v>
      </c>
      <c r="AH371" s="33">
        <f t="shared" si="16"/>
      </c>
      <c r="AI371" s="33">
        <f t="shared" si="17"/>
      </c>
    </row>
    <row r="372" ht="27.6" customHeight="1" spans="1:35" x14ac:dyDescent="0.25">
      <c r="A372" s="27" t="s">
        <v>1458</v>
      </c>
      <c r="B372">
        <f t="shared" si="15"/>
        <v>0</v>
      </c>
      <c r="C372" t="s">
        <v>64</v>
      </c>
      <c r="D372" s="27" t="s">
        <v>102</v>
      </c>
      <c r="E372" t="s">
        <v>1456</v>
      </c>
      <c r="F372" s="28">
        <v>0</v>
      </c>
      <c r="G372" s="29">
        <v>1</v>
      </c>
      <c r="H372" s="30" t="s">
        <v>1459</v>
      </c>
      <c r="I372" t="s">
        <v>65</v>
      </c>
      <c r="J3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145</v>
      </c>
      <c r="L372" t="s">
        <v>146</v>
      </c>
      <c r="N372" s="29">
        <v>1</v>
      </c>
      <c r="P372" s="29">
        <v>1</v>
      </c>
      <c r="R372" s="29">
        <v>1</v>
      </c>
      <c r="S372" t="s">
        <v>70</v>
      </c>
      <c r="T372" t="s">
        <v>72</v>
      </c>
      <c r="U372" s="32">
        <v>30</v>
      </c>
      <c r="V372">
        <v>30</v>
      </c>
      <c r="W372" t="s">
        <v>79</v>
      </c>
      <c r="X372" t="s">
        <v>980</v>
      </c>
      <c r="Y372" t="s">
        <v>1456</v>
      </c>
      <c r="AA372" t="s">
        <v>75</v>
      </c>
      <c r="AC372" t="s">
        <v>83</v>
      </c>
      <c r="AE372" t="s">
        <v>75</v>
      </c>
      <c r="AF372" t="s">
        <v>84</v>
      </c>
      <c r="AG372" t="s">
        <v>84</v>
      </c>
      <c r="AH372" s="33">
        <f t="shared" si="16"/>
      </c>
      <c r="AI372" s="33">
        <f t="shared" si="17"/>
      </c>
    </row>
    <row r="373" ht="27.6" customHeight="1" spans="1:35" x14ac:dyDescent="0.25">
      <c r="A373" s="27" t="s">
        <v>1460</v>
      </c>
      <c r="B373">
        <f t="shared" si="15"/>
        <v>0</v>
      </c>
      <c r="C373" t="s">
        <v>64</v>
      </c>
      <c r="D373" s="27" t="s">
        <v>102</v>
      </c>
      <c r="E373" t="s">
        <v>1461</v>
      </c>
      <c r="F373" s="28">
        <v>0</v>
      </c>
      <c r="G373" s="29">
        <v>1</v>
      </c>
      <c r="H373" s="30" t="s">
        <v>1462</v>
      </c>
      <c r="I373" t="s">
        <v>65</v>
      </c>
      <c r="J3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145</v>
      </c>
      <c r="L373" t="s">
        <v>146</v>
      </c>
      <c r="N373" s="29">
        <v>1</v>
      </c>
      <c r="P373" s="29">
        <v>1</v>
      </c>
      <c r="R373" s="29">
        <v>1</v>
      </c>
      <c r="S373" t="s">
        <v>70</v>
      </c>
      <c r="T373" t="s">
        <v>72</v>
      </c>
      <c r="U373" s="32">
        <v>30</v>
      </c>
      <c r="V373">
        <v>30</v>
      </c>
      <c r="W373" t="s">
        <v>79</v>
      </c>
      <c r="X373" t="s">
        <v>980</v>
      </c>
      <c r="Y373" t="s">
        <v>1463</v>
      </c>
      <c r="AA373" t="s">
        <v>75</v>
      </c>
      <c r="AC373" t="s">
        <v>83</v>
      </c>
      <c r="AE373" t="s">
        <v>75</v>
      </c>
      <c r="AF373" t="s">
        <v>84</v>
      </c>
      <c r="AG373" t="s">
        <v>84</v>
      </c>
      <c r="AH373" s="33">
        <f t="shared" si="16"/>
      </c>
      <c r="AI373" s="33">
        <f t="shared" si="17"/>
      </c>
    </row>
    <row r="374" ht="27.6" customHeight="1" spans="1:35" x14ac:dyDescent="0.25">
      <c r="A374" s="27" t="s">
        <v>1464</v>
      </c>
      <c r="B374">
        <f t="shared" si="15"/>
        <v>0</v>
      </c>
      <c r="C374" t="s">
        <v>64</v>
      </c>
      <c r="D374" s="27" t="s">
        <v>102</v>
      </c>
      <c r="E374" t="s">
        <v>1465</v>
      </c>
      <c r="F374" s="28">
        <v>0</v>
      </c>
      <c r="G374" s="29">
        <v>1</v>
      </c>
      <c r="H374" s="30" t="s">
        <v>1466</v>
      </c>
      <c r="I374" t="s">
        <v>65</v>
      </c>
      <c r="J3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145</v>
      </c>
      <c r="L374" t="s">
        <v>146</v>
      </c>
      <c r="N374" s="29">
        <v>1</v>
      </c>
      <c r="P374" s="29">
        <v>1</v>
      </c>
      <c r="R374" s="29">
        <v>1</v>
      </c>
      <c r="S374" t="s">
        <v>70</v>
      </c>
      <c r="T374" t="s">
        <v>72</v>
      </c>
      <c r="U374" s="32">
        <v>30</v>
      </c>
      <c r="V374">
        <v>30</v>
      </c>
      <c r="W374" t="s">
        <v>79</v>
      </c>
      <c r="X374" t="s">
        <v>980</v>
      </c>
      <c r="Y374" t="s">
        <v>1465</v>
      </c>
      <c r="AA374" t="s">
        <v>75</v>
      </c>
      <c r="AC374" t="s">
        <v>83</v>
      </c>
      <c r="AE374" t="s">
        <v>75</v>
      </c>
      <c r="AF374" t="s">
        <v>84</v>
      </c>
      <c r="AG374" t="s">
        <v>84</v>
      </c>
      <c r="AH374" s="33">
        <f t="shared" si="16"/>
      </c>
      <c r="AI374" s="33">
        <f t="shared" si="17"/>
      </c>
    </row>
    <row r="375" ht="27.6" customHeight="1" spans="1:35" x14ac:dyDescent="0.25">
      <c r="A375" s="27" t="s">
        <v>1467</v>
      </c>
      <c r="B375">
        <f t="shared" si="15"/>
        <v>0</v>
      </c>
      <c r="C375" t="s">
        <v>64</v>
      </c>
      <c r="D375" s="27" t="s">
        <v>102</v>
      </c>
      <c r="E375" t="s">
        <v>1468</v>
      </c>
      <c r="F375" s="28">
        <v>0</v>
      </c>
      <c r="G375" s="29">
        <v>1</v>
      </c>
      <c r="H375" s="30" t="s">
        <v>1469</v>
      </c>
      <c r="I375" t="s">
        <v>65</v>
      </c>
      <c r="J3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145</v>
      </c>
      <c r="L375" t="s">
        <v>146</v>
      </c>
      <c r="N375" s="29">
        <v>1</v>
      </c>
      <c r="P375" s="29">
        <v>1</v>
      </c>
      <c r="R375" s="29">
        <v>1</v>
      </c>
      <c r="S375" t="s">
        <v>70</v>
      </c>
      <c r="T375" t="s">
        <v>72</v>
      </c>
      <c r="U375" s="32">
        <v>30</v>
      </c>
      <c r="V375">
        <v>30</v>
      </c>
      <c r="W375" t="s">
        <v>79</v>
      </c>
      <c r="X375" t="s">
        <v>980</v>
      </c>
      <c r="Y375" t="s">
        <v>1468</v>
      </c>
      <c r="AA375" t="s">
        <v>75</v>
      </c>
      <c r="AC375" t="s">
        <v>83</v>
      </c>
      <c r="AE375" t="s">
        <v>75</v>
      </c>
      <c r="AF375" t="s">
        <v>84</v>
      </c>
      <c r="AG375" t="s">
        <v>84</v>
      </c>
      <c r="AH375" s="33">
        <f t="shared" si="16"/>
      </c>
      <c r="AI375" s="33">
        <f t="shared" si="17"/>
      </c>
    </row>
    <row r="376" ht="27.6" customHeight="1" spans="1:35" x14ac:dyDescent="0.25">
      <c r="A376" s="27" t="s">
        <v>587</v>
      </c>
      <c r="B376">
        <f t="shared" si="15"/>
        <v>0</v>
      </c>
      <c r="C376" t="s">
        <v>64</v>
      </c>
      <c r="D376" s="27" t="s">
        <v>102</v>
      </c>
      <c r="E376" t="s">
        <v>1470</v>
      </c>
      <c r="F376" s="28">
        <v>0</v>
      </c>
      <c r="G376" s="29">
        <v>1</v>
      </c>
      <c r="H376" s="30" t="s">
        <v>1471</v>
      </c>
      <c r="I376" t="s">
        <v>65</v>
      </c>
      <c r="J3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145</v>
      </c>
      <c r="L376" t="s">
        <v>146</v>
      </c>
      <c r="N376" s="29">
        <v>1</v>
      </c>
      <c r="P376" s="29">
        <v>1</v>
      </c>
      <c r="R376" s="29">
        <v>1</v>
      </c>
      <c r="S376" t="s">
        <v>70</v>
      </c>
      <c r="T376" t="s">
        <v>72</v>
      </c>
      <c r="U376" s="32">
        <v>30</v>
      </c>
      <c r="V376">
        <v>30</v>
      </c>
      <c r="W376" t="s">
        <v>79</v>
      </c>
      <c r="X376" t="s">
        <v>980</v>
      </c>
      <c r="Y376" t="s">
        <v>1472</v>
      </c>
      <c r="AA376" t="s">
        <v>75</v>
      </c>
      <c r="AC376" t="s">
        <v>83</v>
      </c>
      <c r="AE376" t="s">
        <v>75</v>
      </c>
      <c r="AF376" t="s">
        <v>84</v>
      </c>
      <c r="AG376" t="s">
        <v>84</v>
      </c>
      <c r="AH376" s="33">
        <f t="shared" si="16"/>
      </c>
      <c r="AI376" s="33">
        <f t="shared" si="17"/>
      </c>
    </row>
    <row r="377" ht="27.6" customHeight="1" spans="1:35" x14ac:dyDescent="0.25">
      <c r="A377" s="27" t="s">
        <v>689</v>
      </c>
      <c r="B377">
        <f t="shared" si="15"/>
        <v>0</v>
      </c>
      <c r="C377" t="s">
        <v>64</v>
      </c>
      <c r="D377" s="27" t="s">
        <v>102</v>
      </c>
      <c r="E377" t="s">
        <v>1470</v>
      </c>
      <c r="F377" s="28">
        <v>0</v>
      </c>
      <c r="G377" s="29">
        <v>1</v>
      </c>
      <c r="H377" s="30" t="s">
        <v>1473</v>
      </c>
      <c r="I377" t="s">
        <v>65</v>
      </c>
      <c r="J3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145</v>
      </c>
      <c r="L377" t="s">
        <v>146</v>
      </c>
      <c r="N377" s="29">
        <v>1</v>
      </c>
      <c r="P377" s="29">
        <v>1</v>
      </c>
      <c r="R377" s="29">
        <v>1</v>
      </c>
      <c r="S377" t="s">
        <v>70</v>
      </c>
      <c r="T377" t="s">
        <v>72</v>
      </c>
      <c r="U377" s="32">
        <v>30</v>
      </c>
      <c r="V377">
        <v>30</v>
      </c>
      <c r="W377" t="s">
        <v>79</v>
      </c>
      <c r="X377" t="s">
        <v>980</v>
      </c>
      <c r="Y377" t="s">
        <v>1472</v>
      </c>
      <c r="AA377" t="s">
        <v>75</v>
      </c>
      <c r="AC377" t="s">
        <v>83</v>
      </c>
      <c r="AE377" t="s">
        <v>75</v>
      </c>
      <c r="AF377" t="s">
        <v>84</v>
      </c>
      <c r="AG377" t="s">
        <v>84</v>
      </c>
      <c r="AH377" s="33">
        <f t="shared" si="16"/>
      </c>
      <c r="AI377" s="33">
        <f t="shared" si="17"/>
      </c>
    </row>
    <row r="378" ht="27.6" customHeight="1" spans="1:35" x14ac:dyDescent="0.25">
      <c r="A378" s="27" t="s">
        <v>1474</v>
      </c>
      <c r="B378">
        <f t="shared" si="15"/>
        <v>0</v>
      </c>
      <c r="C378" t="s">
        <v>64</v>
      </c>
      <c r="D378" s="27" t="s">
        <v>102</v>
      </c>
      <c r="E378" t="s">
        <v>1475</v>
      </c>
      <c r="F378" s="28">
        <v>0</v>
      </c>
      <c r="G378" s="29">
        <v>1</v>
      </c>
      <c r="H378" s="30" t="s">
        <v>1476</v>
      </c>
      <c r="I378" t="s">
        <v>65</v>
      </c>
      <c r="J3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145</v>
      </c>
      <c r="L378" t="s">
        <v>146</v>
      </c>
      <c r="N378" s="29">
        <v>1</v>
      </c>
      <c r="P378" s="29">
        <v>1</v>
      </c>
      <c r="R378" s="29">
        <v>1</v>
      </c>
      <c r="S378" t="s">
        <v>70</v>
      </c>
      <c r="T378" t="s">
        <v>72</v>
      </c>
      <c r="U378" s="32">
        <v>30</v>
      </c>
      <c r="V378">
        <v>30</v>
      </c>
      <c r="W378" t="s">
        <v>79</v>
      </c>
      <c r="X378" t="s">
        <v>980</v>
      </c>
      <c r="Y378" t="s">
        <v>1475</v>
      </c>
      <c r="AA378" t="s">
        <v>75</v>
      </c>
      <c r="AC378" t="s">
        <v>83</v>
      </c>
      <c r="AE378" t="s">
        <v>75</v>
      </c>
      <c r="AF378" t="s">
        <v>84</v>
      </c>
      <c r="AG378" t="s">
        <v>84</v>
      </c>
      <c r="AH378" s="33">
        <f t="shared" si="16"/>
      </c>
      <c r="AI378" s="33">
        <f t="shared" si="17"/>
      </c>
    </row>
    <row r="379" ht="27.6" customHeight="1" spans="1:35" x14ac:dyDescent="0.25">
      <c r="A379" s="27" t="s">
        <v>1477</v>
      </c>
      <c r="B379">
        <f t="shared" si="15"/>
        <v>0</v>
      </c>
      <c r="C379" t="s">
        <v>64</v>
      </c>
      <c r="D379" s="27" t="s">
        <v>1478</v>
      </c>
      <c r="E379" t="s">
        <v>1479</v>
      </c>
      <c r="F379" s="28">
        <v>0</v>
      </c>
      <c r="G379" s="29">
        <v>1</v>
      </c>
      <c r="H379" s="30" t="s">
        <v>1480</v>
      </c>
      <c r="I379" t="s">
        <v>65</v>
      </c>
      <c r="J3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145</v>
      </c>
      <c r="L379" t="s">
        <v>146</v>
      </c>
      <c r="N379" s="29">
        <v>1</v>
      </c>
      <c r="P379" s="29">
        <v>1</v>
      </c>
      <c r="R379" s="29">
        <v>1</v>
      </c>
      <c r="S379" t="s">
        <v>70</v>
      </c>
      <c r="T379" t="s">
        <v>72</v>
      </c>
      <c r="U379" s="32">
        <v>30</v>
      </c>
      <c r="V379">
        <v>30</v>
      </c>
      <c r="W379" t="s">
        <v>79</v>
      </c>
      <c r="X379" t="s">
        <v>980</v>
      </c>
      <c r="Y379" t="s">
        <v>310</v>
      </c>
      <c r="AA379" t="s">
        <v>75</v>
      </c>
      <c r="AC379" t="s">
        <v>83</v>
      </c>
      <c r="AE379" t="s">
        <v>75</v>
      </c>
      <c r="AF379" t="s">
        <v>84</v>
      </c>
      <c r="AG379" t="s">
        <v>84</v>
      </c>
      <c r="AH379" s="33">
        <f t="shared" si="16"/>
      </c>
      <c r="AI379" s="33">
        <f t="shared" si="17"/>
      </c>
    </row>
    <row r="380" ht="27.6" customHeight="1" spans="1:35" x14ac:dyDescent="0.25">
      <c r="A380" s="27" t="s">
        <v>1481</v>
      </c>
      <c r="B380">
        <f t="shared" si="15"/>
        <v>0</v>
      </c>
      <c r="C380" t="s">
        <v>64</v>
      </c>
      <c r="D380" s="27" t="s">
        <v>1482</v>
      </c>
      <c r="E380" t="s">
        <v>1483</v>
      </c>
      <c r="F380" s="28">
        <v>0</v>
      </c>
      <c r="G380" s="29">
        <v>1</v>
      </c>
      <c r="H380" s="30" t="s">
        <v>1484</v>
      </c>
      <c r="I380" t="s">
        <v>65</v>
      </c>
      <c r="J3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145</v>
      </c>
      <c r="L380" t="s">
        <v>146</v>
      </c>
      <c r="N380" s="29">
        <v>1</v>
      </c>
      <c r="P380" s="29">
        <v>1</v>
      </c>
      <c r="R380" s="29">
        <v>1</v>
      </c>
      <c r="S380" t="s">
        <v>70</v>
      </c>
      <c r="T380" t="s">
        <v>72</v>
      </c>
      <c r="U380" s="32">
        <v>30</v>
      </c>
      <c r="V380">
        <v>30</v>
      </c>
      <c r="W380" t="s">
        <v>79</v>
      </c>
      <c r="X380" t="s">
        <v>980</v>
      </c>
      <c r="Y380" t="s">
        <v>310</v>
      </c>
      <c r="AA380" t="s">
        <v>75</v>
      </c>
      <c r="AC380" t="s">
        <v>83</v>
      </c>
      <c r="AE380" t="s">
        <v>75</v>
      </c>
      <c r="AF380" t="s">
        <v>84</v>
      </c>
      <c r="AG380" t="s">
        <v>84</v>
      </c>
      <c r="AH380" s="33">
        <f t="shared" si="16"/>
      </c>
      <c r="AI380" s="33">
        <f t="shared" si="17"/>
      </c>
    </row>
    <row r="381" ht="27.6" customHeight="1" spans="1:35" x14ac:dyDescent="0.25">
      <c r="A381" s="27" t="s">
        <v>869</v>
      </c>
      <c r="B381">
        <f t="shared" si="15"/>
        <v>0</v>
      </c>
      <c r="C381" t="s">
        <v>64</v>
      </c>
      <c r="D381" s="27" t="s">
        <v>1485</v>
      </c>
      <c r="E381" t="s">
        <v>1486</v>
      </c>
      <c r="F381" s="28">
        <v>0</v>
      </c>
      <c r="G381" s="29">
        <v>1</v>
      </c>
      <c r="H381" s="30" t="s">
        <v>1487</v>
      </c>
      <c r="I381" t="s">
        <v>65</v>
      </c>
      <c r="J3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145</v>
      </c>
      <c r="L381" t="s">
        <v>146</v>
      </c>
      <c r="N381" s="29">
        <v>1</v>
      </c>
      <c r="P381" s="29">
        <v>1</v>
      </c>
      <c r="R381" s="29">
        <v>1</v>
      </c>
      <c r="S381" t="s">
        <v>70</v>
      </c>
      <c r="T381" t="s">
        <v>72</v>
      </c>
      <c r="U381" s="32">
        <v>30</v>
      </c>
      <c r="V381">
        <v>30</v>
      </c>
      <c r="W381" t="s">
        <v>79</v>
      </c>
      <c r="X381" t="s">
        <v>980</v>
      </c>
      <c r="Y381" t="s">
        <v>1488</v>
      </c>
      <c r="AA381" t="s">
        <v>75</v>
      </c>
      <c r="AC381" t="s">
        <v>83</v>
      </c>
      <c r="AE381" t="s">
        <v>75</v>
      </c>
      <c r="AF381" t="s">
        <v>84</v>
      </c>
      <c r="AG381" t="s">
        <v>84</v>
      </c>
      <c r="AH381" s="33">
        <f t="shared" si="16"/>
      </c>
      <c r="AI381" s="33">
        <f t="shared" si="17"/>
      </c>
    </row>
    <row r="382" ht="27.6" customHeight="1" spans="1:35" x14ac:dyDescent="0.25">
      <c r="A382" s="27" t="s">
        <v>873</v>
      </c>
      <c r="B382">
        <f t="shared" si="15"/>
        <v>0</v>
      </c>
      <c r="C382" t="s">
        <v>64</v>
      </c>
      <c r="D382" s="27" t="s">
        <v>1485</v>
      </c>
      <c r="E382" t="s">
        <v>1486</v>
      </c>
      <c r="F382" s="28">
        <v>0</v>
      </c>
      <c r="G382" s="29">
        <v>1</v>
      </c>
      <c r="H382" s="30" t="s">
        <v>1489</v>
      </c>
      <c r="I382" t="s">
        <v>65</v>
      </c>
      <c r="J3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145</v>
      </c>
      <c r="L382" t="s">
        <v>146</v>
      </c>
      <c r="N382" s="29">
        <v>1</v>
      </c>
      <c r="P382" s="29">
        <v>1</v>
      </c>
      <c r="R382" s="29">
        <v>1</v>
      </c>
      <c r="S382" t="s">
        <v>70</v>
      </c>
      <c r="T382" t="s">
        <v>72</v>
      </c>
      <c r="U382" s="32">
        <v>30</v>
      </c>
      <c r="V382">
        <v>30</v>
      </c>
      <c r="W382" t="s">
        <v>79</v>
      </c>
      <c r="X382" t="s">
        <v>980</v>
      </c>
      <c r="Y382" t="s">
        <v>1488</v>
      </c>
      <c r="AA382" t="s">
        <v>75</v>
      </c>
      <c r="AC382" t="s">
        <v>83</v>
      </c>
      <c r="AE382" t="s">
        <v>75</v>
      </c>
      <c r="AF382" t="s">
        <v>84</v>
      </c>
      <c r="AG382" t="s">
        <v>84</v>
      </c>
      <c r="AH382" s="33">
        <f t="shared" si="16"/>
      </c>
      <c r="AI382" s="33">
        <f t="shared" si="17"/>
      </c>
    </row>
    <row r="383" ht="27.6" customHeight="1" spans="1:35" x14ac:dyDescent="0.25">
      <c r="A383" s="27" t="s">
        <v>1490</v>
      </c>
      <c r="B383">
        <f t="shared" si="15"/>
        <v>0</v>
      </c>
      <c r="C383" t="s">
        <v>64</v>
      </c>
      <c r="D383" s="27" t="s">
        <v>1491</v>
      </c>
      <c r="E383" t="s">
        <v>1492</v>
      </c>
      <c r="F383" s="28">
        <v>0</v>
      </c>
      <c r="G383" s="29">
        <v>1</v>
      </c>
      <c r="H383" s="30" t="s">
        <v>1493</v>
      </c>
      <c r="I383" t="s">
        <v>65</v>
      </c>
      <c r="J3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145</v>
      </c>
      <c r="L383" t="s">
        <v>146</v>
      </c>
      <c r="N383" s="29">
        <v>1</v>
      </c>
      <c r="P383" s="29">
        <v>1</v>
      </c>
      <c r="R383" s="29">
        <v>1</v>
      </c>
      <c r="S383" t="s">
        <v>70</v>
      </c>
      <c r="T383" t="s">
        <v>72</v>
      </c>
      <c r="U383" s="32">
        <v>30</v>
      </c>
      <c r="V383">
        <v>30</v>
      </c>
      <c r="W383" t="s">
        <v>79</v>
      </c>
      <c r="X383" t="s">
        <v>980</v>
      </c>
      <c r="Y383" t="s">
        <v>1492</v>
      </c>
      <c r="AA383" t="s">
        <v>75</v>
      </c>
      <c r="AC383" t="s">
        <v>83</v>
      </c>
      <c r="AE383" t="s">
        <v>75</v>
      </c>
      <c r="AF383" t="s">
        <v>84</v>
      </c>
      <c r="AG383" t="s">
        <v>84</v>
      </c>
      <c r="AH383" s="33">
        <f t="shared" si="16"/>
      </c>
      <c r="AI383" s="33">
        <f t="shared" si="17"/>
      </c>
    </row>
    <row r="384" ht="27.6" customHeight="1" spans="1:35" x14ac:dyDescent="0.25">
      <c r="A384" s="27" t="s">
        <v>1494</v>
      </c>
      <c r="B384">
        <f t="shared" si="15"/>
        <v>0</v>
      </c>
      <c r="C384" t="s">
        <v>64</v>
      </c>
      <c r="D384" s="27" t="s">
        <v>102</v>
      </c>
      <c r="E384" t="s">
        <v>1495</v>
      </c>
      <c r="F384" s="28">
        <v>0</v>
      </c>
      <c r="G384" s="29">
        <v>1</v>
      </c>
      <c r="H384" s="30" t="s">
        <v>1496</v>
      </c>
      <c r="I384" t="s">
        <v>65</v>
      </c>
      <c r="J3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145</v>
      </c>
      <c r="L384" t="s">
        <v>146</v>
      </c>
      <c r="N384" s="29">
        <v>1</v>
      </c>
      <c r="P384" s="29">
        <v>1</v>
      </c>
      <c r="R384" s="29">
        <v>1</v>
      </c>
      <c r="S384" t="s">
        <v>70</v>
      </c>
      <c r="T384" t="s">
        <v>72</v>
      </c>
      <c r="U384" s="32">
        <v>30</v>
      </c>
      <c r="V384">
        <v>30</v>
      </c>
      <c r="W384" t="s">
        <v>79</v>
      </c>
      <c r="X384" t="s">
        <v>980</v>
      </c>
      <c r="Y384" t="s">
        <v>1495</v>
      </c>
      <c r="AA384" t="s">
        <v>75</v>
      </c>
      <c r="AC384" t="s">
        <v>83</v>
      </c>
      <c r="AE384" t="s">
        <v>75</v>
      </c>
      <c r="AF384" t="s">
        <v>84</v>
      </c>
      <c r="AG384" t="s">
        <v>84</v>
      </c>
      <c r="AH384" s="33">
        <f t="shared" si="16"/>
      </c>
      <c r="AI384" s="33">
        <f t="shared" si="17"/>
      </c>
    </row>
    <row r="385" ht="27.6" customHeight="1" spans="1:35" x14ac:dyDescent="0.25">
      <c r="A385" s="27" t="s">
        <v>1497</v>
      </c>
      <c r="B385">
        <f t="shared" si="15"/>
        <v>0</v>
      </c>
      <c r="C385" t="s">
        <v>64</v>
      </c>
      <c r="D385" s="27" t="s">
        <v>102</v>
      </c>
      <c r="E385" t="s">
        <v>1498</v>
      </c>
      <c r="F385" s="28">
        <v>0</v>
      </c>
      <c r="G385" s="29">
        <v>1</v>
      </c>
      <c r="H385" s="30" t="s">
        <v>1499</v>
      </c>
      <c r="I385" t="s">
        <v>65</v>
      </c>
      <c r="J3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145</v>
      </c>
      <c r="L385" t="s">
        <v>146</v>
      </c>
      <c r="N385" s="29">
        <v>1</v>
      </c>
      <c r="P385" s="29">
        <v>1</v>
      </c>
      <c r="R385" s="29">
        <v>1</v>
      </c>
      <c r="S385" t="s">
        <v>70</v>
      </c>
      <c r="T385" t="s">
        <v>72</v>
      </c>
      <c r="U385" s="32">
        <v>30</v>
      </c>
      <c r="V385">
        <v>30</v>
      </c>
      <c r="W385" t="s">
        <v>79</v>
      </c>
      <c r="X385" t="s">
        <v>980</v>
      </c>
      <c r="Y385" t="s">
        <v>1498</v>
      </c>
      <c r="AA385" t="s">
        <v>75</v>
      </c>
      <c r="AC385" t="s">
        <v>83</v>
      </c>
      <c r="AE385" t="s">
        <v>75</v>
      </c>
      <c r="AF385" t="s">
        <v>84</v>
      </c>
      <c r="AG385" t="s">
        <v>84</v>
      </c>
      <c r="AH385" s="33">
        <f t="shared" si="16"/>
      </c>
      <c r="AI385" s="33">
        <f t="shared" si="17"/>
      </c>
    </row>
    <row r="386" ht="27.6" customHeight="1" spans="1:35" x14ac:dyDescent="0.25">
      <c r="A386" s="27" t="s">
        <v>1500</v>
      </c>
      <c r="B386">
        <f t="shared" si="15"/>
        <v>0</v>
      </c>
      <c r="C386" t="s">
        <v>64</v>
      </c>
      <c r="D386" s="27" t="s">
        <v>102</v>
      </c>
      <c r="E386" t="s">
        <v>1501</v>
      </c>
      <c r="F386" s="28">
        <v>0</v>
      </c>
      <c r="G386" s="29">
        <v>1</v>
      </c>
      <c r="H386" s="30" t="s">
        <v>1502</v>
      </c>
      <c r="I386" t="s">
        <v>65</v>
      </c>
      <c r="J3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145</v>
      </c>
      <c r="L386" t="s">
        <v>146</v>
      </c>
      <c r="N386" s="29">
        <v>1</v>
      </c>
      <c r="P386" s="29">
        <v>1</v>
      </c>
      <c r="R386" s="29">
        <v>1</v>
      </c>
      <c r="S386" t="s">
        <v>70</v>
      </c>
      <c r="T386" t="s">
        <v>72</v>
      </c>
      <c r="U386" s="32">
        <v>30</v>
      </c>
      <c r="V386">
        <v>30</v>
      </c>
      <c r="W386" t="s">
        <v>79</v>
      </c>
      <c r="X386" t="s">
        <v>980</v>
      </c>
      <c r="Y386" t="s">
        <v>1501</v>
      </c>
      <c r="AA386" t="s">
        <v>75</v>
      </c>
      <c r="AC386" t="s">
        <v>83</v>
      </c>
      <c r="AE386" t="s">
        <v>75</v>
      </c>
      <c r="AF386" t="s">
        <v>84</v>
      </c>
      <c r="AG386" t="s">
        <v>84</v>
      </c>
      <c r="AH386" s="33">
        <f t="shared" si="16"/>
      </c>
      <c r="AI386" s="33">
        <f t="shared" si="17"/>
      </c>
    </row>
    <row r="387" ht="27.6" customHeight="1" spans="1:35" x14ac:dyDescent="0.25">
      <c r="A387" s="27" t="s">
        <v>1503</v>
      </c>
      <c r="B387">
        <f t="shared" si="15"/>
        <v>0</v>
      </c>
      <c r="C387" t="s">
        <v>64</v>
      </c>
      <c r="D387" s="27" t="s">
        <v>102</v>
      </c>
      <c r="E387" t="s">
        <v>1504</v>
      </c>
      <c r="F387" s="28">
        <v>0</v>
      </c>
      <c r="G387" s="29">
        <v>1</v>
      </c>
      <c r="H387" s="30" t="s">
        <v>1505</v>
      </c>
      <c r="I387" t="s">
        <v>65</v>
      </c>
      <c r="J3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145</v>
      </c>
      <c r="L387" t="s">
        <v>146</v>
      </c>
      <c r="N387" s="29">
        <v>1</v>
      </c>
      <c r="P387" s="29">
        <v>1</v>
      </c>
      <c r="R387" s="29">
        <v>1</v>
      </c>
      <c r="S387" t="s">
        <v>70</v>
      </c>
      <c r="T387" t="s">
        <v>72</v>
      </c>
      <c r="U387" s="32">
        <v>30</v>
      </c>
      <c r="V387">
        <v>30</v>
      </c>
      <c r="W387" t="s">
        <v>79</v>
      </c>
      <c r="X387" t="s">
        <v>980</v>
      </c>
      <c r="Y387" t="s">
        <v>1504</v>
      </c>
      <c r="AA387" t="s">
        <v>75</v>
      </c>
      <c r="AC387" t="s">
        <v>83</v>
      </c>
      <c r="AE387" t="s">
        <v>75</v>
      </c>
      <c r="AF387" t="s">
        <v>84</v>
      </c>
      <c r="AG387" t="s">
        <v>84</v>
      </c>
      <c r="AH387" s="33">
        <f t="shared" si="16"/>
      </c>
      <c r="AI387" s="33">
        <f t="shared" si="17"/>
      </c>
    </row>
    <row r="388" ht="27.6" customHeight="1" spans="1:35" x14ac:dyDescent="0.25">
      <c r="A388" s="27" t="s">
        <v>1506</v>
      </c>
      <c r="B388">
        <f t="shared" si="15"/>
        <v>0</v>
      </c>
      <c r="C388" t="s">
        <v>64</v>
      </c>
      <c r="D388" s="27" t="s">
        <v>102</v>
      </c>
      <c r="E388" t="s">
        <v>1507</v>
      </c>
      <c r="F388" s="28">
        <v>0</v>
      </c>
      <c r="G388" s="29">
        <v>1</v>
      </c>
      <c r="H388" s="30" t="s">
        <v>1508</v>
      </c>
      <c r="I388" t="s">
        <v>65</v>
      </c>
      <c r="J3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145</v>
      </c>
      <c r="L388" t="s">
        <v>146</v>
      </c>
      <c r="N388" s="29">
        <v>1</v>
      </c>
      <c r="P388" s="29">
        <v>1</v>
      </c>
      <c r="R388" s="29">
        <v>1</v>
      </c>
      <c r="S388" t="s">
        <v>70</v>
      </c>
      <c r="T388" t="s">
        <v>72</v>
      </c>
      <c r="U388" s="32">
        <v>30</v>
      </c>
      <c r="V388">
        <v>30</v>
      </c>
      <c r="W388" t="s">
        <v>79</v>
      </c>
      <c r="X388" t="s">
        <v>980</v>
      </c>
      <c r="Y388" t="s">
        <v>1507</v>
      </c>
      <c r="AA388" t="s">
        <v>75</v>
      </c>
      <c r="AC388" t="s">
        <v>83</v>
      </c>
      <c r="AE388" t="s">
        <v>75</v>
      </c>
      <c r="AF388" t="s">
        <v>84</v>
      </c>
      <c r="AG388" t="s">
        <v>84</v>
      </c>
      <c r="AH388" s="33">
        <f t="shared" si="16"/>
      </c>
      <c r="AI388" s="33">
        <f t="shared" si="17"/>
      </c>
    </row>
    <row r="389" ht="27.6" customHeight="1" spans="1:35" x14ac:dyDescent="0.25">
      <c r="A389" s="27" t="s">
        <v>279</v>
      </c>
      <c r="B389">
        <f t="shared" si="15"/>
        <v>0</v>
      </c>
      <c r="C389" t="s">
        <v>64</v>
      </c>
      <c r="D389" s="27" t="s">
        <v>102</v>
      </c>
      <c r="E389" t="s">
        <v>1509</v>
      </c>
      <c r="F389" s="28">
        <v>2</v>
      </c>
      <c r="G389" s="29">
        <v>1</v>
      </c>
      <c r="H389" s="30" t="s">
        <v>1510</v>
      </c>
      <c r="I389" t="s">
        <v>65</v>
      </c>
      <c r="J3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145</v>
      </c>
      <c r="L389" t="s">
        <v>146</v>
      </c>
      <c r="N389" s="29">
        <v>1</v>
      </c>
      <c r="P389" s="29">
        <v>1</v>
      </c>
      <c r="R389" s="29">
        <v>1</v>
      </c>
      <c r="S389" t="s">
        <v>70</v>
      </c>
      <c r="T389" t="s">
        <v>72</v>
      </c>
      <c r="U389" s="32">
        <v>30</v>
      </c>
      <c r="V389">
        <v>30</v>
      </c>
      <c r="W389" t="s">
        <v>79</v>
      </c>
      <c r="X389" t="s">
        <v>1135</v>
      </c>
      <c r="Y389" t="s">
        <v>1511</v>
      </c>
      <c r="AA389" t="s">
        <v>75</v>
      </c>
      <c r="AC389" t="s">
        <v>83</v>
      </c>
      <c r="AE389" t="s">
        <v>75</v>
      </c>
      <c r="AF389" t="s">
        <v>84</v>
      </c>
      <c r="AG389" t="s">
        <v>84</v>
      </c>
      <c r="AH389" s="33">
        <f t="shared" si="16"/>
      </c>
      <c r="AI389" s="33">
        <f t="shared" si="17"/>
      </c>
    </row>
    <row r="390" ht="27.6" customHeight="1" spans="1:35" x14ac:dyDescent="0.25">
      <c r="A390" s="27" t="s">
        <v>1512</v>
      </c>
      <c r="B390">
        <f t="shared" si="15"/>
        <v>0</v>
      </c>
      <c r="C390" t="s">
        <v>64</v>
      </c>
      <c r="D390" s="27" t="s">
        <v>102</v>
      </c>
      <c r="E390" t="s">
        <v>1513</v>
      </c>
      <c r="F390" s="28">
        <v>0</v>
      </c>
      <c r="G390" s="29">
        <v>1</v>
      </c>
      <c r="H390" s="30" t="s">
        <v>1514</v>
      </c>
      <c r="I390" t="s">
        <v>65</v>
      </c>
      <c r="J3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145</v>
      </c>
      <c r="L390" t="s">
        <v>146</v>
      </c>
      <c r="N390" s="29">
        <v>1</v>
      </c>
      <c r="P390" s="29">
        <v>1</v>
      </c>
      <c r="R390" s="29">
        <v>1</v>
      </c>
      <c r="S390" t="s">
        <v>70</v>
      </c>
      <c r="T390" t="s">
        <v>72</v>
      </c>
      <c r="U390" s="32">
        <v>30</v>
      </c>
      <c r="V390">
        <v>30</v>
      </c>
      <c r="W390" t="s">
        <v>79</v>
      </c>
      <c r="X390" t="s">
        <v>980</v>
      </c>
      <c r="Y390" t="s">
        <v>1513</v>
      </c>
      <c r="AA390" t="s">
        <v>75</v>
      </c>
      <c r="AC390" t="s">
        <v>83</v>
      </c>
      <c r="AE390" t="s">
        <v>75</v>
      </c>
      <c r="AF390" t="s">
        <v>84</v>
      </c>
      <c r="AG390" t="s">
        <v>84</v>
      </c>
      <c r="AH390" s="33">
        <f t="shared" si="16"/>
      </c>
      <c r="AI390" s="33">
        <f t="shared" si="17"/>
      </c>
    </row>
    <row r="391" ht="27.6" customHeight="1" spans="1:35" x14ac:dyDescent="0.25">
      <c r="A391" s="27" t="s">
        <v>1515</v>
      </c>
      <c r="B391">
        <f t="shared" si="15"/>
        <v>0</v>
      </c>
      <c r="C391" t="s">
        <v>64</v>
      </c>
      <c r="D391" s="27" t="s">
        <v>102</v>
      </c>
      <c r="E391" t="s">
        <v>1516</v>
      </c>
      <c r="F391" s="28">
        <v>0</v>
      </c>
      <c r="G391" s="29">
        <v>1</v>
      </c>
      <c r="H391" s="30" t="s">
        <v>1517</v>
      </c>
      <c r="I391" t="s">
        <v>65</v>
      </c>
      <c r="J3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145</v>
      </c>
      <c r="L391" t="s">
        <v>146</v>
      </c>
      <c r="N391" s="29">
        <v>1</v>
      </c>
      <c r="P391" s="29">
        <v>1</v>
      </c>
      <c r="R391" s="29">
        <v>1</v>
      </c>
      <c r="S391" t="s">
        <v>70</v>
      </c>
      <c r="T391" t="s">
        <v>72</v>
      </c>
      <c r="U391" s="32">
        <v>30</v>
      </c>
      <c r="V391">
        <v>30</v>
      </c>
      <c r="W391" t="s">
        <v>79</v>
      </c>
      <c r="X391" t="s">
        <v>980</v>
      </c>
      <c r="Y391" t="s">
        <v>1516</v>
      </c>
      <c r="AA391" t="s">
        <v>75</v>
      </c>
      <c r="AC391" t="s">
        <v>83</v>
      </c>
      <c r="AE391" t="s">
        <v>75</v>
      </c>
      <c r="AF391" t="s">
        <v>84</v>
      </c>
      <c r="AG391" t="s">
        <v>84</v>
      </c>
      <c r="AH391" s="33">
        <f t="shared" si="16"/>
      </c>
      <c r="AI391" s="33">
        <f t="shared" si="17"/>
      </c>
    </row>
    <row r="392" ht="27.6" customHeight="1" spans="1:35" x14ac:dyDescent="0.25">
      <c r="A392" s="27" t="s">
        <v>1518</v>
      </c>
      <c r="B392">
        <f t="shared" ref="B392:B455" si="18">LEN(INDIRECT(ADDRESS(ROW() + (0),COLUMN() + (-1))))</f>
        <v>0</v>
      </c>
      <c r="C392" t="s">
        <v>64</v>
      </c>
      <c r="D392" s="27" t="s">
        <v>102</v>
      </c>
      <c r="E392" t="s">
        <v>1519</v>
      </c>
      <c r="F392" s="28">
        <v>0</v>
      </c>
      <c r="G392" s="29">
        <v>1</v>
      </c>
      <c r="H392" s="30" t="s">
        <v>1520</v>
      </c>
      <c r="I392" t="s">
        <v>65</v>
      </c>
      <c r="J3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145</v>
      </c>
      <c r="L392" t="s">
        <v>146</v>
      </c>
      <c r="N392" s="29">
        <v>1</v>
      </c>
      <c r="P392" s="29">
        <v>1</v>
      </c>
      <c r="R392" s="29">
        <v>1</v>
      </c>
      <c r="S392" t="s">
        <v>70</v>
      </c>
      <c r="T392" t="s">
        <v>72</v>
      </c>
      <c r="U392" s="32">
        <v>30</v>
      </c>
      <c r="V392">
        <v>30</v>
      </c>
      <c r="W392" t="s">
        <v>79</v>
      </c>
      <c r="X392" t="s">
        <v>980</v>
      </c>
      <c r="Y392" t="s">
        <v>1519</v>
      </c>
      <c r="AA392" t="s">
        <v>75</v>
      </c>
      <c r="AC392" t="s">
        <v>83</v>
      </c>
      <c r="AE392" t="s">
        <v>75</v>
      </c>
      <c r="AF392" t="s">
        <v>84</v>
      </c>
      <c r="AG392" t="s">
        <v>84</v>
      </c>
      <c r="AH392" s="33">
        <f t="shared" ref="AH392:AH455" si="19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392" s="33">
        <f t="shared" ref="AI392:AI455" si="20">IF(TRIM(INDIRECT("A"&amp;ROW())) &lt;&gt; "",FALSE,"")</f>
      </c>
    </row>
    <row r="393" ht="27.6" customHeight="1" spans="1:35" x14ac:dyDescent="0.25">
      <c r="A393" s="27" t="s">
        <v>712</v>
      </c>
      <c r="B393">
        <f t="shared" si="18"/>
        <v>0</v>
      </c>
      <c r="C393" t="s">
        <v>64</v>
      </c>
      <c r="D393" s="27" t="s">
        <v>1521</v>
      </c>
      <c r="E393" t="s">
        <v>1522</v>
      </c>
      <c r="F393" s="28">
        <v>0</v>
      </c>
      <c r="G393" s="29">
        <v>1</v>
      </c>
      <c r="H393" s="30" t="s">
        <v>1523</v>
      </c>
      <c r="I393" t="s">
        <v>65</v>
      </c>
      <c r="J3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145</v>
      </c>
      <c r="L393" t="s">
        <v>146</v>
      </c>
      <c r="N393" s="29">
        <v>1</v>
      </c>
      <c r="P393" s="29">
        <v>1</v>
      </c>
      <c r="R393" s="29">
        <v>1</v>
      </c>
      <c r="S393" t="s">
        <v>70</v>
      </c>
      <c r="T393" t="s">
        <v>72</v>
      </c>
      <c r="U393" s="32">
        <v>30</v>
      </c>
      <c r="V393">
        <v>30</v>
      </c>
      <c r="W393" t="s">
        <v>79</v>
      </c>
      <c r="X393" t="s">
        <v>980</v>
      </c>
      <c r="Y393" t="s">
        <v>1524</v>
      </c>
      <c r="AA393" t="s">
        <v>75</v>
      </c>
      <c r="AC393" t="s">
        <v>83</v>
      </c>
      <c r="AE393" t="s">
        <v>75</v>
      </c>
      <c r="AF393" t="s">
        <v>84</v>
      </c>
      <c r="AG393" t="s">
        <v>84</v>
      </c>
      <c r="AH393" s="33">
        <f t="shared" si="19"/>
      </c>
      <c r="AI393" s="33">
        <f t="shared" si="20"/>
      </c>
    </row>
    <row r="394" ht="27.6" customHeight="1" spans="1:35" x14ac:dyDescent="0.25">
      <c r="A394" s="27" t="s">
        <v>1525</v>
      </c>
      <c r="B394">
        <f t="shared" si="18"/>
        <v>0</v>
      </c>
      <c r="C394" t="s">
        <v>64</v>
      </c>
      <c r="D394" s="27" t="s">
        <v>1526</v>
      </c>
      <c r="E394" t="s">
        <v>1527</v>
      </c>
      <c r="F394" s="28">
        <v>0</v>
      </c>
      <c r="G394" s="29">
        <v>1</v>
      </c>
      <c r="H394" s="30" t="s">
        <v>1528</v>
      </c>
      <c r="I394" t="s">
        <v>65</v>
      </c>
      <c r="J3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145</v>
      </c>
      <c r="L394" t="s">
        <v>146</v>
      </c>
      <c r="N394" s="29">
        <v>1</v>
      </c>
      <c r="P394" s="29">
        <v>1</v>
      </c>
      <c r="R394" s="29">
        <v>1</v>
      </c>
      <c r="S394" t="s">
        <v>70</v>
      </c>
      <c r="T394" t="s">
        <v>72</v>
      </c>
      <c r="U394" s="32">
        <v>30</v>
      </c>
      <c r="V394">
        <v>30</v>
      </c>
      <c r="W394" t="s">
        <v>79</v>
      </c>
      <c r="X394" t="s">
        <v>980</v>
      </c>
      <c r="Y394" t="s">
        <v>1527</v>
      </c>
      <c r="AA394" t="s">
        <v>75</v>
      </c>
      <c r="AC394" t="s">
        <v>83</v>
      </c>
      <c r="AE394" t="s">
        <v>75</v>
      </c>
      <c r="AF394" t="s">
        <v>84</v>
      </c>
      <c r="AG394" t="s">
        <v>84</v>
      </c>
      <c r="AH394" s="33">
        <f t="shared" si="19"/>
      </c>
      <c r="AI394" s="33">
        <f t="shared" si="20"/>
      </c>
    </row>
    <row r="395" ht="27.6" customHeight="1" spans="1:35" x14ac:dyDescent="0.25">
      <c r="A395" s="27" t="s">
        <v>386</v>
      </c>
      <c r="B395">
        <f t="shared" si="18"/>
        <v>0</v>
      </c>
      <c r="C395" t="s">
        <v>64</v>
      </c>
      <c r="D395" s="27" t="s">
        <v>102</v>
      </c>
      <c r="E395" t="s">
        <v>1529</v>
      </c>
      <c r="F395" s="28">
        <v>0</v>
      </c>
      <c r="G395" s="29">
        <v>1</v>
      </c>
      <c r="H395" s="30" t="s">
        <v>1530</v>
      </c>
      <c r="I395" t="s">
        <v>65</v>
      </c>
      <c r="J3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145</v>
      </c>
      <c r="L395" t="s">
        <v>146</v>
      </c>
      <c r="N395" s="29">
        <v>1</v>
      </c>
      <c r="P395" s="29">
        <v>1</v>
      </c>
      <c r="R395" s="29">
        <v>1</v>
      </c>
      <c r="S395" t="s">
        <v>70</v>
      </c>
      <c r="T395" t="s">
        <v>72</v>
      </c>
      <c r="U395" s="32">
        <v>30</v>
      </c>
      <c r="V395">
        <v>30</v>
      </c>
      <c r="W395" t="s">
        <v>79</v>
      </c>
      <c r="X395" t="s">
        <v>980</v>
      </c>
      <c r="Y395" t="s">
        <v>1531</v>
      </c>
      <c r="AA395" t="s">
        <v>75</v>
      </c>
      <c r="AC395" t="s">
        <v>83</v>
      </c>
      <c r="AE395" t="s">
        <v>75</v>
      </c>
      <c r="AF395" t="s">
        <v>84</v>
      </c>
      <c r="AG395" t="s">
        <v>84</v>
      </c>
      <c r="AH395" s="33">
        <f t="shared" si="19"/>
      </c>
      <c r="AI395" s="33">
        <f t="shared" si="20"/>
      </c>
    </row>
    <row r="396" ht="27.6" customHeight="1" spans="1:35" x14ac:dyDescent="0.25">
      <c r="A396" s="27" t="s">
        <v>390</v>
      </c>
      <c r="B396">
        <f t="shared" si="18"/>
        <v>0</v>
      </c>
      <c r="C396" t="s">
        <v>64</v>
      </c>
      <c r="D396" s="27" t="s">
        <v>102</v>
      </c>
      <c r="E396" t="s">
        <v>1529</v>
      </c>
      <c r="F396" s="28">
        <v>0</v>
      </c>
      <c r="G396" s="29">
        <v>1</v>
      </c>
      <c r="H396" s="30" t="s">
        <v>1532</v>
      </c>
      <c r="I396" t="s">
        <v>65</v>
      </c>
      <c r="J3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145</v>
      </c>
      <c r="L396" t="s">
        <v>146</v>
      </c>
      <c r="N396" s="29">
        <v>1</v>
      </c>
      <c r="P396" s="29">
        <v>1</v>
      </c>
      <c r="R396" s="29">
        <v>1</v>
      </c>
      <c r="S396" t="s">
        <v>70</v>
      </c>
      <c r="T396" t="s">
        <v>72</v>
      </c>
      <c r="U396" s="32">
        <v>30</v>
      </c>
      <c r="V396">
        <v>30</v>
      </c>
      <c r="W396" t="s">
        <v>79</v>
      </c>
      <c r="X396" t="s">
        <v>980</v>
      </c>
      <c r="Y396" t="s">
        <v>1531</v>
      </c>
      <c r="AA396" t="s">
        <v>75</v>
      </c>
      <c r="AC396" t="s">
        <v>83</v>
      </c>
      <c r="AE396" t="s">
        <v>75</v>
      </c>
      <c r="AF396" t="s">
        <v>84</v>
      </c>
      <c r="AG396" t="s">
        <v>84</v>
      </c>
      <c r="AH396" s="33">
        <f t="shared" si="19"/>
      </c>
      <c r="AI396" s="33">
        <f t="shared" si="20"/>
      </c>
    </row>
    <row r="397" ht="27.6" customHeight="1" spans="1:35" x14ac:dyDescent="0.25">
      <c r="A397" s="27" t="s">
        <v>1533</v>
      </c>
      <c r="B397">
        <f t="shared" si="18"/>
        <v>0</v>
      </c>
      <c r="C397" t="s">
        <v>64</v>
      </c>
      <c r="D397" s="27" t="s">
        <v>102</v>
      </c>
      <c r="E397" t="s">
        <v>1534</v>
      </c>
      <c r="F397" s="28">
        <v>0</v>
      </c>
      <c r="G397" s="29">
        <v>1</v>
      </c>
      <c r="H397" s="30" t="s">
        <v>1535</v>
      </c>
      <c r="I397" t="s">
        <v>65</v>
      </c>
      <c r="J3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145</v>
      </c>
      <c r="L397" t="s">
        <v>146</v>
      </c>
      <c r="N397" s="29">
        <v>1</v>
      </c>
      <c r="P397" s="29">
        <v>1</v>
      </c>
      <c r="R397" s="29">
        <v>1</v>
      </c>
      <c r="S397" t="s">
        <v>70</v>
      </c>
      <c r="T397" t="s">
        <v>72</v>
      </c>
      <c r="U397" s="32">
        <v>30</v>
      </c>
      <c r="V397">
        <v>30</v>
      </c>
      <c r="W397" t="s">
        <v>79</v>
      </c>
      <c r="X397" t="s">
        <v>980</v>
      </c>
      <c r="Y397" t="s">
        <v>1534</v>
      </c>
      <c r="AA397" t="s">
        <v>75</v>
      </c>
      <c r="AC397" t="s">
        <v>83</v>
      </c>
      <c r="AE397" t="s">
        <v>75</v>
      </c>
      <c r="AF397" t="s">
        <v>84</v>
      </c>
      <c r="AG397" t="s">
        <v>84</v>
      </c>
      <c r="AH397" s="33">
        <f t="shared" si="19"/>
      </c>
      <c r="AI397" s="33">
        <f t="shared" si="20"/>
      </c>
    </row>
    <row r="398" ht="27.6" customHeight="1" spans="1:35" x14ac:dyDescent="0.25">
      <c r="A398" s="27" t="s">
        <v>752</v>
      </c>
      <c r="B398">
        <f t="shared" si="18"/>
        <v>0</v>
      </c>
      <c r="C398" t="s">
        <v>64</v>
      </c>
      <c r="D398" s="27" t="s">
        <v>102</v>
      </c>
      <c r="E398" t="s">
        <v>1536</v>
      </c>
      <c r="F398" s="28">
        <v>2</v>
      </c>
      <c r="G398" s="29">
        <v>1</v>
      </c>
      <c r="H398" s="30" t="s">
        <v>1537</v>
      </c>
      <c r="I398" t="s">
        <v>65</v>
      </c>
      <c r="J3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145</v>
      </c>
      <c r="L398" t="s">
        <v>146</v>
      </c>
      <c r="N398" s="29">
        <v>1</v>
      </c>
      <c r="P398" s="29">
        <v>1</v>
      </c>
      <c r="R398" s="29">
        <v>1</v>
      </c>
      <c r="S398" t="s">
        <v>70</v>
      </c>
      <c r="T398" t="s">
        <v>72</v>
      </c>
      <c r="U398" s="32">
        <v>30</v>
      </c>
      <c r="V398">
        <v>30</v>
      </c>
      <c r="W398" t="s">
        <v>79</v>
      </c>
      <c r="X398" t="s">
        <v>1135</v>
      </c>
      <c r="Y398" t="s">
        <v>1538</v>
      </c>
      <c r="AA398" t="s">
        <v>75</v>
      </c>
      <c r="AC398" t="s">
        <v>83</v>
      </c>
      <c r="AE398" t="s">
        <v>75</v>
      </c>
      <c r="AF398" t="s">
        <v>84</v>
      </c>
      <c r="AG398" t="s">
        <v>84</v>
      </c>
      <c r="AH398" s="33">
        <f t="shared" si="19"/>
      </c>
      <c r="AI398" s="33">
        <f t="shared" si="20"/>
      </c>
    </row>
    <row r="399" ht="27.6" customHeight="1" spans="1:35" x14ac:dyDescent="0.25">
      <c r="A399" s="27" t="s">
        <v>673</v>
      </c>
      <c r="B399">
        <f t="shared" si="18"/>
        <v>0</v>
      </c>
      <c r="C399" t="s">
        <v>64</v>
      </c>
      <c r="D399" s="27" t="s">
        <v>102</v>
      </c>
      <c r="E399" t="s">
        <v>1539</v>
      </c>
      <c r="F399" s="28">
        <v>2</v>
      </c>
      <c r="G399" s="29">
        <v>1</v>
      </c>
      <c r="H399" s="30" t="s">
        <v>1540</v>
      </c>
      <c r="I399" t="s">
        <v>65</v>
      </c>
      <c r="J3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145</v>
      </c>
      <c r="L399" t="s">
        <v>146</v>
      </c>
      <c r="N399" s="29">
        <v>1</v>
      </c>
      <c r="P399" s="29">
        <v>1</v>
      </c>
      <c r="R399" s="29">
        <v>1</v>
      </c>
      <c r="S399" t="s">
        <v>70</v>
      </c>
      <c r="T399" t="s">
        <v>72</v>
      </c>
      <c r="U399" s="32">
        <v>30</v>
      </c>
      <c r="V399">
        <v>30</v>
      </c>
      <c r="W399" t="s">
        <v>79</v>
      </c>
      <c r="X399" t="s">
        <v>1135</v>
      </c>
      <c r="Y399" t="s">
        <v>1541</v>
      </c>
      <c r="AA399" t="s">
        <v>75</v>
      </c>
      <c r="AC399" t="s">
        <v>83</v>
      </c>
      <c r="AE399" t="s">
        <v>75</v>
      </c>
      <c r="AF399" t="s">
        <v>84</v>
      </c>
      <c r="AG399" t="s">
        <v>84</v>
      </c>
      <c r="AH399" s="33">
        <f t="shared" si="19"/>
      </c>
      <c r="AI399" s="33">
        <f t="shared" si="20"/>
      </c>
    </row>
    <row r="400" ht="27.6" customHeight="1" spans="1:35" x14ac:dyDescent="0.25">
      <c r="A400" s="27" t="s">
        <v>894</v>
      </c>
      <c r="B400">
        <f t="shared" si="18"/>
        <v>0</v>
      </c>
      <c r="C400" t="s">
        <v>64</v>
      </c>
      <c r="D400" s="27" t="s">
        <v>1542</v>
      </c>
      <c r="E400" t="s">
        <v>1543</v>
      </c>
      <c r="F400" s="28">
        <v>0</v>
      </c>
      <c r="G400" s="29">
        <v>1</v>
      </c>
      <c r="H400" s="30" t="s">
        <v>1544</v>
      </c>
      <c r="I400" t="s">
        <v>65</v>
      </c>
      <c r="J4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145</v>
      </c>
      <c r="L400" t="s">
        <v>146</v>
      </c>
      <c r="N400" s="29">
        <v>1</v>
      </c>
      <c r="P400" s="29">
        <v>1</v>
      </c>
      <c r="R400" s="29">
        <v>1</v>
      </c>
      <c r="S400" t="s">
        <v>70</v>
      </c>
      <c r="T400" t="s">
        <v>72</v>
      </c>
      <c r="U400" s="32">
        <v>30</v>
      </c>
      <c r="V400">
        <v>30</v>
      </c>
      <c r="W400" t="s">
        <v>79</v>
      </c>
      <c r="X400" t="s">
        <v>980</v>
      </c>
      <c r="Y400" t="s">
        <v>897</v>
      </c>
      <c r="AA400" t="s">
        <v>75</v>
      </c>
      <c r="AC400" t="s">
        <v>83</v>
      </c>
      <c r="AE400" t="s">
        <v>75</v>
      </c>
      <c r="AF400" t="s">
        <v>84</v>
      </c>
      <c r="AG400" t="s">
        <v>84</v>
      </c>
      <c r="AH400" s="33">
        <f t="shared" si="19"/>
      </c>
      <c r="AI400" s="33">
        <f t="shared" si="20"/>
      </c>
    </row>
    <row r="401" ht="27.6" customHeight="1" spans="1:35" x14ac:dyDescent="0.25">
      <c r="A401" s="27" t="s">
        <v>898</v>
      </c>
      <c r="B401">
        <f t="shared" si="18"/>
        <v>0</v>
      </c>
      <c r="C401" t="s">
        <v>64</v>
      </c>
      <c r="D401" s="27" t="s">
        <v>1542</v>
      </c>
      <c r="E401" t="s">
        <v>1543</v>
      </c>
      <c r="F401" s="28">
        <v>0</v>
      </c>
      <c r="G401" s="29">
        <v>1</v>
      </c>
      <c r="H401" s="30" t="s">
        <v>1545</v>
      </c>
      <c r="I401" t="s">
        <v>65</v>
      </c>
      <c r="J4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145</v>
      </c>
      <c r="L401" t="s">
        <v>146</v>
      </c>
      <c r="N401" s="29">
        <v>1</v>
      </c>
      <c r="P401" s="29">
        <v>1</v>
      </c>
      <c r="R401" s="29">
        <v>1</v>
      </c>
      <c r="S401" t="s">
        <v>70</v>
      </c>
      <c r="T401" t="s">
        <v>72</v>
      </c>
      <c r="U401" s="32">
        <v>30</v>
      </c>
      <c r="V401">
        <v>30</v>
      </c>
      <c r="W401" t="s">
        <v>79</v>
      </c>
      <c r="X401" t="s">
        <v>980</v>
      </c>
      <c r="Y401" t="s">
        <v>897</v>
      </c>
      <c r="AA401" t="s">
        <v>75</v>
      </c>
      <c r="AC401" t="s">
        <v>83</v>
      </c>
      <c r="AE401" t="s">
        <v>75</v>
      </c>
      <c r="AF401" t="s">
        <v>84</v>
      </c>
      <c r="AG401" t="s">
        <v>84</v>
      </c>
      <c r="AH401" s="33">
        <f t="shared" si="19"/>
      </c>
      <c r="AI401" s="33">
        <f t="shared" si="20"/>
      </c>
    </row>
    <row r="402" ht="27.6" customHeight="1" spans="1:35" x14ac:dyDescent="0.25">
      <c r="A402" s="27" t="s">
        <v>1546</v>
      </c>
      <c r="B402">
        <f t="shared" si="18"/>
        <v>0</v>
      </c>
      <c r="C402" t="s">
        <v>64</v>
      </c>
      <c r="D402" s="27" t="s">
        <v>102</v>
      </c>
      <c r="E402" t="s">
        <v>1547</v>
      </c>
      <c r="F402" s="28">
        <v>0</v>
      </c>
      <c r="G402" s="29">
        <v>1</v>
      </c>
      <c r="H402" s="30" t="s">
        <v>1548</v>
      </c>
      <c r="I402" t="s">
        <v>65</v>
      </c>
      <c r="J4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145</v>
      </c>
      <c r="L402" t="s">
        <v>146</v>
      </c>
      <c r="N402" s="29">
        <v>1</v>
      </c>
      <c r="P402" s="29">
        <v>1</v>
      </c>
      <c r="R402" s="29">
        <v>1</v>
      </c>
      <c r="S402" t="s">
        <v>70</v>
      </c>
      <c r="T402" t="s">
        <v>72</v>
      </c>
      <c r="U402" s="32">
        <v>30</v>
      </c>
      <c r="V402">
        <v>30</v>
      </c>
      <c r="W402" t="s">
        <v>79</v>
      </c>
      <c r="X402" t="s">
        <v>980</v>
      </c>
      <c r="Y402" t="s">
        <v>1547</v>
      </c>
      <c r="AA402" t="s">
        <v>75</v>
      </c>
      <c r="AC402" t="s">
        <v>83</v>
      </c>
      <c r="AE402" t="s">
        <v>75</v>
      </c>
      <c r="AF402" t="s">
        <v>84</v>
      </c>
      <c r="AG402" t="s">
        <v>84</v>
      </c>
      <c r="AH402" s="33">
        <f t="shared" si="19"/>
      </c>
      <c r="AI402" s="33">
        <f t="shared" si="20"/>
      </c>
    </row>
    <row r="403" ht="27.6" customHeight="1" spans="1:35" x14ac:dyDescent="0.25">
      <c r="A403" s="27" t="s">
        <v>1549</v>
      </c>
      <c r="B403">
        <f t="shared" si="18"/>
        <v>0</v>
      </c>
      <c r="C403" t="s">
        <v>64</v>
      </c>
      <c r="D403" s="27" t="s">
        <v>102</v>
      </c>
      <c r="E403" t="s">
        <v>1547</v>
      </c>
      <c r="F403" s="28">
        <v>0</v>
      </c>
      <c r="G403" s="29">
        <v>1</v>
      </c>
      <c r="H403" s="30" t="s">
        <v>1550</v>
      </c>
      <c r="I403" t="s">
        <v>65</v>
      </c>
      <c r="J4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145</v>
      </c>
      <c r="L403" t="s">
        <v>146</v>
      </c>
      <c r="N403" s="29">
        <v>1</v>
      </c>
      <c r="P403" s="29">
        <v>1</v>
      </c>
      <c r="R403" s="29">
        <v>1</v>
      </c>
      <c r="S403" t="s">
        <v>70</v>
      </c>
      <c r="T403" t="s">
        <v>72</v>
      </c>
      <c r="U403" s="32">
        <v>30</v>
      </c>
      <c r="V403">
        <v>30</v>
      </c>
      <c r="W403" t="s">
        <v>79</v>
      </c>
      <c r="X403" t="s">
        <v>980</v>
      </c>
      <c r="Y403" t="s">
        <v>1547</v>
      </c>
      <c r="AA403" t="s">
        <v>75</v>
      </c>
      <c r="AC403" t="s">
        <v>83</v>
      </c>
      <c r="AE403" t="s">
        <v>75</v>
      </c>
      <c r="AF403" t="s">
        <v>84</v>
      </c>
      <c r="AG403" t="s">
        <v>84</v>
      </c>
      <c r="AH403" s="33">
        <f t="shared" si="19"/>
      </c>
      <c r="AI403" s="33">
        <f t="shared" si="20"/>
      </c>
    </row>
    <row r="404" ht="27.6" customHeight="1" spans="1:35" x14ac:dyDescent="0.25">
      <c r="A404" s="27" t="s">
        <v>1551</v>
      </c>
      <c r="B404">
        <f t="shared" si="18"/>
        <v>0</v>
      </c>
      <c r="C404" t="s">
        <v>64</v>
      </c>
      <c r="D404" s="27" t="s">
        <v>102</v>
      </c>
      <c r="E404" t="s">
        <v>1552</v>
      </c>
      <c r="F404" s="28">
        <v>0</v>
      </c>
      <c r="G404" s="29">
        <v>1</v>
      </c>
      <c r="H404" s="30" t="s">
        <v>1553</v>
      </c>
      <c r="I404" t="s">
        <v>65</v>
      </c>
      <c r="J4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145</v>
      </c>
      <c r="L404" t="s">
        <v>146</v>
      </c>
      <c r="N404" s="29">
        <v>1</v>
      </c>
      <c r="P404" s="29">
        <v>1</v>
      </c>
      <c r="R404" s="29">
        <v>1</v>
      </c>
      <c r="S404" t="s">
        <v>70</v>
      </c>
      <c r="T404" t="s">
        <v>72</v>
      </c>
      <c r="U404" s="32">
        <v>30</v>
      </c>
      <c r="V404">
        <v>30</v>
      </c>
      <c r="W404" t="s">
        <v>79</v>
      </c>
      <c r="X404" t="s">
        <v>980</v>
      </c>
      <c r="Y404" t="s">
        <v>1552</v>
      </c>
      <c r="AA404" t="s">
        <v>75</v>
      </c>
      <c r="AC404" t="s">
        <v>83</v>
      </c>
      <c r="AE404" t="s">
        <v>75</v>
      </c>
      <c r="AF404" t="s">
        <v>84</v>
      </c>
      <c r="AG404" t="s">
        <v>84</v>
      </c>
      <c r="AH404" s="33">
        <f t="shared" si="19"/>
      </c>
      <c r="AI404" s="33">
        <f t="shared" si="20"/>
      </c>
    </row>
    <row r="405" ht="27.6" customHeight="1" spans="1:35" x14ac:dyDescent="0.25">
      <c r="A405" s="27" t="s">
        <v>1554</v>
      </c>
      <c r="B405">
        <f t="shared" si="18"/>
        <v>0</v>
      </c>
      <c r="C405" t="s">
        <v>64</v>
      </c>
      <c r="D405" s="27" t="s">
        <v>102</v>
      </c>
      <c r="E405" t="s">
        <v>1555</v>
      </c>
      <c r="F405" s="28">
        <v>0</v>
      </c>
      <c r="G405" s="29">
        <v>1</v>
      </c>
      <c r="H405" s="30" t="s">
        <v>1556</v>
      </c>
      <c r="I405" t="s">
        <v>65</v>
      </c>
      <c r="J4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145</v>
      </c>
      <c r="L405" t="s">
        <v>146</v>
      </c>
      <c r="N405" s="29">
        <v>1</v>
      </c>
      <c r="P405" s="29">
        <v>1</v>
      </c>
      <c r="R405" s="29">
        <v>1</v>
      </c>
      <c r="S405" t="s">
        <v>70</v>
      </c>
      <c r="T405" t="s">
        <v>72</v>
      </c>
      <c r="U405" s="32">
        <v>30</v>
      </c>
      <c r="V405">
        <v>30</v>
      </c>
      <c r="W405" t="s">
        <v>79</v>
      </c>
      <c r="X405" t="s">
        <v>980</v>
      </c>
      <c r="Y405" t="s">
        <v>1557</v>
      </c>
      <c r="AA405" t="s">
        <v>75</v>
      </c>
      <c r="AC405" t="s">
        <v>83</v>
      </c>
      <c r="AE405" t="s">
        <v>75</v>
      </c>
      <c r="AF405" t="s">
        <v>84</v>
      </c>
      <c r="AG405" t="s">
        <v>84</v>
      </c>
      <c r="AH405" s="33">
        <f t="shared" si="19"/>
      </c>
      <c r="AI405" s="33">
        <f t="shared" si="20"/>
      </c>
    </row>
    <row r="406" ht="27.6" customHeight="1" spans="1:35" x14ac:dyDescent="0.25">
      <c r="A406" s="27" t="s">
        <v>1558</v>
      </c>
      <c r="B406">
        <f t="shared" si="18"/>
        <v>0</v>
      </c>
      <c r="C406" t="s">
        <v>64</v>
      </c>
      <c r="D406" s="27" t="s">
        <v>102</v>
      </c>
      <c r="E406" t="s">
        <v>1559</v>
      </c>
      <c r="F406" s="28">
        <v>0</v>
      </c>
      <c r="G406" s="29">
        <v>1</v>
      </c>
      <c r="H406" s="30" t="s">
        <v>1560</v>
      </c>
      <c r="I406" t="s">
        <v>65</v>
      </c>
      <c r="J4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145</v>
      </c>
      <c r="L406" t="s">
        <v>146</v>
      </c>
      <c r="N406" s="29">
        <v>1</v>
      </c>
      <c r="P406" s="29">
        <v>1</v>
      </c>
      <c r="R406" s="29">
        <v>1</v>
      </c>
      <c r="S406" t="s">
        <v>70</v>
      </c>
      <c r="T406" t="s">
        <v>72</v>
      </c>
      <c r="U406" s="32">
        <v>30</v>
      </c>
      <c r="V406">
        <v>30</v>
      </c>
      <c r="W406" t="s">
        <v>79</v>
      </c>
      <c r="X406" t="s">
        <v>980</v>
      </c>
      <c r="Y406" t="s">
        <v>1561</v>
      </c>
      <c r="AA406" t="s">
        <v>75</v>
      </c>
      <c r="AC406" t="s">
        <v>83</v>
      </c>
      <c r="AE406" t="s">
        <v>75</v>
      </c>
      <c r="AF406" t="s">
        <v>84</v>
      </c>
      <c r="AG406" t="s">
        <v>84</v>
      </c>
      <c r="AH406" s="33">
        <f t="shared" si="19"/>
      </c>
      <c r="AI406" s="33">
        <f t="shared" si="20"/>
      </c>
    </row>
    <row r="407" ht="27.6" customHeight="1" spans="1:35" x14ac:dyDescent="0.25">
      <c r="A407" s="27" t="s">
        <v>1562</v>
      </c>
      <c r="B407">
        <f t="shared" si="18"/>
        <v>0</v>
      </c>
      <c r="C407" t="s">
        <v>64</v>
      </c>
      <c r="D407" s="27" t="s">
        <v>102</v>
      </c>
      <c r="E407" t="s">
        <v>1563</v>
      </c>
      <c r="F407" s="28">
        <v>0</v>
      </c>
      <c r="G407" s="29">
        <v>1</v>
      </c>
      <c r="H407" s="30" t="s">
        <v>1564</v>
      </c>
      <c r="I407" t="s">
        <v>65</v>
      </c>
      <c r="J4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145</v>
      </c>
      <c r="L407" t="s">
        <v>146</v>
      </c>
      <c r="N407" s="29">
        <v>1</v>
      </c>
      <c r="P407" s="29">
        <v>1</v>
      </c>
      <c r="R407" s="29">
        <v>1</v>
      </c>
      <c r="S407" t="s">
        <v>70</v>
      </c>
      <c r="T407" t="s">
        <v>72</v>
      </c>
      <c r="U407" s="32">
        <v>30</v>
      </c>
      <c r="V407">
        <v>30</v>
      </c>
      <c r="W407" t="s">
        <v>79</v>
      </c>
      <c r="X407" t="s">
        <v>980</v>
      </c>
      <c r="Y407" t="s">
        <v>1565</v>
      </c>
      <c r="AA407" t="s">
        <v>75</v>
      </c>
      <c r="AC407" t="s">
        <v>83</v>
      </c>
      <c r="AE407" t="s">
        <v>75</v>
      </c>
      <c r="AF407" t="s">
        <v>84</v>
      </c>
      <c r="AG407" t="s">
        <v>84</v>
      </c>
      <c r="AH407" s="33">
        <f t="shared" si="19"/>
      </c>
      <c r="AI407" s="33">
        <f t="shared" si="20"/>
      </c>
    </row>
    <row r="408" ht="27.6" customHeight="1" spans="1:35" x14ac:dyDescent="0.25">
      <c r="A408" s="27" t="s">
        <v>1566</v>
      </c>
      <c r="B408">
        <f t="shared" si="18"/>
        <v>0</v>
      </c>
      <c r="C408" t="s">
        <v>64</v>
      </c>
      <c r="D408" s="27" t="s">
        <v>1567</v>
      </c>
      <c r="E408" t="s">
        <v>1568</v>
      </c>
      <c r="F408" s="28">
        <v>0</v>
      </c>
      <c r="G408" s="29">
        <v>1</v>
      </c>
      <c r="H408" s="30" t="s">
        <v>1569</v>
      </c>
      <c r="I408" t="s">
        <v>65</v>
      </c>
      <c r="J4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145</v>
      </c>
      <c r="L408" t="s">
        <v>146</v>
      </c>
      <c r="N408" s="29">
        <v>1</v>
      </c>
      <c r="P408" s="29">
        <v>1</v>
      </c>
      <c r="R408" s="29">
        <v>1</v>
      </c>
      <c r="S408" t="s">
        <v>70</v>
      </c>
      <c r="T408" t="s">
        <v>72</v>
      </c>
      <c r="U408" s="32">
        <v>30</v>
      </c>
      <c r="V408">
        <v>30</v>
      </c>
      <c r="W408" t="s">
        <v>79</v>
      </c>
      <c r="X408" t="s">
        <v>980</v>
      </c>
      <c r="Y408" t="s">
        <v>1570</v>
      </c>
      <c r="AA408" t="s">
        <v>75</v>
      </c>
      <c r="AC408" t="s">
        <v>83</v>
      </c>
      <c r="AE408" t="s">
        <v>75</v>
      </c>
      <c r="AF408" t="s">
        <v>84</v>
      </c>
      <c r="AG408" t="s">
        <v>84</v>
      </c>
      <c r="AH408" s="33">
        <f t="shared" si="19"/>
      </c>
      <c r="AI408" s="33">
        <f t="shared" si="20"/>
      </c>
    </row>
    <row r="409" ht="27.6" customHeight="1" spans="1:35" x14ac:dyDescent="0.25">
      <c r="A409" s="27" t="s">
        <v>1571</v>
      </c>
      <c r="B409">
        <f t="shared" si="18"/>
        <v>0</v>
      </c>
      <c r="C409" t="s">
        <v>64</v>
      </c>
      <c r="D409" s="27" t="s">
        <v>102</v>
      </c>
      <c r="E409" t="s">
        <v>1572</v>
      </c>
      <c r="F409" s="28">
        <v>0</v>
      </c>
      <c r="G409" s="29">
        <v>1</v>
      </c>
      <c r="H409" s="30" t="s">
        <v>1573</v>
      </c>
      <c r="I409" t="s">
        <v>65</v>
      </c>
      <c r="J4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145</v>
      </c>
      <c r="L409" t="s">
        <v>146</v>
      </c>
      <c r="N409" s="29">
        <v>1</v>
      </c>
      <c r="P409" s="29">
        <v>1</v>
      </c>
      <c r="R409" s="29">
        <v>1</v>
      </c>
      <c r="S409" t="s">
        <v>70</v>
      </c>
      <c r="T409" t="s">
        <v>72</v>
      </c>
      <c r="U409" s="32">
        <v>30</v>
      </c>
      <c r="V409">
        <v>30</v>
      </c>
      <c r="W409" t="s">
        <v>79</v>
      </c>
      <c r="X409" t="s">
        <v>980</v>
      </c>
      <c r="Y409" t="s">
        <v>1572</v>
      </c>
      <c r="AA409" t="s">
        <v>75</v>
      </c>
      <c r="AC409" t="s">
        <v>83</v>
      </c>
      <c r="AE409" t="s">
        <v>75</v>
      </c>
      <c r="AF409" t="s">
        <v>84</v>
      </c>
      <c r="AG409" t="s">
        <v>84</v>
      </c>
      <c r="AH409" s="33">
        <f t="shared" si="19"/>
      </c>
      <c r="AI409" s="33">
        <f t="shared" si="20"/>
      </c>
    </row>
    <row r="410" ht="27.6" customHeight="1" spans="1:35" x14ac:dyDescent="0.25">
      <c r="A410" s="27" t="s">
        <v>943</v>
      </c>
      <c r="B410">
        <f t="shared" si="18"/>
        <v>0</v>
      </c>
      <c r="C410" t="s">
        <v>64</v>
      </c>
      <c r="D410" s="27" t="s">
        <v>1574</v>
      </c>
      <c r="E410" t="s">
        <v>1575</v>
      </c>
      <c r="F410" s="28">
        <v>0</v>
      </c>
      <c r="G410" s="29">
        <v>1</v>
      </c>
      <c r="H410" s="30" t="s">
        <v>1576</v>
      </c>
      <c r="I410" t="s">
        <v>65</v>
      </c>
      <c r="J4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145</v>
      </c>
      <c r="L410" t="s">
        <v>146</v>
      </c>
      <c r="N410" s="29">
        <v>1</v>
      </c>
      <c r="P410" s="29">
        <v>1</v>
      </c>
      <c r="R410" s="29">
        <v>1</v>
      </c>
      <c r="S410" t="s">
        <v>70</v>
      </c>
      <c r="T410" t="s">
        <v>72</v>
      </c>
      <c r="U410" s="32">
        <v>30</v>
      </c>
      <c r="V410">
        <v>30</v>
      </c>
      <c r="W410" t="s">
        <v>79</v>
      </c>
      <c r="X410" t="s">
        <v>980</v>
      </c>
      <c r="Y410" t="s">
        <v>1577</v>
      </c>
      <c r="AA410" t="s">
        <v>75</v>
      </c>
      <c r="AC410" t="s">
        <v>83</v>
      </c>
      <c r="AE410" t="s">
        <v>75</v>
      </c>
      <c r="AF410" t="s">
        <v>84</v>
      </c>
      <c r="AG410" t="s">
        <v>84</v>
      </c>
      <c r="AH410" s="33">
        <f t="shared" si="19"/>
      </c>
      <c r="AI410" s="33">
        <f t="shared" si="20"/>
      </c>
    </row>
    <row r="411" ht="27.6" customHeight="1" spans="1:35" x14ac:dyDescent="0.25">
      <c r="A411" s="27" t="s">
        <v>947</v>
      </c>
      <c r="B411">
        <f t="shared" si="18"/>
        <v>0</v>
      </c>
      <c r="C411" t="s">
        <v>64</v>
      </c>
      <c r="D411" s="27" t="s">
        <v>1574</v>
      </c>
      <c r="E411" t="s">
        <v>1575</v>
      </c>
      <c r="F411" s="28">
        <v>0</v>
      </c>
      <c r="G411" s="29">
        <v>1</v>
      </c>
      <c r="H411" s="30" t="s">
        <v>1578</v>
      </c>
      <c r="I411" t="s">
        <v>65</v>
      </c>
      <c r="J4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145</v>
      </c>
      <c r="L411" t="s">
        <v>146</v>
      </c>
      <c r="N411" s="29">
        <v>1</v>
      </c>
      <c r="P411" s="29">
        <v>1</v>
      </c>
      <c r="R411" s="29">
        <v>1</v>
      </c>
      <c r="S411" t="s">
        <v>70</v>
      </c>
      <c r="T411" t="s">
        <v>72</v>
      </c>
      <c r="U411" s="32">
        <v>30</v>
      </c>
      <c r="V411">
        <v>30</v>
      </c>
      <c r="W411" t="s">
        <v>79</v>
      </c>
      <c r="X411" t="s">
        <v>980</v>
      </c>
      <c r="Y411" t="s">
        <v>1577</v>
      </c>
      <c r="AA411" t="s">
        <v>75</v>
      </c>
      <c r="AC411" t="s">
        <v>83</v>
      </c>
      <c r="AE411" t="s">
        <v>75</v>
      </c>
      <c r="AF411" t="s">
        <v>84</v>
      </c>
      <c r="AG411" t="s">
        <v>84</v>
      </c>
      <c r="AH411" s="33">
        <f t="shared" si="19"/>
      </c>
      <c r="AI411" s="33">
        <f t="shared" si="20"/>
      </c>
    </row>
    <row r="412" ht="27.6" customHeight="1" spans="1:35" x14ac:dyDescent="0.25">
      <c r="A412" s="27" t="s">
        <v>1579</v>
      </c>
      <c r="B412">
        <f t="shared" si="18"/>
        <v>0</v>
      </c>
      <c r="C412" t="s">
        <v>64</v>
      </c>
      <c r="D412" s="27" t="s">
        <v>1580</v>
      </c>
      <c r="E412" t="s">
        <v>1581</v>
      </c>
      <c r="F412" s="28">
        <v>2</v>
      </c>
      <c r="G412" s="29">
        <v>1</v>
      </c>
      <c r="H412" s="30" t="s">
        <v>1582</v>
      </c>
      <c r="I412" t="s">
        <v>65</v>
      </c>
      <c r="J4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145</v>
      </c>
      <c r="L412" t="s">
        <v>146</v>
      </c>
      <c r="N412" s="29">
        <v>1</v>
      </c>
      <c r="P412" s="29">
        <v>1</v>
      </c>
      <c r="R412" s="29">
        <v>1</v>
      </c>
      <c r="S412" t="s">
        <v>70</v>
      </c>
      <c r="T412" t="s">
        <v>72</v>
      </c>
      <c r="U412" s="32">
        <v>30</v>
      </c>
      <c r="V412">
        <v>30</v>
      </c>
      <c r="W412" t="s">
        <v>79</v>
      </c>
      <c r="X412" t="s">
        <v>171</v>
      </c>
      <c r="Y412" t="s">
        <v>1583</v>
      </c>
      <c r="AA412" t="s">
        <v>75</v>
      </c>
      <c r="AC412" t="s">
        <v>83</v>
      </c>
      <c r="AE412" t="s">
        <v>75</v>
      </c>
      <c r="AF412" t="s">
        <v>84</v>
      </c>
      <c r="AG412" t="s">
        <v>84</v>
      </c>
      <c r="AH412" s="33">
        <f t="shared" si="19"/>
      </c>
      <c r="AI412" s="33">
        <f t="shared" si="20"/>
      </c>
    </row>
    <row r="413" ht="27.6" customHeight="1" spans="1:35" x14ac:dyDescent="0.25">
      <c r="A413" s="27" t="s">
        <v>1579</v>
      </c>
      <c r="B413">
        <f t="shared" si="18"/>
        <v>0</v>
      </c>
      <c r="C413" t="s">
        <v>64</v>
      </c>
      <c r="D413" s="27" t="s">
        <v>1580</v>
      </c>
      <c r="E413" t="s">
        <v>1581</v>
      </c>
      <c r="F413" s="28">
        <v>2</v>
      </c>
      <c r="G413" s="29">
        <v>1</v>
      </c>
      <c r="H413" s="30" t="s">
        <v>1584</v>
      </c>
      <c r="I413" t="s">
        <v>65</v>
      </c>
      <c r="J4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145</v>
      </c>
      <c r="L413" t="s">
        <v>146</v>
      </c>
      <c r="N413" s="29">
        <v>1</v>
      </c>
      <c r="P413" s="29">
        <v>1</v>
      </c>
      <c r="R413" s="29">
        <v>1</v>
      </c>
      <c r="S413" t="s">
        <v>70</v>
      </c>
      <c r="T413" t="s">
        <v>72</v>
      </c>
      <c r="U413" s="32">
        <v>30</v>
      </c>
      <c r="V413">
        <v>30</v>
      </c>
      <c r="W413" t="s">
        <v>79</v>
      </c>
      <c r="X413" t="s">
        <v>171</v>
      </c>
      <c r="Y413" t="s">
        <v>1583</v>
      </c>
      <c r="AA413" t="s">
        <v>75</v>
      </c>
      <c r="AC413" t="s">
        <v>83</v>
      </c>
      <c r="AE413" t="s">
        <v>75</v>
      </c>
      <c r="AF413" t="s">
        <v>84</v>
      </c>
      <c r="AG413" t="s">
        <v>84</v>
      </c>
      <c r="AH413" s="33">
        <f t="shared" si="19"/>
      </c>
      <c r="AI413" s="33">
        <f t="shared" si="20"/>
      </c>
    </row>
    <row r="414" ht="27.6" customHeight="1" spans="1:35" x14ac:dyDescent="0.25">
      <c r="A414" s="27" t="s">
        <v>1585</v>
      </c>
      <c r="B414">
        <f t="shared" si="18"/>
        <v>0</v>
      </c>
      <c r="C414" t="s">
        <v>64</v>
      </c>
      <c r="D414" s="27" t="s">
        <v>102</v>
      </c>
      <c r="E414" t="s">
        <v>1586</v>
      </c>
      <c r="F414" s="28">
        <v>0</v>
      </c>
      <c r="G414" s="29">
        <v>1</v>
      </c>
      <c r="H414" s="30" t="s">
        <v>1587</v>
      </c>
      <c r="I414" t="s">
        <v>65</v>
      </c>
      <c r="J4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145</v>
      </c>
      <c r="L414" t="s">
        <v>146</v>
      </c>
      <c r="N414" s="29">
        <v>1</v>
      </c>
      <c r="P414" s="29">
        <v>1</v>
      </c>
      <c r="R414" s="29">
        <v>1</v>
      </c>
      <c r="S414" t="s">
        <v>70</v>
      </c>
      <c r="T414" t="s">
        <v>72</v>
      </c>
      <c r="U414" s="32">
        <v>30</v>
      </c>
      <c r="V414">
        <v>30</v>
      </c>
      <c r="W414" t="s">
        <v>79</v>
      </c>
      <c r="X414" t="s">
        <v>980</v>
      </c>
      <c r="Y414" t="s">
        <v>1586</v>
      </c>
      <c r="AA414" t="s">
        <v>75</v>
      </c>
      <c r="AC414" t="s">
        <v>83</v>
      </c>
      <c r="AE414" t="s">
        <v>75</v>
      </c>
      <c r="AF414" t="s">
        <v>84</v>
      </c>
      <c r="AG414" t="s">
        <v>84</v>
      </c>
      <c r="AH414" s="33">
        <f t="shared" si="19"/>
      </c>
      <c r="AI414" s="33">
        <f t="shared" si="20"/>
      </c>
    </row>
    <row r="415" ht="27.6" customHeight="1" spans="1:35" x14ac:dyDescent="0.25">
      <c r="A415" s="27" t="s">
        <v>1588</v>
      </c>
      <c r="B415">
        <f t="shared" si="18"/>
        <v>0</v>
      </c>
      <c r="C415" t="s">
        <v>64</v>
      </c>
      <c r="D415" s="27" t="s">
        <v>102</v>
      </c>
      <c r="E415" t="s">
        <v>1589</v>
      </c>
      <c r="F415" s="28">
        <v>0</v>
      </c>
      <c r="G415" s="29">
        <v>1</v>
      </c>
      <c r="H415" s="30" t="s">
        <v>1590</v>
      </c>
      <c r="I415" t="s">
        <v>65</v>
      </c>
      <c r="J4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145</v>
      </c>
      <c r="L415" t="s">
        <v>146</v>
      </c>
      <c r="N415" s="29">
        <v>1</v>
      </c>
      <c r="P415" s="29">
        <v>1</v>
      </c>
      <c r="R415" s="29">
        <v>1</v>
      </c>
      <c r="S415" t="s">
        <v>70</v>
      </c>
      <c r="T415" t="s">
        <v>72</v>
      </c>
      <c r="U415" s="32">
        <v>30</v>
      </c>
      <c r="V415">
        <v>30</v>
      </c>
      <c r="W415" t="s">
        <v>79</v>
      </c>
      <c r="X415" t="s">
        <v>980</v>
      </c>
      <c r="Y415" t="s">
        <v>1589</v>
      </c>
      <c r="AA415" t="s">
        <v>75</v>
      </c>
      <c r="AC415" t="s">
        <v>83</v>
      </c>
      <c r="AE415" t="s">
        <v>75</v>
      </c>
      <c r="AF415" t="s">
        <v>84</v>
      </c>
      <c r="AG415" t="s">
        <v>84</v>
      </c>
      <c r="AH415" s="33">
        <f t="shared" si="19"/>
      </c>
      <c r="AI415" s="33">
        <f t="shared" si="20"/>
      </c>
    </row>
    <row r="416" ht="27.6" customHeight="1" spans="1:35" x14ac:dyDescent="0.25">
      <c r="A416" s="27" t="s">
        <v>1591</v>
      </c>
      <c r="B416">
        <f t="shared" si="18"/>
        <v>0</v>
      </c>
      <c r="C416" t="s">
        <v>64</v>
      </c>
      <c r="D416" s="27" t="s">
        <v>102</v>
      </c>
      <c r="E416" t="s">
        <v>1592</v>
      </c>
      <c r="F416" s="28">
        <v>0</v>
      </c>
      <c r="G416" s="29">
        <v>1</v>
      </c>
      <c r="H416" s="30" t="s">
        <v>1593</v>
      </c>
      <c r="I416" t="s">
        <v>65</v>
      </c>
      <c r="J4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145</v>
      </c>
      <c r="L416" t="s">
        <v>146</v>
      </c>
      <c r="N416" s="29">
        <v>1</v>
      </c>
      <c r="P416" s="29">
        <v>1</v>
      </c>
      <c r="R416" s="29">
        <v>1</v>
      </c>
      <c r="S416" t="s">
        <v>70</v>
      </c>
      <c r="T416" t="s">
        <v>72</v>
      </c>
      <c r="U416" s="32">
        <v>30</v>
      </c>
      <c r="V416">
        <v>30</v>
      </c>
      <c r="W416" t="s">
        <v>79</v>
      </c>
      <c r="X416" t="s">
        <v>980</v>
      </c>
      <c r="Y416" t="s">
        <v>1592</v>
      </c>
      <c r="AA416" t="s">
        <v>75</v>
      </c>
      <c r="AC416" t="s">
        <v>83</v>
      </c>
      <c r="AE416" t="s">
        <v>75</v>
      </c>
      <c r="AF416" t="s">
        <v>84</v>
      </c>
      <c r="AG416" t="s">
        <v>84</v>
      </c>
      <c r="AH416" s="33">
        <f t="shared" si="19"/>
      </c>
      <c r="AI416" s="33">
        <f t="shared" si="20"/>
      </c>
    </row>
    <row r="417" ht="27.6" customHeight="1" spans="1:35" x14ac:dyDescent="0.25">
      <c r="A417" s="27" t="s">
        <v>918</v>
      </c>
      <c r="B417">
        <f t="shared" si="18"/>
        <v>0</v>
      </c>
      <c r="C417" t="s">
        <v>64</v>
      </c>
      <c r="D417" s="27" t="s">
        <v>1594</v>
      </c>
      <c r="E417" t="s">
        <v>1595</v>
      </c>
      <c r="F417" s="28">
        <v>2</v>
      </c>
      <c r="G417" s="29">
        <v>1</v>
      </c>
      <c r="H417" s="30" t="s">
        <v>1596</v>
      </c>
      <c r="I417" t="s">
        <v>65</v>
      </c>
      <c r="J4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145</v>
      </c>
      <c r="L417" t="s">
        <v>146</v>
      </c>
      <c r="N417" s="29">
        <v>1</v>
      </c>
      <c r="P417" s="29">
        <v>1</v>
      </c>
      <c r="R417" s="29">
        <v>1</v>
      </c>
      <c r="S417" t="s">
        <v>70</v>
      </c>
      <c r="T417" t="s">
        <v>72</v>
      </c>
      <c r="U417" s="32">
        <v>30</v>
      </c>
      <c r="V417">
        <v>30</v>
      </c>
      <c r="W417" t="s">
        <v>79</v>
      </c>
      <c r="X417" t="s">
        <v>171</v>
      </c>
      <c r="Y417" t="s">
        <v>1597</v>
      </c>
      <c r="AA417" t="s">
        <v>75</v>
      </c>
      <c r="AC417" t="s">
        <v>83</v>
      </c>
      <c r="AE417" t="s">
        <v>75</v>
      </c>
      <c r="AF417" t="s">
        <v>84</v>
      </c>
      <c r="AG417" t="s">
        <v>84</v>
      </c>
      <c r="AH417" s="33">
        <f t="shared" si="19"/>
      </c>
      <c r="AI417" s="33">
        <f t="shared" si="20"/>
      </c>
    </row>
    <row r="418" ht="27.6" customHeight="1" spans="1:35" x14ac:dyDescent="0.25">
      <c r="A418" s="27" t="s">
        <v>918</v>
      </c>
      <c r="B418">
        <f t="shared" si="18"/>
        <v>0</v>
      </c>
      <c r="C418" t="s">
        <v>64</v>
      </c>
      <c r="D418" s="27" t="s">
        <v>1594</v>
      </c>
      <c r="E418" t="s">
        <v>1595</v>
      </c>
      <c r="F418" s="28">
        <v>2</v>
      </c>
      <c r="G418" s="29">
        <v>1</v>
      </c>
      <c r="H418" s="30" t="s">
        <v>1598</v>
      </c>
      <c r="I418" t="s">
        <v>65</v>
      </c>
      <c r="J4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145</v>
      </c>
      <c r="L418" t="s">
        <v>146</v>
      </c>
      <c r="N418" s="29">
        <v>1</v>
      </c>
      <c r="P418" s="29">
        <v>1</v>
      </c>
      <c r="R418" s="29">
        <v>1</v>
      </c>
      <c r="S418" t="s">
        <v>70</v>
      </c>
      <c r="T418" t="s">
        <v>72</v>
      </c>
      <c r="U418" s="32">
        <v>30</v>
      </c>
      <c r="V418">
        <v>30</v>
      </c>
      <c r="W418" t="s">
        <v>79</v>
      </c>
      <c r="X418" t="s">
        <v>171</v>
      </c>
      <c r="Y418" t="s">
        <v>1597</v>
      </c>
      <c r="AA418" t="s">
        <v>75</v>
      </c>
      <c r="AC418" t="s">
        <v>83</v>
      </c>
      <c r="AE418" t="s">
        <v>75</v>
      </c>
      <c r="AF418" t="s">
        <v>84</v>
      </c>
      <c r="AG418" t="s">
        <v>84</v>
      </c>
      <c r="AH418" s="33">
        <f t="shared" si="19"/>
      </c>
      <c r="AI418" s="33">
        <f t="shared" si="20"/>
      </c>
    </row>
    <row r="419" ht="27.6" customHeight="1" spans="1:35" x14ac:dyDescent="0.25">
      <c r="A419" s="27" t="s">
        <v>1599</v>
      </c>
      <c r="B419">
        <f t="shared" si="18"/>
        <v>0</v>
      </c>
      <c r="C419" t="s">
        <v>64</v>
      </c>
      <c r="D419" s="27" t="s">
        <v>102</v>
      </c>
      <c r="E419" t="s">
        <v>1600</v>
      </c>
      <c r="F419" s="28">
        <v>0</v>
      </c>
      <c r="G419" s="29">
        <v>1</v>
      </c>
      <c r="H419" s="30" t="s">
        <v>1601</v>
      </c>
      <c r="I419" t="s">
        <v>65</v>
      </c>
      <c r="J4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145</v>
      </c>
      <c r="L419" t="s">
        <v>146</v>
      </c>
      <c r="N419" s="29">
        <v>1</v>
      </c>
      <c r="P419" s="29">
        <v>1</v>
      </c>
      <c r="R419" s="29">
        <v>1</v>
      </c>
      <c r="S419" t="s">
        <v>70</v>
      </c>
      <c r="T419" t="s">
        <v>72</v>
      </c>
      <c r="U419" s="32">
        <v>30</v>
      </c>
      <c r="V419">
        <v>30</v>
      </c>
      <c r="W419" t="s">
        <v>79</v>
      </c>
      <c r="X419" t="s">
        <v>980</v>
      </c>
      <c r="Y419" t="s">
        <v>1600</v>
      </c>
      <c r="AA419" t="s">
        <v>75</v>
      </c>
      <c r="AC419" t="s">
        <v>83</v>
      </c>
      <c r="AE419" t="s">
        <v>75</v>
      </c>
      <c r="AF419" t="s">
        <v>84</v>
      </c>
      <c r="AG419" t="s">
        <v>84</v>
      </c>
      <c r="AH419" s="33">
        <f t="shared" si="19"/>
      </c>
      <c r="AI419" s="33">
        <f t="shared" si="20"/>
      </c>
    </row>
    <row r="420" ht="27.6" customHeight="1" spans="1:35" x14ac:dyDescent="0.25">
      <c r="A420" s="27" t="s">
        <v>1602</v>
      </c>
      <c r="B420">
        <f t="shared" si="18"/>
        <v>0</v>
      </c>
      <c r="C420" t="s">
        <v>64</v>
      </c>
      <c r="D420" s="27" t="s">
        <v>1603</v>
      </c>
      <c r="E420" t="s">
        <v>1604</v>
      </c>
      <c r="F420" s="28">
        <v>0</v>
      </c>
      <c r="G420" s="29">
        <v>1</v>
      </c>
      <c r="H420" s="30" t="s">
        <v>1605</v>
      </c>
      <c r="I420" t="s">
        <v>65</v>
      </c>
      <c r="J4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145</v>
      </c>
      <c r="L420" t="s">
        <v>146</v>
      </c>
      <c r="N420" s="29">
        <v>1</v>
      </c>
      <c r="P420" s="29">
        <v>1</v>
      </c>
      <c r="R420" s="29">
        <v>1</v>
      </c>
      <c r="S420" t="s">
        <v>70</v>
      </c>
      <c r="T420" t="s">
        <v>72</v>
      </c>
      <c r="U420" s="32">
        <v>30</v>
      </c>
      <c r="V420">
        <v>30</v>
      </c>
      <c r="W420" t="s">
        <v>79</v>
      </c>
      <c r="X420" t="s">
        <v>171</v>
      </c>
      <c r="Y420" t="s">
        <v>1606</v>
      </c>
      <c r="AA420" t="s">
        <v>75</v>
      </c>
      <c r="AC420" t="s">
        <v>83</v>
      </c>
      <c r="AE420" t="s">
        <v>75</v>
      </c>
      <c r="AF420" t="s">
        <v>84</v>
      </c>
      <c r="AG420" t="s">
        <v>84</v>
      </c>
      <c r="AH420" s="33">
        <f t="shared" si="19"/>
      </c>
      <c r="AI420" s="33">
        <f t="shared" si="20"/>
      </c>
    </row>
    <row r="421" ht="27.6" customHeight="1" spans="1:35" x14ac:dyDescent="0.25">
      <c r="A421" s="27" t="s">
        <v>1607</v>
      </c>
      <c r="B421">
        <f t="shared" si="18"/>
        <v>0</v>
      </c>
      <c r="C421" t="s">
        <v>64</v>
      </c>
      <c r="D421" s="27" t="s">
        <v>1603</v>
      </c>
      <c r="E421" t="s">
        <v>1604</v>
      </c>
      <c r="F421" s="28">
        <v>0</v>
      </c>
      <c r="G421" s="29">
        <v>1</v>
      </c>
      <c r="H421" s="30" t="s">
        <v>1608</v>
      </c>
      <c r="I421" t="s">
        <v>65</v>
      </c>
      <c r="J4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145</v>
      </c>
      <c r="L421" t="s">
        <v>146</v>
      </c>
      <c r="N421" s="29">
        <v>1</v>
      </c>
      <c r="P421" s="29">
        <v>1</v>
      </c>
      <c r="R421" s="29">
        <v>1</v>
      </c>
      <c r="S421" t="s">
        <v>70</v>
      </c>
      <c r="T421" t="s">
        <v>72</v>
      </c>
      <c r="U421" s="32">
        <v>30</v>
      </c>
      <c r="V421">
        <v>30</v>
      </c>
      <c r="W421" t="s">
        <v>79</v>
      </c>
      <c r="X421" t="s">
        <v>171</v>
      </c>
      <c r="Y421" t="s">
        <v>1606</v>
      </c>
      <c r="AA421" t="s">
        <v>75</v>
      </c>
      <c r="AC421" t="s">
        <v>83</v>
      </c>
      <c r="AE421" t="s">
        <v>75</v>
      </c>
      <c r="AF421" t="s">
        <v>84</v>
      </c>
      <c r="AG421" t="s">
        <v>84</v>
      </c>
      <c r="AH421" s="33">
        <f t="shared" si="19"/>
      </c>
      <c r="AI421" s="33">
        <f t="shared" si="20"/>
      </c>
    </row>
    <row r="422" ht="27.6" customHeight="1" spans="1:35" x14ac:dyDescent="0.25">
      <c r="A422" s="27" t="s">
        <v>1609</v>
      </c>
      <c r="B422">
        <f t="shared" si="18"/>
        <v>0</v>
      </c>
      <c r="C422" t="s">
        <v>64</v>
      </c>
      <c r="D422" s="27" t="s">
        <v>1610</v>
      </c>
      <c r="E422" t="s">
        <v>1611</v>
      </c>
      <c r="F422" s="28">
        <v>2</v>
      </c>
      <c r="G422" s="29">
        <v>1</v>
      </c>
      <c r="H422" s="30" t="s">
        <v>1612</v>
      </c>
      <c r="I422" t="s">
        <v>65</v>
      </c>
      <c r="J4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145</v>
      </c>
      <c r="L422" t="s">
        <v>146</v>
      </c>
      <c r="N422" s="29">
        <v>1</v>
      </c>
      <c r="P422" s="29">
        <v>1</v>
      </c>
      <c r="R422" s="29">
        <v>1</v>
      </c>
      <c r="S422" t="s">
        <v>70</v>
      </c>
      <c r="T422" t="s">
        <v>72</v>
      </c>
      <c r="U422" s="32">
        <v>30</v>
      </c>
      <c r="V422">
        <v>30</v>
      </c>
      <c r="W422" t="s">
        <v>79</v>
      </c>
      <c r="X422" t="s">
        <v>171</v>
      </c>
      <c r="Y422" t="s">
        <v>1611</v>
      </c>
      <c r="AA422" t="s">
        <v>75</v>
      </c>
      <c r="AC422" t="s">
        <v>83</v>
      </c>
      <c r="AE422" t="s">
        <v>75</v>
      </c>
      <c r="AF422" t="s">
        <v>84</v>
      </c>
      <c r="AG422" t="s">
        <v>84</v>
      </c>
      <c r="AH422" s="33">
        <f t="shared" si="19"/>
      </c>
      <c r="AI422" s="33">
        <f t="shared" si="20"/>
      </c>
    </row>
    <row r="423" ht="27.6" customHeight="1" spans="1:35" x14ac:dyDescent="0.25">
      <c r="A423" s="27" t="s">
        <v>1613</v>
      </c>
      <c r="B423">
        <f t="shared" si="18"/>
        <v>0</v>
      </c>
      <c r="C423" t="s">
        <v>64</v>
      </c>
      <c r="D423" s="27" t="s">
        <v>1610</v>
      </c>
      <c r="E423" t="s">
        <v>1611</v>
      </c>
      <c r="F423" s="28">
        <v>2</v>
      </c>
      <c r="G423" s="29">
        <v>1</v>
      </c>
      <c r="H423" s="30" t="s">
        <v>1614</v>
      </c>
      <c r="I423" t="s">
        <v>65</v>
      </c>
      <c r="J4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145</v>
      </c>
      <c r="L423" t="s">
        <v>146</v>
      </c>
      <c r="N423" s="29">
        <v>1</v>
      </c>
      <c r="P423" s="29">
        <v>1</v>
      </c>
      <c r="R423" s="29">
        <v>1</v>
      </c>
      <c r="S423" t="s">
        <v>70</v>
      </c>
      <c r="T423" t="s">
        <v>72</v>
      </c>
      <c r="U423" s="32">
        <v>30</v>
      </c>
      <c r="V423">
        <v>30</v>
      </c>
      <c r="W423" t="s">
        <v>79</v>
      </c>
      <c r="X423" t="s">
        <v>171</v>
      </c>
      <c r="Y423" t="s">
        <v>1611</v>
      </c>
      <c r="AA423" t="s">
        <v>75</v>
      </c>
      <c r="AC423" t="s">
        <v>83</v>
      </c>
      <c r="AE423" t="s">
        <v>75</v>
      </c>
      <c r="AF423" t="s">
        <v>84</v>
      </c>
      <c r="AG423" t="s">
        <v>84</v>
      </c>
      <c r="AH423" s="33">
        <f t="shared" si="19"/>
      </c>
      <c r="AI423" s="33">
        <f t="shared" si="20"/>
      </c>
    </row>
    <row r="424" ht="27.6" customHeight="1" spans="1:35" x14ac:dyDescent="0.25">
      <c r="A424" s="27" t="s">
        <v>1615</v>
      </c>
      <c r="B424">
        <f t="shared" si="18"/>
        <v>0</v>
      </c>
      <c r="C424" t="s">
        <v>64</v>
      </c>
      <c r="D424" s="27" t="s">
        <v>1610</v>
      </c>
      <c r="E424" t="s">
        <v>1611</v>
      </c>
      <c r="F424" s="28">
        <v>2</v>
      </c>
      <c r="G424" s="29">
        <v>1</v>
      </c>
      <c r="H424" s="30" t="s">
        <v>1616</v>
      </c>
      <c r="I424" t="s">
        <v>65</v>
      </c>
      <c r="J4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145</v>
      </c>
      <c r="L424" t="s">
        <v>146</v>
      </c>
      <c r="N424" s="29">
        <v>1</v>
      </c>
      <c r="P424" s="29">
        <v>1</v>
      </c>
      <c r="R424" s="29">
        <v>1</v>
      </c>
      <c r="S424" t="s">
        <v>70</v>
      </c>
      <c r="T424" t="s">
        <v>72</v>
      </c>
      <c r="U424" s="32">
        <v>30</v>
      </c>
      <c r="V424">
        <v>30</v>
      </c>
      <c r="W424" t="s">
        <v>79</v>
      </c>
      <c r="X424" t="s">
        <v>171</v>
      </c>
      <c r="Y424" t="s">
        <v>1611</v>
      </c>
      <c r="AA424" t="s">
        <v>75</v>
      </c>
      <c r="AC424" t="s">
        <v>83</v>
      </c>
      <c r="AE424" t="s">
        <v>75</v>
      </c>
      <c r="AF424" t="s">
        <v>84</v>
      </c>
      <c r="AG424" t="s">
        <v>84</v>
      </c>
      <c r="AH424" s="33">
        <f t="shared" si="19"/>
      </c>
      <c r="AI424" s="33">
        <f t="shared" si="20"/>
      </c>
    </row>
    <row r="425" ht="27.6" customHeight="1" spans="1:35" x14ac:dyDescent="0.25">
      <c r="A425" s="27" t="s">
        <v>1617</v>
      </c>
      <c r="B425">
        <f t="shared" si="18"/>
        <v>0</v>
      </c>
      <c r="C425" t="s">
        <v>64</v>
      </c>
      <c r="D425" s="27" t="s">
        <v>102</v>
      </c>
      <c r="E425" t="s">
        <v>1618</v>
      </c>
      <c r="F425" s="28">
        <v>2</v>
      </c>
      <c r="G425" s="29">
        <v>1</v>
      </c>
      <c r="H425" s="30" t="s">
        <v>1619</v>
      </c>
      <c r="I425" t="s">
        <v>65</v>
      </c>
      <c r="J4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145</v>
      </c>
      <c r="L425" t="s">
        <v>146</v>
      </c>
      <c r="N425" s="29">
        <v>1</v>
      </c>
      <c r="P425" s="29">
        <v>1</v>
      </c>
      <c r="R425" s="29">
        <v>1</v>
      </c>
      <c r="S425" t="s">
        <v>70</v>
      </c>
      <c r="T425" t="s">
        <v>72</v>
      </c>
      <c r="U425" s="32">
        <v>30</v>
      </c>
      <c r="V425">
        <v>30</v>
      </c>
      <c r="W425" t="s">
        <v>79</v>
      </c>
      <c r="X425" t="s">
        <v>171</v>
      </c>
      <c r="Y425" t="s">
        <v>1620</v>
      </c>
      <c r="AA425" t="s">
        <v>75</v>
      </c>
      <c r="AC425" t="s">
        <v>83</v>
      </c>
      <c r="AE425" t="s">
        <v>75</v>
      </c>
      <c r="AF425" t="s">
        <v>84</v>
      </c>
      <c r="AG425" t="s">
        <v>84</v>
      </c>
      <c r="AH425" s="33">
        <f t="shared" si="19"/>
      </c>
      <c r="AI425" s="33">
        <f t="shared" si="20"/>
      </c>
    </row>
    <row r="426" ht="27.6" customHeight="1" spans="1:35" x14ac:dyDescent="0.25">
      <c r="A426" s="27" t="s">
        <v>1621</v>
      </c>
      <c r="B426">
        <f t="shared" si="18"/>
        <v>0</v>
      </c>
      <c r="C426" t="s">
        <v>64</v>
      </c>
      <c r="D426" s="27" t="s">
        <v>1622</v>
      </c>
      <c r="E426" t="s">
        <v>1623</v>
      </c>
      <c r="F426" s="28">
        <v>2</v>
      </c>
      <c r="G426" s="29">
        <v>1</v>
      </c>
      <c r="H426" s="30" t="s">
        <v>1624</v>
      </c>
      <c r="I426" t="s">
        <v>65</v>
      </c>
      <c r="J4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145</v>
      </c>
      <c r="L426" t="s">
        <v>146</v>
      </c>
      <c r="N426" s="29">
        <v>1</v>
      </c>
      <c r="P426" s="29">
        <v>1</v>
      </c>
      <c r="R426" s="29">
        <v>1</v>
      </c>
      <c r="S426" t="s">
        <v>70</v>
      </c>
      <c r="T426" t="s">
        <v>72</v>
      </c>
      <c r="U426" s="32">
        <v>30</v>
      </c>
      <c r="V426">
        <v>30</v>
      </c>
      <c r="W426" t="s">
        <v>79</v>
      </c>
      <c r="X426" t="s">
        <v>171</v>
      </c>
      <c r="Y426" t="s">
        <v>1625</v>
      </c>
      <c r="AA426" t="s">
        <v>75</v>
      </c>
      <c r="AC426" t="s">
        <v>83</v>
      </c>
      <c r="AE426" t="s">
        <v>75</v>
      </c>
      <c r="AF426" t="s">
        <v>84</v>
      </c>
      <c r="AG426" t="s">
        <v>84</v>
      </c>
      <c r="AH426" s="33">
        <f t="shared" si="19"/>
      </c>
      <c r="AI426" s="33">
        <f t="shared" si="20"/>
      </c>
    </row>
    <row r="427" ht="27.6" customHeight="1" spans="1:35" x14ac:dyDescent="0.25">
      <c r="A427" s="27" t="s">
        <v>1626</v>
      </c>
      <c r="B427">
        <f t="shared" si="18"/>
        <v>0</v>
      </c>
      <c r="C427" t="s">
        <v>64</v>
      </c>
      <c r="D427" s="27" t="s">
        <v>102</v>
      </c>
      <c r="E427" t="s">
        <v>1627</v>
      </c>
      <c r="F427" s="28">
        <v>2</v>
      </c>
      <c r="G427" s="29">
        <v>1</v>
      </c>
      <c r="H427" s="30" t="s">
        <v>1628</v>
      </c>
      <c r="I427" t="s">
        <v>65</v>
      </c>
      <c r="J4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145</v>
      </c>
      <c r="L427" t="s">
        <v>146</v>
      </c>
      <c r="N427" s="29">
        <v>1</v>
      </c>
      <c r="P427" s="29">
        <v>1</v>
      </c>
      <c r="R427" s="29">
        <v>1</v>
      </c>
      <c r="S427" t="s">
        <v>70</v>
      </c>
      <c r="T427" t="s">
        <v>72</v>
      </c>
      <c r="U427" s="32">
        <v>30</v>
      </c>
      <c r="V427">
        <v>30</v>
      </c>
      <c r="W427" t="s">
        <v>79</v>
      </c>
      <c r="X427" t="s">
        <v>171</v>
      </c>
      <c r="Y427" t="s">
        <v>1629</v>
      </c>
      <c r="AA427" t="s">
        <v>75</v>
      </c>
      <c r="AC427" t="s">
        <v>83</v>
      </c>
      <c r="AE427" t="s">
        <v>75</v>
      </c>
      <c r="AF427" t="s">
        <v>84</v>
      </c>
      <c r="AG427" t="s">
        <v>84</v>
      </c>
      <c r="AH427" s="33">
        <f t="shared" si="19"/>
      </c>
      <c r="AI427" s="33">
        <f t="shared" si="20"/>
      </c>
    </row>
    <row r="428" ht="27.6" customHeight="1" spans="1:35" x14ac:dyDescent="0.25">
      <c r="A428" s="27" t="s">
        <v>1630</v>
      </c>
      <c r="B428">
        <f t="shared" si="18"/>
        <v>0</v>
      </c>
      <c r="C428" t="s">
        <v>64</v>
      </c>
      <c r="D428" s="27" t="s">
        <v>102</v>
      </c>
      <c r="E428" t="s">
        <v>1631</v>
      </c>
      <c r="F428" s="28">
        <v>2</v>
      </c>
      <c r="G428" s="29">
        <v>1</v>
      </c>
      <c r="H428" s="30" t="s">
        <v>1632</v>
      </c>
      <c r="I428" t="s">
        <v>65</v>
      </c>
      <c r="J4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145</v>
      </c>
      <c r="L428" t="s">
        <v>146</v>
      </c>
      <c r="N428" s="29">
        <v>1</v>
      </c>
      <c r="P428" s="29">
        <v>1</v>
      </c>
      <c r="R428" s="29">
        <v>1</v>
      </c>
      <c r="S428" t="s">
        <v>70</v>
      </c>
      <c r="T428" t="s">
        <v>72</v>
      </c>
      <c r="U428" s="32">
        <v>30</v>
      </c>
      <c r="V428">
        <v>30</v>
      </c>
      <c r="W428" t="s">
        <v>79</v>
      </c>
      <c r="X428" t="s">
        <v>171</v>
      </c>
      <c r="Y428" t="s">
        <v>868</v>
      </c>
      <c r="AA428" t="s">
        <v>75</v>
      </c>
      <c r="AC428" t="s">
        <v>83</v>
      </c>
      <c r="AE428" t="s">
        <v>75</v>
      </c>
      <c r="AF428" t="s">
        <v>84</v>
      </c>
      <c r="AG428" t="s">
        <v>84</v>
      </c>
      <c r="AH428" s="33">
        <f t="shared" si="19"/>
      </c>
      <c r="AI428" s="33">
        <f t="shared" si="20"/>
      </c>
    </row>
    <row r="429" ht="27.6" customHeight="1" spans="1:35" x14ac:dyDescent="0.25">
      <c r="A429" s="27" t="s">
        <v>1633</v>
      </c>
      <c r="B429">
        <f t="shared" si="18"/>
        <v>0</v>
      </c>
      <c r="C429" t="s">
        <v>64</v>
      </c>
      <c r="D429" s="27" t="s">
        <v>1634</v>
      </c>
      <c r="E429" t="s">
        <v>1635</v>
      </c>
      <c r="F429" s="28">
        <v>2</v>
      </c>
      <c r="G429" s="29">
        <v>1</v>
      </c>
      <c r="H429" s="30" t="s">
        <v>1636</v>
      </c>
      <c r="I429" t="s">
        <v>65</v>
      </c>
      <c r="J4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145</v>
      </c>
      <c r="L429" t="s">
        <v>146</v>
      </c>
      <c r="N429" s="29">
        <v>1</v>
      </c>
      <c r="P429" s="29">
        <v>1</v>
      </c>
      <c r="R429" s="29">
        <v>1</v>
      </c>
      <c r="S429" t="s">
        <v>70</v>
      </c>
      <c r="T429" t="s">
        <v>72</v>
      </c>
      <c r="U429" s="32">
        <v>30</v>
      </c>
      <c r="V429">
        <v>30</v>
      </c>
      <c r="W429" t="s">
        <v>79</v>
      </c>
      <c r="X429" t="s">
        <v>171</v>
      </c>
      <c r="Y429" t="s">
        <v>1637</v>
      </c>
      <c r="AA429" t="s">
        <v>75</v>
      </c>
      <c r="AC429" t="s">
        <v>83</v>
      </c>
      <c r="AE429" t="s">
        <v>75</v>
      </c>
      <c r="AF429" t="s">
        <v>84</v>
      </c>
      <c r="AG429" t="s">
        <v>84</v>
      </c>
      <c r="AH429" s="33">
        <f t="shared" si="19"/>
      </c>
      <c r="AI429" s="33">
        <f t="shared" si="20"/>
      </c>
    </row>
    <row r="430" ht="27.6" customHeight="1" spans="1:35" x14ac:dyDescent="0.25">
      <c r="A430" s="27" t="s">
        <v>1633</v>
      </c>
      <c r="B430">
        <f t="shared" si="18"/>
        <v>0</v>
      </c>
      <c r="C430" t="s">
        <v>64</v>
      </c>
      <c r="D430" s="27" t="s">
        <v>1638</v>
      </c>
      <c r="E430" t="s">
        <v>1639</v>
      </c>
      <c r="F430" s="28">
        <v>0</v>
      </c>
      <c r="G430" s="29">
        <v>1</v>
      </c>
      <c r="H430" s="30" t="s">
        <v>1640</v>
      </c>
      <c r="I430" t="s">
        <v>65</v>
      </c>
      <c r="J4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145</v>
      </c>
      <c r="L430" t="s">
        <v>146</v>
      </c>
      <c r="N430" s="29">
        <v>1</v>
      </c>
      <c r="P430" s="29">
        <v>1</v>
      </c>
      <c r="R430" s="29">
        <v>1</v>
      </c>
      <c r="S430" t="s">
        <v>70</v>
      </c>
      <c r="T430" t="s">
        <v>72</v>
      </c>
      <c r="U430" s="32">
        <v>30</v>
      </c>
      <c r="V430">
        <v>30</v>
      </c>
      <c r="W430" t="s">
        <v>79</v>
      </c>
      <c r="X430" t="s">
        <v>166</v>
      </c>
      <c r="Y430" t="s">
        <v>1637</v>
      </c>
      <c r="AA430" t="s">
        <v>75</v>
      </c>
      <c r="AC430" t="s">
        <v>83</v>
      </c>
      <c r="AE430" t="s">
        <v>75</v>
      </c>
      <c r="AF430" t="s">
        <v>84</v>
      </c>
      <c r="AG430" t="s">
        <v>84</v>
      </c>
      <c r="AH430" s="33">
        <f t="shared" si="19"/>
      </c>
      <c r="AI430" s="33">
        <f t="shared" si="20"/>
      </c>
    </row>
    <row r="431" ht="27.6" customHeight="1" spans="1:35" x14ac:dyDescent="0.25">
      <c r="A431" s="27" t="s">
        <v>1641</v>
      </c>
      <c r="B431">
        <f t="shared" si="18"/>
        <v>0</v>
      </c>
      <c r="C431" t="s">
        <v>64</v>
      </c>
      <c r="D431" s="27" t="s">
        <v>1642</v>
      </c>
      <c r="E431" t="s">
        <v>1643</v>
      </c>
      <c r="F431" s="28">
        <v>2</v>
      </c>
      <c r="G431" s="29">
        <v>1</v>
      </c>
      <c r="H431" s="30" t="s">
        <v>1644</v>
      </c>
      <c r="I431" t="s">
        <v>65</v>
      </c>
      <c r="J4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145</v>
      </c>
      <c r="L431" t="s">
        <v>146</v>
      </c>
      <c r="N431" s="29">
        <v>1</v>
      </c>
      <c r="P431" s="29">
        <v>1</v>
      </c>
      <c r="R431" s="29">
        <v>1</v>
      </c>
      <c r="S431" t="s">
        <v>70</v>
      </c>
      <c r="T431" t="s">
        <v>72</v>
      </c>
      <c r="U431" s="32">
        <v>30</v>
      </c>
      <c r="V431">
        <v>30</v>
      </c>
      <c r="W431" t="s">
        <v>79</v>
      </c>
      <c r="X431" t="s">
        <v>171</v>
      </c>
      <c r="Y431" t="s">
        <v>1645</v>
      </c>
      <c r="AA431" t="s">
        <v>75</v>
      </c>
      <c r="AC431" t="s">
        <v>83</v>
      </c>
      <c r="AE431" t="s">
        <v>75</v>
      </c>
      <c r="AF431" t="s">
        <v>84</v>
      </c>
      <c r="AG431" t="s">
        <v>84</v>
      </c>
      <c r="AH431" s="33">
        <f t="shared" si="19"/>
      </c>
      <c r="AI431" s="33">
        <f t="shared" si="20"/>
      </c>
    </row>
    <row r="432" ht="27.6" customHeight="1" spans="1:35" x14ac:dyDescent="0.25">
      <c r="A432" s="27" t="s">
        <v>875</v>
      </c>
      <c r="B432">
        <f t="shared" si="18"/>
        <v>0</v>
      </c>
      <c r="C432" t="s">
        <v>64</v>
      </c>
      <c r="D432" s="27" t="s">
        <v>1646</v>
      </c>
      <c r="E432" t="s">
        <v>1647</v>
      </c>
      <c r="F432" s="28">
        <v>2</v>
      </c>
      <c r="G432" s="29">
        <v>1</v>
      </c>
      <c r="H432" s="30" t="s">
        <v>1648</v>
      </c>
      <c r="I432" t="s">
        <v>65</v>
      </c>
      <c r="J4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145</v>
      </c>
      <c r="L432" t="s">
        <v>146</v>
      </c>
      <c r="N432" s="29">
        <v>1</v>
      </c>
      <c r="P432" s="29">
        <v>1</v>
      </c>
      <c r="R432" s="29">
        <v>1</v>
      </c>
      <c r="S432" t="s">
        <v>70</v>
      </c>
      <c r="T432" t="s">
        <v>72</v>
      </c>
      <c r="U432" s="32">
        <v>30</v>
      </c>
      <c r="V432">
        <v>30</v>
      </c>
      <c r="W432" t="s">
        <v>79</v>
      </c>
      <c r="X432" t="s">
        <v>171</v>
      </c>
      <c r="Y432" t="s">
        <v>879</v>
      </c>
      <c r="AA432" t="s">
        <v>75</v>
      </c>
      <c r="AC432" t="s">
        <v>83</v>
      </c>
      <c r="AE432" t="s">
        <v>75</v>
      </c>
      <c r="AF432" t="s">
        <v>84</v>
      </c>
      <c r="AG432" t="s">
        <v>84</v>
      </c>
      <c r="AH432" s="33">
        <f t="shared" si="19"/>
      </c>
      <c r="AI432" s="33">
        <f t="shared" si="20"/>
      </c>
    </row>
    <row r="433" ht="27.6" customHeight="1" spans="1:35" x14ac:dyDescent="0.25">
      <c r="A433" s="27" t="s">
        <v>880</v>
      </c>
      <c r="B433">
        <f t="shared" si="18"/>
        <v>0</v>
      </c>
      <c r="C433" t="s">
        <v>64</v>
      </c>
      <c r="D433" s="27" t="s">
        <v>1649</v>
      </c>
      <c r="E433" t="s">
        <v>884</v>
      </c>
      <c r="F433" s="28">
        <v>2</v>
      </c>
      <c r="G433" s="29">
        <v>1</v>
      </c>
      <c r="H433" s="30" t="s">
        <v>1650</v>
      </c>
      <c r="I433" t="s">
        <v>65</v>
      </c>
      <c r="J4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145</v>
      </c>
      <c r="L433" t="s">
        <v>146</v>
      </c>
      <c r="N433" s="29">
        <v>1</v>
      </c>
      <c r="P433" s="29">
        <v>1</v>
      </c>
      <c r="R433" s="29">
        <v>1</v>
      </c>
      <c r="S433" t="s">
        <v>70</v>
      </c>
      <c r="T433" t="s">
        <v>72</v>
      </c>
      <c r="U433" s="32">
        <v>30</v>
      </c>
      <c r="V433">
        <v>30</v>
      </c>
      <c r="W433" t="s">
        <v>79</v>
      </c>
      <c r="X433" t="s">
        <v>171</v>
      </c>
      <c r="Y433" t="s">
        <v>1651</v>
      </c>
      <c r="AA433" t="s">
        <v>75</v>
      </c>
      <c r="AC433" t="s">
        <v>83</v>
      </c>
      <c r="AE433" t="s">
        <v>75</v>
      </c>
      <c r="AF433" t="s">
        <v>84</v>
      </c>
      <c r="AG433" t="s">
        <v>84</v>
      </c>
      <c r="AH433" s="33">
        <f t="shared" si="19"/>
      </c>
      <c r="AI433" s="33">
        <f t="shared" si="20"/>
      </c>
    </row>
    <row r="434" ht="27.6" customHeight="1" spans="1:35" x14ac:dyDescent="0.25">
      <c r="A434" s="27" t="s">
        <v>885</v>
      </c>
      <c r="B434">
        <f t="shared" si="18"/>
        <v>0</v>
      </c>
      <c r="C434" t="s">
        <v>64</v>
      </c>
      <c r="D434" s="27" t="s">
        <v>1652</v>
      </c>
      <c r="E434" t="s">
        <v>1653</v>
      </c>
      <c r="F434" s="28">
        <v>2</v>
      </c>
      <c r="G434" s="29">
        <v>1</v>
      </c>
      <c r="H434" s="30" t="s">
        <v>1654</v>
      </c>
      <c r="I434" t="s">
        <v>65</v>
      </c>
      <c r="J4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145</v>
      </c>
      <c r="L434" t="s">
        <v>146</v>
      </c>
      <c r="N434" s="29">
        <v>1</v>
      </c>
      <c r="P434" s="29">
        <v>1</v>
      </c>
      <c r="R434" s="29">
        <v>1</v>
      </c>
      <c r="S434" t="s">
        <v>70</v>
      </c>
      <c r="T434" t="s">
        <v>72</v>
      </c>
      <c r="U434" s="32">
        <v>30</v>
      </c>
      <c r="V434">
        <v>30</v>
      </c>
      <c r="W434" t="s">
        <v>79</v>
      </c>
      <c r="X434" t="s">
        <v>171</v>
      </c>
      <c r="Y434" t="s">
        <v>889</v>
      </c>
      <c r="AA434" t="s">
        <v>75</v>
      </c>
      <c r="AC434" t="s">
        <v>83</v>
      </c>
      <c r="AE434" t="s">
        <v>75</v>
      </c>
      <c r="AF434" t="s">
        <v>84</v>
      </c>
      <c r="AG434" t="s">
        <v>84</v>
      </c>
      <c r="AH434" s="33">
        <f t="shared" si="19"/>
      </c>
      <c r="AI434" s="33">
        <f t="shared" si="20"/>
      </c>
    </row>
    <row r="435" ht="27.6" customHeight="1" spans="1:35" x14ac:dyDescent="0.25">
      <c r="A435" s="27" t="s">
        <v>885</v>
      </c>
      <c r="B435">
        <f t="shared" si="18"/>
        <v>0</v>
      </c>
      <c r="C435" t="s">
        <v>64</v>
      </c>
      <c r="D435" s="27" t="s">
        <v>102</v>
      </c>
      <c r="E435" t="s">
        <v>1655</v>
      </c>
      <c r="F435" s="28">
        <v>0</v>
      </c>
      <c r="G435" s="29">
        <v>1</v>
      </c>
      <c r="H435" s="30" t="s">
        <v>1656</v>
      </c>
      <c r="I435" t="s">
        <v>65</v>
      </c>
      <c r="J4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145</v>
      </c>
      <c r="L435" t="s">
        <v>146</v>
      </c>
      <c r="N435" s="29">
        <v>1</v>
      </c>
      <c r="P435" s="29">
        <v>1</v>
      </c>
      <c r="R435" s="29">
        <v>1</v>
      </c>
      <c r="S435" t="s">
        <v>70</v>
      </c>
      <c r="T435" t="s">
        <v>72</v>
      </c>
      <c r="U435" s="32">
        <v>30</v>
      </c>
      <c r="V435">
        <v>30</v>
      </c>
      <c r="W435" t="s">
        <v>79</v>
      </c>
      <c r="X435" t="s">
        <v>166</v>
      </c>
      <c r="Y435" t="s">
        <v>887</v>
      </c>
      <c r="AA435" t="s">
        <v>75</v>
      </c>
      <c r="AC435" t="s">
        <v>83</v>
      </c>
      <c r="AE435" t="s">
        <v>75</v>
      </c>
      <c r="AF435" t="s">
        <v>84</v>
      </c>
      <c r="AG435" t="s">
        <v>84</v>
      </c>
      <c r="AH435" s="33">
        <f t="shared" si="19"/>
      </c>
      <c r="AI435" s="33">
        <f t="shared" si="20"/>
      </c>
    </row>
    <row r="436" ht="27.6" customHeight="1" spans="1:35" x14ac:dyDescent="0.25">
      <c r="A436" s="27" t="s">
        <v>890</v>
      </c>
      <c r="B436">
        <f t="shared" si="18"/>
        <v>0</v>
      </c>
      <c r="C436" t="s">
        <v>64</v>
      </c>
      <c r="D436" s="27" t="s">
        <v>1657</v>
      </c>
      <c r="E436" t="s">
        <v>1658</v>
      </c>
      <c r="F436" s="28">
        <v>2</v>
      </c>
      <c r="G436" s="29">
        <v>1</v>
      </c>
      <c r="H436" s="30" t="s">
        <v>1659</v>
      </c>
      <c r="I436" t="s">
        <v>65</v>
      </c>
      <c r="J4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145</v>
      </c>
      <c r="L436" t="s">
        <v>146</v>
      </c>
      <c r="N436" s="29">
        <v>1</v>
      </c>
      <c r="P436" s="29">
        <v>1</v>
      </c>
      <c r="R436" s="29">
        <v>1</v>
      </c>
      <c r="S436" t="s">
        <v>70</v>
      </c>
      <c r="T436" t="s">
        <v>72</v>
      </c>
      <c r="U436" s="32">
        <v>30</v>
      </c>
      <c r="V436">
        <v>30</v>
      </c>
      <c r="W436" t="s">
        <v>79</v>
      </c>
      <c r="X436" t="s">
        <v>171</v>
      </c>
      <c r="Y436" t="s">
        <v>1660</v>
      </c>
      <c r="AA436" t="s">
        <v>75</v>
      </c>
      <c r="AC436" t="s">
        <v>83</v>
      </c>
      <c r="AE436" t="s">
        <v>75</v>
      </c>
      <c r="AF436" t="s">
        <v>84</v>
      </c>
      <c r="AG436" t="s">
        <v>84</v>
      </c>
      <c r="AH436" s="33">
        <f t="shared" si="19"/>
      </c>
      <c r="AI436" s="33">
        <f t="shared" si="20"/>
      </c>
    </row>
    <row r="437" ht="27.6" customHeight="1" spans="1:35" x14ac:dyDescent="0.25">
      <c r="A437" s="27" t="s">
        <v>1661</v>
      </c>
      <c r="B437">
        <f t="shared" si="18"/>
        <v>0</v>
      </c>
      <c r="C437" t="s">
        <v>64</v>
      </c>
      <c r="D437" s="27" t="s">
        <v>1662</v>
      </c>
      <c r="E437" t="s">
        <v>1663</v>
      </c>
      <c r="F437" s="28">
        <v>2</v>
      </c>
      <c r="G437" s="29">
        <v>1</v>
      </c>
      <c r="H437" s="30" t="s">
        <v>1664</v>
      </c>
      <c r="I437" t="s">
        <v>65</v>
      </c>
      <c r="J4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145</v>
      </c>
      <c r="L437" t="s">
        <v>146</v>
      </c>
      <c r="N437" s="29">
        <v>1</v>
      </c>
      <c r="P437" s="29">
        <v>1</v>
      </c>
      <c r="R437" s="29">
        <v>1</v>
      </c>
      <c r="S437" t="s">
        <v>70</v>
      </c>
      <c r="T437" t="s">
        <v>72</v>
      </c>
      <c r="U437" s="32">
        <v>30</v>
      </c>
      <c r="V437">
        <v>30</v>
      </c>
      <c r="W437" t="s">
        <v>79</v>
      </c>
      <c r="X437" t="s">
        <v>171</v>
      </c>
      <c r="Y437" t="s">
        <v>1665</v>
      </c>
      <c r="AA437" t="s">
        <v>75</v>
      </c>
      <c r="AC437" t="s">
        <v>83</v>
      </c>
      <c r="AE437" t="s">
        <v>75</v>
      </c>
      <c r="AF437" t="s">
        <v>84</v>
      </c>
      <c r="AG437" t="s">
        <v>84</v>
      </c>
      <c r="AH437" s="33">
        <f t="shared" si="19"/>
      </c>
      <c r="AI437" s="33">
        <f t="shared" si="20"/>
      </c>
    </row>
    <row r="438" ht="27.6" customHeight="1" spans="1:35" x14ac:dyDescent="0.25">
      <c r="A438" s="27" t="s">
        <v>1666</v>
      </c>
      <c r="B438">
        <f t="shared" si="18"/>
        <v>0</v>
      </c>
      <c r="C438" t="s">
        <v>64</v>
      </c>
      <c r="D438" s="27" t="s">
        <v>1667</v>
      </c>
      <c r="E438" t="s">
        <v>1668</v>
      </c>
      <c r="F438" s="28">
        <v>2</v>
      </c>
      <c r="G438" s="29">
        <v>1</v>
      </c>
      <c r="H438" s="30" t="s">
        <v>1669</v>
      </c>
      <c r="I438" t="s">
        <v>65</v>
      </c>
      <c r="J4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145</v>
      </c>
      <c r="L438" t="s">
        <v>146</v>
      </c>
      <c r="N438" s="29">
        <v>1</v>
      </c>
      <c r="P438" s="29">
        <v>1</v>
      </c>
      <c r="R438" s="29">
        <v>1</v>
      </c>
      <c r="S438" t="s">
        <v>70</v>
      </c>
      <c r="T438" t="s">
        <v>72</v>
      </c>
      <c r="U438" s="32">
        <v>30</v>
      </c>
      <c r="V438">
        <v>30</v>
      </c>
      <c r="W438" t="s">
        <v>79</v>
      </c>
      <c r="X438" t="s">
        <v>171</v>
      </c>
      <c r="Y438" t="s">
        <v>1668</v>
      </c>
      <c r="AA438" t="s">
        <v>75</v>
      </c>
      <c r="AC438" t="s">
        <v>83</v>
      </c>
      <c r="AE438" t="s">
        <v>75</v>
      </c>
      <c r="AF438" t="s">
        <v>84</v>
      </c>
      <c r="AG438" t="s">
        <v>84</v>
      </c>
      <c r="AH438" s="33">
        <f t="shared" si="19"/>
      </c>
      <c r="AI438" s="33">
        <f t="shared" si="20"/>
      </c>
    </row>
    <row r="439" ht="27.6" customHeight="1" spans="1:35" x14ac:dyDescent="0.25">
      <c r="A439" s="27" t="s">
        <v>1670</v>
      </c>
      <c r="B439">
        <f t="shared" si="18"/>
        <v>0</v>
      </c>
      <c r="C439" t="s">
        <v>64</v>
      </c>
      <c r="D439" s="27" t="s">
        <v>1671</v>
      </c>
      <c r="E439" t="s">
        <v>1672</v>
      </c>
      <c r="F439" s="28">
        <v>2</v>
      </c>
      <c r="G439" s="29">
        <v>1</v>
      </c>
      <c r="H439" s="30" t="s">
        <v>1673</v>
      </c>
      <c r="I439" t="s">
        <v>65</v>
      </c>
      <c r="J4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145</v>
      </c>
      <c r="L439" t="s">
        <v>146</v>
      </c>
      <c r="N439" s="29">
        <v>1</v>
      </c>
      <c r="P439" s="29">
        <v>1</v>
      </c>
      <c r="R439" s="29">
        <v>1</v>
      </c>
      <c r="S439" t="s">
        <v>70</v>
      </c>
      <c r="T439" t="s">
        <v>72</v>
      </c>
      <c r="U439" s="32">
        <v>30</v>
      </c>
      <c r="V439">
        <v>30</v>
      </c>
      <c r="W439" t="s">
        <v>79</v>
      </c>
      <c r="X439" t="s">
        <v>171</v>
      </c>
      <c r="Y439" t="s">
        <v>1674</v>
      </c>
      <c r="AA439" t="s">
        <v>75</v>
      </c>
      <c r="AC439" t="s">
        <v>83</v>
      </c>
      <c r="AE439" t="s">
        <v>75</v>
      </c>
      <c r="AF439" t="s">
        <v>84</v>
      </c>
      <c r="AG439" t="s">
        <v>84</v>
      </c>
      <c r="AH439" s="33">
        <f t="shared" si="19"/>
      </c>
      <c r="AI439" s="33">
        <f t="shared" si="20"/>
      </c>
    </row>
    <row r="440" ht="27.6" customHeight="1" spans="1:35" x14ac:dyDescent="0.25">
      <c r="A440" s="27" t="s">
        <v>1670</v>
      </c>
      <c r="B440">
        <f t="shared" si="18"/>
        <v>0</v>
      </c>
      <c r="C440" t="s">
        <v>64</v>
      </c>
      <c r="D440" s="27" t="s">
        <v>1675</v>
      </c>
      <c r="E440" t="s">
        <v>1676</v>
      </c>
      <c r="F440" s="28">
        <v>0</v>
      </c>
      <c r="G440" s="29">
        <v>1</v>
      </c>
      <c r="H440" s="30" t="s">
        <v>1677</v>
      </c>
      <c r="I440" t="s">
        <v>65</v>
      </c>
      <c r="J4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145</v>
      </c>
      <c r="L440" t="s">
        <v>146</v>
      </c>
      <c r="N440" s="29">
        <v>1</v>
      </c>
      <c r="P440" s="29">
        <v>1</v>
      </c>
      <c r="R440" s="29">
        <v>1</v>
      </c>
      <c r="S440" t="s">
        <v>70</v>
      </c>
      <c r="T440" t="s">
        <v>72</v>
      </c>
      <c r="U440" s="32">
        <v>30</v>
      </c>
      <c r="V440">
        <v>30</v>
      </c>
      <c r="W440" t="s">
        <v>79</v>
      </c>
      <c r="X440" t="s">
        <v>166</v>
      </c>
      <c r="Y440" t="s">
        <v>1674</v>
      </c>
      <c r="AA440" t="s">
        <v>75</v>
      </c>
      <c r="AC440" t="s">
        <v>83</v>
      </c>
      <c r="AE440" t="s">
        <v>75</v>
      </c>
      <c r="AF440" t="s">
        <v>84</v>
      </c>
      <c r="AG440" t="s">
        <v>84</v>
      </c>
      <c r="AH440" s="33">
        <f t="shared" si="19"/>
      </c>
      <c r="AI440" s="33">
        <f t="shared" si="20"/>
      </c>
    </row>
    <row r="441" ht="27.6" customHeight="1" spans="1:35" x14ac:dyDescent="0.25">
      <c r="A441" s="27" t="s">
        <v>1678</v>
      </c>
      <c r="B441">
        <f t="shared" si="18"/>
        <v>0</v>
      </c>
      <c r="C441" t="s">
        <v>64</v>
      </c>
      <c r="D441" s="27" t="s">
        <v>1679</v>
      </c>
      <c r="E441" t="s">
        <v>1680</v>
      </c>
      <c r="F441" s="28">
        <v>2</v>
      </c>
      <c r="G441" s="29">
        <v>1</v>
      </c>
      <c r="H441" s="30" t="s">
        <v>1681</v>
      </c>
      <c r="I441" t="s">
        <v>65</v>
      </c>
      <c r="J4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145</v>
      </c>
      <c r="L441" t="s">
        <v>146</v>
      </c>
      <c r="N441" s="29">
        <v>1</v>
      </c>
      <c r="P441" s="29">
        <v>1</v>
      </c>
      <c r="R441" s="29">
        <v>1</v>
      </c>
      <c r="S441" t="s">
        <v>70</v>
      </c>
      <c r="T441" t="s">
        <v>72</v>
      </c>
      <c r="U441" s="32">
        <v>30</v>
      </c>
      <c r="V441">
        <v>30</v>
      </c>
      <c r="W441" t="s">
        <v>79</v>
      </c>
      <c r="X441" t="s">
        <v>171</v>
      </c>
      <c r="Y441" t="s">
        <v>1682</v>
      </c>
      <c r="AA441" t="s">
        <v>75</v>
      </c>
      <c r="AC441" t="s">
        <v>83</v>
      </c>
      <c r="AE441" t="s">
        <v>75</v>
      </c>
      <c r="AF441" t="s">
        <v>84</v>
      </c>
      <c r="AG441" t="s">
        <v>84</v>
      </c>
      <c r="AH441" s="33">
        <f t="shared" si="19"/>
      </c>
      <c r="AI441" s="33">
        <f t="shared" si="20"/>
      </c>
    </row>
    <row r="442" ht="27.6" customHeight="1" spans="1:35" x14ac:dyDescent="0.25">
      <c r="A442" s="27" t="s">
        <v>1678</v>
      </c>
      <c r="B442">
        <f t="shared" si="18"/>
        <v>0</v>
      </c>
      <c r="C442" t="s">
        <v>64</v>
      </c>
      <c r="D442" s="27" t="s">
        <v>102</v>
      </c>
      <c r="E442" t="s">
        <v>1683</v>
      </c>
      <c r="F442" s="28">
        <v>0</v>
      </c>
      <c r="G442" s="29">
        <v>1</v>
      </c>
      <c r="H442" s="30" t="s">
        <v>1684</v>
      </c>
      <c r="I442" t="s">
        <v>65</v>
      </c>
      <c r="J4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145</v>
      </c>
      <c r="L442" t="s">
        <v>146</v>
      </c>
      <c r="N442" s="29">
        <v>1</v>
      </c>
      <c r="P442" s="29">
        <v>1</v>
      </c>
      <c r="R442" s="29">
        <v>1</v>
      </c>
      <c r="S442" t="s">
        <v>70</v>
      </c>
      <c r="T442" t="s">
        <v>72</v>
      </c>
      <c r="U442" s="32">
        <v>30</v>
      </c>
      <c r="V442">
        <v>30</v>
      </c>
      <c r="W442" t="s">
        <v>79</v>
      </c>
      <c r="X442" t="s">
        <v>166</v>
      </c>
      <c r="Y442" t="s">
        <v>1682</v>
      </c>
      <c r="AA442" t="s">
        <v>75</v>
      </c>
      <c r="AC442" t="s">
        <v>83</v>
      </c>
      <c r="AE442" t="s">
        <v>75</v>
      </c>
      <c r="AF442" t="s">
        <v>84</v>
      </c>
      <c r="AG442" t="s">
        <v>84</v>
      </c>
      <c r="AH442" s="33">
        <f t="shared" si="19"/>
      </c>
      <c r="AI442" s="33">
        <f t="shared" si="20"/>
      </c>
    </row>
    <row r="443" ht="27.6" customHeight="1" spans="1:35" x14ac:dyDescent="0.25">
      <c r="A443" s="27" t="s">
        <v>911</v>
      </c>
      <c r="B443">
        <f t="shared" si="18"/>
        <v>0</v>
      </c>
      <c r="C443" t="s">
        <v>64</v>
      </c>
      <c r="D443" s="27" t="s">
        <v>102</v>
      </c>
      <c r="E443" t="s">
        <v>1685</v>
      </c>
      <c r="F443" s="28">
        <v>0</v>
      </c>
      <c r="G443" s="29">
        <v>1</v>
      </c>
      <c r="H443" s="30" t="s">
        <v>1686</v>
      </c>
      <c r="I443" t="s">
        <v>65</v>
      </c>
      <c r="J4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145</v>
      </c>
      <c r="L443" t="s">
        <v>146</v>
      </c>
      <c r="N443" s="29">
        <v>1</v>
      </c>
      <c r="P443" s="29">
        <v>1</v>
      </c>
      <c r="R443" s="29">
        <v>1</v>
      </c>
      <c r="S443" t="s">
        <v>70</v>
      </c>
      <c r="T443" t="s">
        <v>72</v>
      </c>
      <c r="U443" s="32">
        <v>30</v>
      </c>
      <c r="V443">
        <v>30</v>
      </c>
      <c r="W443" t="s">
        <v>79</v>
      </c>
      <c r="X443" t="s">
        <v>770</v>
      </c>
      <c r="Y443" t="s">
        <v>1687</v>
      </c>
      <c r="AA443" t="s">
        <v>75</v>
      </c>
      <c r="AC443" t="s">
        <v>83</v>
      </c>
      <c r="AE443" t="s">
        <v>75</v>
      </c>
      <c r="AF443" t="s">
        <v>84</v>
      </c>
      <c r="AG443" t="s">
        <v>84</v>
      </c>
      <c r="AH443" s="33">
        <f t="shared" si="19"/>
      </c>
      <c r="AI443" s="33">
        <f t="shared" si="20"/>
      </c>
    </row>
    <row r="444" ht="27.6" customHeight="1" spans="1:35" x14ac:dyDescent="0.25">
      <c r="A444" s="27" t="s">
        <v>1688</v>
      </c>
      <c r="B444">
        <f t="shared" si="18"/>
        <v>0</v>
      </c>
      <c r="C444" t="s">
        <v>64</v>
      </c>
      <c r="D444" s="27" t="s">
        <v>102</v>
      </c>
      <c r="E444" t="s">
        <v>1689</v>
      </c>
      <c r="F444" s="28">
        <v>0</v>
      </c>
      <c r="G444" s="29">
        <v>1</v>
      </c>
      <c r="H444" s="30" t="s">
        <v>1690</v>
      </c>
      <c r="I444" t="s">
        <v>65</v>
      </c>
      <c r="J4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145</v>
      </c>
      <c r="L444" t="s">
        <v>146</v>
      </c>
      <c r="N444" s="29">
        <v>1</v>
      </c>
      <c r="P444" s="29">
        <v>1</v>
      </c>
      <c r="R444" s="29">
        <v>1</v>
      </c>
      <c r="S444" t="s">
        <v>70</v>
      </c>
      <c r="T444" t="s">
        <v>72</v>
      </c>
      <c r="U444" s="32">
        <v>30</v>
      </c>
      <c r="V444">
        <v>30</v>
      </c>
      <c r="W444" t="s">
        <v>79</v>
      </c>
      <c r="X444" t="s">
        <v>171</v>
      </c>
      <c r="Y444" t="s">
        <v>1691</v>
      </c>
      <c r="AA444" t="s">
        <v>75</v>
      </c>
      <c r="AC444" t="s">
        <v>83</v>
      </c>
      <c r="AE444" t="s">
        <v>75</v>
      </c>
      <c r="AF444" t="s">
        <v>84</v>
      </c>
      <c r="AG444" t="s">
        <v>84</v>
      </c>
      <c r="AH444" s="33">
        <f t="shared" si="19"/>
      </c>
      <c r="AI444" s="33">
        <f t="shared" si="20"/>
      </c>
    </row>
    <row r="445" ht="27.6" customHeight="1" spans="1:35" x14ac:dyDescent="0.25">
      <c r="A445" s="27" t="s">
        <v>1692</v>
      </c>
      <c r="B445">
        <f t="shared" si="18"/>
        <v>0</v>
      </c>
      <c r="C445" t="s">
        <v>64</v>
      </c>
      <c r="D445" s="27" t="s">
        <v>102</v>
      </c>
      <c r="E445" t="s">
        <v>1693</v>
      </c>
      <c r="F445" s="28">
        <v>0</v>
      </c>
      <c r="G445" s="29">
        <v>1</v>
      </c>
      <c r="H445" s="30" t="s">
        <v>1694</v>
      </c>
      <c r="I445" t="s">
        <v>65</v>
      </c>
      <c r="J4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145</v>
      </c>
      <c r="L445" t="s">
        <v>146</v>
      </c>
      <c r="N445" s="29">
        <v>1</v>
      </c>
      <c r="P445" s="29">
        <v>1</v>
      </c>
      <c r="R445" s="29">
        <v>1</v>
      </c>
      <c r="S445" t="s">
        <v>70</v>
      </c>
      <c r="T445" t="s">
        <v>72</v>
      </c>
      <c r="U445" s="32">
        <v>30</v>
      </c>
      <c r="V445">
        <v>30</v>
      </c>
      <c r="W445" t="s">
        <v>79</v>
      </c>
      <c r="X445" t="s">
        <v>770</v>
      </c>
      <c r="Y445" t="s">
        <v>1693</v>
      </c>
      <c r="AA445" t="s">
        <v>75</v>
      </c>
      <c r="AC445" t="s">
        <v>83</v>
      </c>
      <c r="AE445" t="s">
        <v>75</v>
      </c>
      <c r="AF445" t="s">
        <v>84</v>
      </c>
      <c r="AG445" t="s">
        <v>84</v>
      </c>
      <c r="AH445" s="33">
        <f t="shared" si="19"/>
      </c>
      <c r="AI445" s="33">
        <f t="shared" si="20"/>
      </c>
    </row>
    <row r="446" ht="27.6" customHeight="1" spans="1:35" x14ac:dyDescent="0.25">
      <c r="A446" s="27" t="s">
        <v>1695</v>
      </c>
      <c r="B446">
        <f t="shared" si="18"/>
        <v>0</v>
      </c>
      <c r="C446" t="s">
        <v>64</v>
      </c>
      <c r="D446" s="27" t="s">
        <v>1696</v>
      </c>
      <c r="E446" t="s">
        <v>1697</v>
      </c>
      <c r="F446" s="28">
        <v>2</v>
      </c>
      <c r="G446" s="29">
        <v>1</v>
      </c>
      <c r="H446" s="30" t="s">
        <v>1698</v>
      </c>
      <c r="I446" t="s">
        <v>65</v>
      </c>
      <c r="J4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145</v>
      </c>
      <c r="L446" t="s">
        <v>146</v>
      </c>
      <c r="N446" s="29">
        <v>1</v>
      </c>
      <c r="P446" s="29">
        <v>1</v>
      </c>
      <c r="R446" s="29">
        <v>1</v>
      </c>
      <c r="S446" t="s">
        <v>70</v>
      </c>
      <c r="T446" t="s">
        <v>72</v>
      </c>
      <c r="U446" s="32">
        <v>30</v>
      </c>
      <c r="V446">
        <v>30</v>
      </c>
      <c r="W446" t="s">
        <v>79</v>
      </c>
      <c r="X446" t="s">
        <v>171</v>
      </c>
      <c r="Y446" t="s">
        <v>1697</v>
      </c>
      <c r="AA446" t="s">
        <v>75</v>
      </c>
      <c r="AC446" t="s">
        <v>83</v>
      </c>
      <c r="AE446" t="s">
        <v>75</v>
      </c>
      <c r="AF446" t="s">
        <v>84</v>
      </c>
      <c r="AG446" t="s">
        <v>84</v>
      </c>
      <c r="AH446" s="33">
        <f t="shared" si="19"/>
      </c>
      <c r="AI446" s="33">
        <f t="shared" si="20"/>
      </c>
    </row>
    <row r="447" ht="27.6" customHeight="1" spans="1:35" x14ac:dyDescent="0.25">
      <c r="A447" s="27" t="s">
        <v>760</v>
      </c>
      <c r="B447">
        <f t="shared" si="18"/>
        <v>0</v>
      </c>
      <c r="C447" t="s">
        <v>64</v>
      </c>
      <c r="D447" s="27" t="s">
        <v>1699</v>
      </c>
      <c r="E447" t="s">
        <v>1700</v>
      </c>
      <c r="F447" s="28">
        <v>2</v>
      </c>
      <c r="G447" s="29">
        <v>1</v>
      </c>
      <c r="H447" s="30" t="s">
        <v>1701</v>
      </c>
      <c r="I447" t="s">
        <v>65</v>
      </c>
      <c r="J4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145</v>
      </c>
      <c r="L447" t="s">
        <v>146</v>
      </c>
      <c r="N447" s="29">
        <v>1</v>
      </c>
      <c r="P447" s="29">
        <v>1</v>
      </c>
      <c r="R447" s="29">
        <v>1</v>
      </c>
      <c r="S447" t="s">
        <v>70</v>
      </c>
      <c r="T447" t="s">
        <v>72</v>
      </c>
      <c r="U447" s="32">
        <v>30</v>
      </c>
      <c r="V447">
        <v>30</v>
      </c>
      <c r="W447" t="s">
        <v>79</v>
      </c>
      <c r="X447" t="s">
        <v>171</v>
      </c>
      <c r="Y447" t="s">
        <v>1570</v>
      </c>
      <c r="AA447" t="s">
        <v>75</v>
      </c>
      <c r="AC447" t="s">
        <v>83</v>
      </c>
      <c r="AE447" t="s">
        <v>75</v>
      </c>
      <c r="AF447" t="s">
        <v>84</v>
      </c>
      <c r="AG447" t="s">
        <v>84</v>
      </c>
      <c r="AH447" s="33">
        <f t="shared" si="19"/>
      </c>
      <c r="AI447" s="33">
        <f t="shared" si="20"/>
      </c>
    </row>
    <row r="448" ht="27.6" customHeight="1" spans="1:35" x14ac:dyDescent="0.25">
      <c r="A448" s="27" t="s">
        <v>1702</v>
      </c>
      <c r="B448">
        <f t="shared" si="18"/>
        <v>0</v>
      </c>
      <c r="C448" t="s">
        <v>64</v>
      </c>
      <c r="D448" s="27" t="s">
        <v>102</v>
      </c>
      <c r="E448" t="s">
        <v>1703</v>
      </c>
      <c r="F448" s="28">
        <v>2</v>
      </c>
      <c r="G448" s="29">
        <v>1</v>
      </c>
      <c r="H448" s="30" t="s">
        <v>1704</v>
      </c>
      <c r="I448" t="s">
        <v>65</v>
      </c>
      <c r="J4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145</v>
      </c>
      <c r="L448" t="s">
        <v>146</v>
      </c>
      <c r="N448" s="29">
        <v>1</v>
      </c>
      <c r="P448" s="29">
        <v>1</v>
      </c>
      <c r="R448" s="29">
        <v>1</v>
      </c>
      <c r="S448" t="s">
        <v>70</v>
      </c>
      <c r="T448" t="s">
        <v>72</v>
      </c>
      <c r="U448" s="32">
        <v>30</v>
      </c>
      <c r="V448">
        <v>30</v>
      </c>
      <c r="W448" t="s">
        <v>79</v>
      </c>
      <c r="X448" t="s">
        <v>171</v>
      </c>
      <c r="Y448" t="s">
        <v>1703</v>
      </c>
      <c r="AA448" t="s">
        <v>75</v>
      </c>
      <c r="AC448" t="s">
        <v>83</v>
      </c>
      <c r="AE448" t="s">
        <v>75</v>
      </c>
      <c r="AF448" t="s">
        <v>84</v>
      </c>
      <c r="AG448" t="s">
        <v>84</v>
      </c>
      <c r="AH448" s="33">
        <f t="shared" si="19"/>
      </c>
      <c r="AI448" s="33">
        <f t="shared" si="20"/>
      </c>
    </row>
    <row r="449" ht="27.6" customHeight="1" spans="1:35" x14ac:dyDescent="0.25">
      <c r="A449" s="27" t="s">
        <v>1705</v>
      </c>
      <c r="B449">
        <f t="shared" si="18"/>
        <v>0</v>
      </c>
      <c r="C449" t="s">
        <v>64</v>
      </c>
      <c r="D449" s="27" t="s">
        <v>1706</v>
      </c>
      <c r="E449" t="s">
        <v>1707</v>
      </c>
      <c r="F449" s="28">
        <v>2</v>
      </c>
      <c r="G449" s="29">
        <v>1</v>
      </c>
      <c r="H449" s="30" t="s">
        <v>1708</v>
      </c>
      <c r="I449" t="s">
        <v>65</v>
      </c>
      <c r="J4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145</v>
      </c>
      <c r="L449" t="s">
        <v>146</v>
      </c>
      <c r="N449" s="29">
        <v>1</v>
      </c>
      <c r="P449" s="29">
        <v>1</v>
      </c>
      <c r="R449" s="29">
        <v>1</v>
      </c>
      <c r="S449" t="s">
        <v>70</v>
      </c>
      <c r="T449" t="s">
        <v>72</v>
      </c>
      <c r="U449" s="32">
        <v>30</v>
      </c>
      <c r="V449">
        <v>30</v>
      </c>
      <c r="W449" t="s">
        <v>79</v>
      </c>
      <c r="X449" t="s">
        <v>171</v>
      </c>
      <c r="Y449" t="s">
        <v>1707</v>
      </c>
      <c r="AA449" t="s">
        <v>75</v>
      </c>
      <c r="AC449" t="s">
        <v>83</v>
      </c>
      <c r="AE449" t="s">
        <v>75</v>
      </c>
      <c r="AF449" t="s">
        <v>84</v>
      </c>
      <c r="AG449" t="s">
        <v>84</v>
      </c>
      <c r="AH449" s="33">
        <f t="shared" si="19"/>
      </c>
      <c r="AI449" s="33">
        <f t="shared" si="20"/>
      </c>
    </row>
    <row r="450" ht="27.6" customHeight="1" spans="1:35" x14ac:dyDescent="0.25">
      <c r="A450" s="27" t="s">
        <v>1709</v>
      </c>
      <c r="B450">
        <f t="shared" si="18"/>
        <v>0</v>
      </c>
      <c r="C450" t="s">
        <v>64</v>
      </c>
      <c r="D450" s="27" t="s">
        <v>1710</v>
      </c>
      <c r="E450" t="s">
        <v>1711</v>
      </c>
      <c r="F450" s="28">
        <v>2</v>
      </c>
      <c r="G450" s="29">
        <v>1</v>
      </c>
      <c r="H450" s="30" t="s">
        <v>1712</v>
      </c>
      <c r="I450" t="s">
        <v>65</v>
      </c>
      <c r="J4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145</v>
      </c>
      <c r="L450" t="s">
        <v>146</v>
      </c>
      <c r="N450" s="29">
        <v>1</v>
      </c>
      <c r="P450" s="29">
        <v>1</v>
      </c>
      <c r="R450" s="29">
        <v>1</v>
      </c>
      <c r="S450" t="s">
        <v>70</v>
      </c>
      <c r="T450" t="s">
        <v>72</v>
      </c>
      <c r="U450" s="32">
        <v>30</v>
      </c>
      <c r="V450">
        <v>30</v>
      </c>
      <c r="W450" t="s">
        <v>79</v>
      </c>
      <c r="X450" t="s">
        <v>171</v>
      </c>
      <c r="Y450" t="s">
        <v>1713</v>
      </c>
      <c r="AA450" t="s">
        <v>75</v>
      </c>
      <c r="AC450" t="s">
        <v>83</v>
      </c>
      <c r="AE450" t="s">
        <v>75</v>
      </c>
      <c r="AF450" t="s">
        <v>84</v>
      </c>
      <c r="AG450" t="s">
        <v>84</v>
      </c>
      <c r="AH450" s="33">
        <f t="shared" si="19"/>
      </c>
      <c r="AI450" s="33">
        <f t="shared" si="20"/>
      </c>
    </row>
    <row r="451" ht="27.6" customHeight="1" spans="1:35" x14ac:dyDescent="0.25">
      <c r="A451" s="27" t="s">
        <v>1714</v>
      </c>
      <c r="B451">
        <f t="shared" si="18"/>
        <v>0</v>
      </c>
      <c r="C451" t="s">
        <v>64</v>
      </c>
      <c r="D451" s="27" t="s">
        <v>1715</v>
      </c>
      <c r="E451" t="s">
        <v>1716</v>
      </c>
      <c r="F451" s="28">
        <v>0</v>
      </c>
      <c r="G451" s="29">
        <v>1</v>
      </c>
      <c r="H451" s="30" t="s">
        <v>1717</v>
      </c>
      <c r="I451" t="s">
        <v>65</v>
      </c>
      <c r="J4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145</v>
      </c>
      <c r="L451" t="s">
        <v>146</v>
      </c>
      <c r="N451" s="29">
        <v>1</v>
      </c>
      <c r="P451" s="29">
        <v>1</v>
      </c>
      <c r="R451" s="29">
        <v>1</v>
      </c>
      <c r="S451" t="s">
        <v>70</v>
      </c>
      <c r="T451" t="s">
        <v>72</v>
      </c>
      <c r="U451" s="32">
        <v>30</v>
      </c>
      <c r="V451">
        <v>30</v>
      </c>
      <c r="W451" t="s">
        <v>79</v>
      </c>
      <c r="X451" t="s">
        <v>171</v>
      </c>
      <c r="Y451" t="s">
        <v>1718</v>
      </c>
      <c r="AA451" t="s">
        <v>75</v>
      </c>
      <c r="AC451" t="s">
        <v>83</v>
      </c>
      <c r="AE451" t="s">
        <v>75</v>
      </c>
      <c r="AF451" t="s">
        <v>84</v>
      </c>
      <c r="AG451" t="s">
        <v>84</v>
      </c>
      <c r="AH451" s="33">
        <f t="shared" si="19"/>
      </c>
      <c r="AI451" s="33">
        <f t="shared" si="20"/>
      </c>
    </row>
    <row r="452" ht="27.6" customHeight="1" spans="1:35" x14ac:dyDescent="0.25">
      <c r="A452" s="27" t="s">
        <v>530</v>
      </c>
      <c r="B452">
        <f t="shared" si="18"/>
        <v>0</v>
      </c>
      <c r="C452" t="s">
        <v>64</v>
      </c>
      <c r="D452" s="27" t="s">
        <v>1719</v>
      </c>
      <c r="E452" t="s">
        <v>1720</v>
      </c>
      <c r="F452" s="28">
        <v>2</v>
      </c>
      <c r="G452" s="29">
        <v>1</v>
      </c>
      <c r="H452" s="30" t="s">
        <v>1721</v>
      </c>
      <c r="I452" t="s">
        <v>65</v>
      </c>
      <c r="J4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145</v>
      </c>
      <c r="L452" t="s">
        <v>146</v>
      </c>
      <c r="N452" s="29">
        <v>1</v>
      </c>
      <c r="P452" s="29">
        <v>1</v>
      </c>
      <c r="R452" s="29">
        <v>1</v>
      </c>
      <c r="S452" t="s">
        <v>70</v>
      </c>
      <c r="T452" t="s">
        <v>72</v>
      </c>
      <c r="U452" s="32">
        <v>30</v>
      </c>
      <c r="V452">
        <v>30</v>
      </c>
      <c r="W452" t="s">
        <v>79</v>
      </c>
      <c r="X452" t="s">
        <v>171</v>
      </c>
      <c r="Y452" t="s">
        <v>1722</v>
      </c>
      <c r="AA452" t="s">
        <v>75</v>
      </c>
      <c r="AC452" t="s">
        <v>83</v>
      </c>
      <c r="AE452" t="s">
        <v>75</v>
      </c>
      <c r="AF452" t="s">
        <v>84</v>
      </c>
      <c r="AG452" t="s">
        <v>84</v>
      </c>
      <c r="AH452" s="33">
        <f t="shared" si="19"/>
      </c>
      <c r="AI452" s="33">
        <f t="shared" si="20"/>
      </c>
    </row>
    <row r="453" ht="27.6" customHeight="1" spans="1:35" x14ac:dyDescent="0.25">
      <c r="A453" s="27" t="s">
        <v>534</v>
      </c>
      <c r="B453">
        <f t="shared" si="18"/>
        <v>0</v>
      </c>
      <c r="C453" t="s">
        <v>64</v>
      </c>
      <c r="D453" s="27" t="s">
        <v>1719</v>
      </c>
      <c r="E453" t="s">
        <v>1720</v>
      </c>
      <c r="F453" s="28">
        <v>2</v>
      </c>
      <c r="G453" s="29">
        <v>1</v>
      </c>
      <c r="H453" s="30" t="s">
        <v>1723</v>
      </c>
      <c r="I453" t="s">
        <v>65</v>
      </c>
      <c r="J4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145</v>
      </c>
      <c r="L453" t="s">
        <v>146</v>
      </c>
      <c r="N453" s="29">
        <v>1</v>
      </c>
      <c r="P453" s="29">
        <v>1</v>
      </c>
      <c r="R453" s="29">
        <v>1</v>
      </c>
      <c r="S453" t="s">
        <v>70</v>
      </c>
      <c r="T453" t="s">
        <v>72</v>
      </c>
      <c r="U453" s="32">
        <v>30</v>
      </c>
      <c r="V453">
        <v>30</v>
      </c>
      <c r="W453" t="s">
        <v>79</v>
      </c>
      <c r="X453" t="s">
        <v>171</v>
      </c>
      <c r="Y453" t="s">
        <v>1722</v>
      </c>
      <c r="AA453" t="s">
        <v>75</v>
      </c>
      <c r="AC453" t="s">
        <v>83</v>
      </c>
      <c r="AE453" t="s">
        <v>75</v>
      </c>
      <c r="AF453" t="s">
        <v>84</v>
      </c>
      <c r="AG453" t="s">
        <v>84</v>
      </c>
      <c r="AH453" s="33">
        <f t="shared" si="19"/>
      </c>
      <c r="AI453" s="33">
        <f t="shared" si="20"/>
      </c>
    </row>
    <row r="454" ht="27.6" customHeight="1" spans="1:35" x14ac:dyDescent="0.25">
      <c r="A454" s="27" t="s">
        <v>805</v>
      </c>
      <c r="B454">
        <f t="shared" si="18"/>
        <v>0</v>
      </c>
      <c r="C454" t="s">
        <v>64</v>
      </c>
      <c r="D454" s="27" t="s">
        <v>102</v>
      </c>
      <c r="E454" t="s">
        <v>808</v>
      </c>
      <c r="F454" s="28">
        <v>2</v>
      </c>
      <c r="G454" s="29">
        <v>1</v>
      </c>
      <c r="H454" s="30" t="s">
        <v>1724</v>
      </c>
      <c r="I454" t="s">
        <v>65</v>
      </c>
      <c r="J4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145</v>
      </c>
      <c r="L454" t="s">
        <v>146</v>
      </c>
      <c r="N454" s="29">
        <v>1</v>
      </c>
      <c r="P454" s="29">
        <v>1</v>
      </c>
      <c r="R454" s="29">
        <v>1</v>
      </c>
      <c r="S454" t="s">
        <v>70</v>
      </c>
      <c r="T454" t="s">
        <v>72</v>
      </c>
      <c r="U454" s="32">
        <v>30</v>
      </c>
      <c r="V454">
        <v>30</v>
      </c>
      <c r="W454" t="s">
        <v>79</v>
      </c>
      <c r="X454" t="s">
        <v>171</v>
      </c>
      <c r="Y454" t="s">
        <v>806</v>
      </c>
      <c r="AA454" t="s">
        <v>75</v>
      </c>
      <c r="AC454" t="s">
        <v>83</v>
      </c>
      <c r="AE454" t="s">
        <v>75</v>
      </c>
      <c r="AF454" t="s">
        <v>84</v>
      </c>
      <c r="AG454" t="s">
        <v>84</v>
      </c>
      <c r="AH454" s="33">
        <f t="shared" si="19"/>
      </c>
      <c r="AI454" s="33">
        <f t="shared" si="20"/>
      </c>
    </row>
    <row r="455" ht="27.6" customHeight="1" spans="1:35" x14ac:dyDescent="0.25">
      <c r="A455" s="27" t="s">
        <v>809</v>
      </c>
      <c r="B455">
        <f t="shared" si="18"/>
        <v>0</v>
      </c>
      <c r="C455" t="s">
        <v>64</v>
      </c>
      <c r="D455" s="27" t="s">
        <v>102</v>
      </c>
      <c r="E455" t="s">
        <v>808</v>
      </c>
      <c r="F455" s="28">
        <v>2</v>
      </c>
      <c r="G455" s="29">
        <v>1</v>
      </c>
      <c r="H455" s="30" t="s">
        <v>1725</v>
      </c>
      <c r="I455" t="s">
        <v>65</v>
      </c>
      <c r="J4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145</v>
      </c>
      <c r="L455" t="s">
        <v>146</v>
      </c>
      <c r="N455" s="29">
        <v>1</v>
      </c>
      <c r="P455" s="29">
        <v>1</v>
      </c>
      <c r="R455" s="29">
        <v>1</v>
      </c>
      <c r="S455" t="s">
        <v>70</v>
      </c>
      <c r="T455" t="s">
        <v>72</v>
      </c>
      <c r="U455" s="32">
        <v>30</v>
      </c>
      <c r="V455">
        <v>30</v>
      </c>
      <c r="W455" t="s">
        <v>79</v>
      </c>
      <c r="X455" t="s">
        <v>171</v>
      </c>
      <c r="Y455" t="s">
        <v>806</v>
      </c>
      <c r="AA455" t="s">
        <v>75</v>
      </c>
      <c r="AC455" t="s">
        <v>83</v>
      </c>
      <c r="AE455" t="s">
        <v>75</v>
      </c>
      <c r="AF455" t="s">
        <v>84</v>
      </c>
      <c r="AG455" t="s">
        <v>84</v>
      </c>
      <c r="AH455" s="33">
        <f t="shared" si="19"/>
      </c>
      <c r="AI455" s="33">
        <f t="shared" si="20"/>
      </c>
    </row>
    <row r="456" ht="27.6" customHeight="1" spans="1:35" x14ac:dyDescent="0.25">
      <c r="A456" s="27" t="s">
        <v>811</v>
      </c>
      <c r="B456">
        <f t="shared" ref="B456:B519" si="21">LEN(INDIRECT(ADDRESS(ROW() + (0),COLUMN() + (-1))))</f>
        <v>0</v>
      </c>
      <c r="C456" t="s">
        <v>64</v>
      </c>
      <c r="D456" s="27" t="s">
        <v>1726</v>
      </c>
      <c r="E456" t="s">
        <v>1727</v>
      </c>
      <c r="F456" s="28">
        <v>0</v>
      </c>
      <c r="G456" s="29">
        <v>1</v>
      </c>
      <c r="H456" s="30" t="s">
        <v>1728</v>
      </c>
      <c r="I456" t="s">
        <v>65</v>
      </c>
      <c r="J4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145</v>
      </c>
      <c r="L456" t="s">
        <v>146</v>
      </c>
      <c r="N456" s="29">
        <v>1</v>
      </c>
      <c r="P456" s="29">
        <v>1</v>
      </c>
      <c r="R456" s="29">
        <v>1</v>
      </c>
      <c r="S456" t="s">
        <v>70</v>
      </c>
      <c r="T456" t="s">
        <v>72</v>
      </c>
      <c r="U456" s="32">
        <v>30</v>
      </c>
      <c r="V456">
        <v>30</v>
      </c>
      <c r="W456" t="s">
        <v>79</v>
      </c>
      <c r="X456" t="s">
        <v>171</v>
      </c>
      <c r="Y456" t="s">
        <v>1729</v>
      </c>
      <c r="AA456" t="s">
        <v>75</v>
      </c>
      <c r="AC456" t="s">
        <v>83</v>
      </c>
      <c r="AE456" t="s">
        <v>75</v>
      </c>
      <c r="AF456" t="s">
        <v>84</v>
      </c>
      <c r="AG456" t="s">
        <v>84</v>
      </c>
      <c r="AH456" s="33">
        <f t="shared" ref="AH456:AH519" si="22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456" s="33">
        <f t="shared" ref="AI456:AI519" si="23">IF(TRIM(INDIRECT("A"&amp;ROW())) &lt;&gt; "",FALSE,"")</f>
      </c>
    </row>
    <row r="457" ht="27.6" customHeight="1" spans="1:35" x14ac:dyDescent="0.25">
      <c r="A457" s="27" t="s">
        <v>827</v>
      </c>
      <c r="B457">
        <f t="shared" si="21"/>
        <v>0</v>
      </c>
      <c r="C457" t="s">
        <v>64</v>
      </c>
      <c r="D457" s="27" t="s">
        <v>102</v>
      </c>
      <c r="E457" t="s">
        <v>1730</v>
      </c>
      <c r="F457" s="28">
        <v>2</v>
      </c>
      <c r="G457" s="29">
        <v>1</v>
      </c>
      <c r="H457" s="30" t="s">
        <v>1731</v>
      </c>
      <c r="I457" t="s">
        <v>65</v>
      </c>
      <c r="J4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145</v>
      </c>
      <c r="L457" t="s">
        <v>146</v>
      </c>
      <c r="N457" s="29">
        <v>1</v>
      </c>
      <c r="P457" s="29">
        <v>1</v>
      </c>
      <c r="R457" s="29">
        <v>1</v>
      </c>
      <c r="S457" t="s">
        <v>70</v>
      </c>
      <c r="T457" t="s">
        <v>72</v>
      </c>
      <c r="U457" s="32">
        <v>30</v>
      </c>
      <c r="V457">
        <v>30</v>
      </c>
      <c r="W457" t="s">
        <v>79</v>
      </c>
      <c r="X457" t="s">
        <v>171</v>
      </c>
      <c r="Y457" t="s">
        <v>1730</v>
      </c>
      <c r="AA457" t="s">
        <v>75</v>
      </c>
      <c r="AC457" t="s">
        <v>83</v>
      </c>
      <c r="AE457" t="s">
        <v>75</v>
      </c>
      <c r="AF457" t="s">
        <v>84</v>
      </c>
      <c r="AG457" t="s">
        <v>84</v>
      </c>
      <c r="AH457" s="33">
        <f t="shared" si="22"/>
      </c>
      <c r="AI457" s="33">
        <f t="shared" si="23"/>
      </c>
    </row>
    <row r="458" ht="27.6" customHeight="1" spans="1:35" x14ac:dyDescent="0.25">
      <c r="A458" s="27" t="s">
        <v>832</v>
      </c>
      <c r="B458">
        <f t="shared" si="21"/>
        <v>0</v>
      </c>
      <c r="C458" t="s">
        <v>64</v>
      </c>
      <c r="D458" s="27" t="s">
        <v>102</v>
      </c>
      <c r="E458" t="s">
        <v>1730</v>
      </c>
      <c r="F458" s="28">
        <v>2</v>
      </c>
      <c r="G458" s="29">
        <v>1</v>
      </c>
      <c r="H458" s="30" t="s">
        <v>1732</v>
      </c>
      <c r="I458" t="s">
        <v>65</v>
      </c>
      <c r="J4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145</v>
      </c>
      <c r="L458" t="s">
        <v>146</v>
      </c>
      <c r="N458" s="29">
        <v>1</v>
      </c>
      <c r="P458" s="29">
        <v>1</v>
      </c>
      <c r="R458" s="29">
        <v>1</v>
      </c>
      <c r="S458" t="s">
        <v>70</v>
      </c>
      <c r="T458" t="s">
        <v>72</v>
      </c>
      <c r="U458" s="32">
        <v>30</v>
      </c>
      <c r="V458">
        <v>30</v>
      </c>
      <c r="W458" t="s">
        <v>79</v>
      </c>
      <c r="X458" t="s">
        <v>171</v>
      </c>
      <c r="Y458" t="s">
        <v>1730</v>
      </c>
      <c r="AA458" t="s">
        <v>75</v>
      </c>
      <c r="AC458" t="s">
        <v>83</v>
      </c>
      <c r="AE458" t="s">
        <v>75</v>
      </c>
      <c r="AF458" t="s">
        <v>84</v>
      </c>
      <c r="AG458" t="s">
        <v>84</v>
      </c>
      <c r="AH458" s="33">
        <f t="shared" si="22"/>
      </c>
      <c r="AI458" s="33">
        <f t="shared" si="23"/>
      </c>
    </row>
    <row r="459" ht="27.6" customHeight="1" spans="1:35" x14ac:dyDescent="0.25">
      <c r="A459" s="27" t="s">
        <v>834</v>
      </c>
      <c r="B459">
        <f t="shared" si="21"/>
        <v>0</v>
      </c>
      <c r="C459" t="s">
        <v>64</v>
      </c>
      <c r="D459" s="27" t="s">
        <v>102</v>
      </c>
      <c r="E459" t="s">
        <v>1730</v>
      </c>
      <c r="F459" s="28">
        <v>2</v>
      </c>
      <c r="G459" s="29">
        <v>1</v>
      </c>
      <c r="H459" s="30" t="s">
        <v>1733</v>
      </c>
      <c r="I459" t="s">
        <v>65</v>
      </c>
      <c r="J4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145</v>
      </c>
      <c r="L459" t="s">
        <v>146</v>
      </c>
      <c r="N459" s="29">
        <v>1</v>
      </c>
      <c r="P459" s="29">
        <v>1</v>
      </c>
      <c r="R459" s="29">
        <v>1</v>
      </c>
      <c r="S459" t="s">
        <v>70</v>
      </c>
      <c r="T459" t="s">
        <v>72</v>
      </c>
      <c r="U459" s="32">
        <v>30</v>
      </c>
      <c r="V459">
        <v>30</v>
      </c>
      <c r="W459" t="s">
        <v>79</v>
      </c>
      <c r="X459" t="s">
        <v>171</v>
      </c>
      <c r="Y459" t="s">
        <v>1730</v>
      </c>
      <c r="AA459" t="s">
        <v>75</v>
      </c>
      <c r="AC459" t="s">
        <v>83</v>
      </c>
      <c r="AE459" t="s">
        <v>75</v>
      </c>
      <c r="AF459" t="s">
        <v>84</v>
      </c>
      <c r="AG459" t="s">
        <v>84</v>
      </c>
      <c r="AH459" s="33">
        <f t="shared" si="22"/>
      </c>
      <c r="AI459" s="33">
        <f t="shared" si="23"/>
      </c>
    </row>
    <row r="460" ht="27.6" customHeight="1" spans="1:35" x14ac:dyDescent="0.25">
      <c r="A460" s="27" t="s">
        <v>836</v>
      </c>
      <c r="B460">
        <f t="shared" si="21"/>
        <v>0</v>
      </c>
      <c r="C460" t="s">
        <v>64</v>
      </c>
      <c r="D460" s="27" t="s">
        <v>1734</v>
      </c>
      <c r="E460" t="s">
        <v>1735</v>
      </c>
      <c r="F460" s="28">
        <v>2</v>
      </c>
      <c r="G460" s="29">
        <v>1</v>
      </c>
      <c r="H460" s="30" t="s">
        <v>1736</v>
      </c>
      <c r="I460" t="s">
        <v>65</v>
      </c>
      <c r="J4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145</v>
      </c>
      <c r="L460" t="s">
        <v>146</v>
      </c>
      <c r="N460" s="29">
        <v>1</v>
      </c>
      <c r="P460" s="29">
        <v>1</v>
      </c>
      <c r="R460" s="29">
        <v>1</v>
      </c>
      <c r="S460" t="s">
        <v>70</v>
      </c>
      <c r="T460" t="s">
        <v>72</v>
      </c>
      <c r="U460" s="32">
        <v>30</v>
      </c>
      <c r="V460">
        <v>30</v>
      </c>
      <c r="W460" t="s">
        <v>79</v>
      </c>
      <c r="X460" t="s">
        <v>171</v>
      </c>
      <c r="Y460" t="s">
        <v>1735</v>
      </c>
      <c r="AA460" t="s">
        <v>75</v>
      </c>
      <c r="AC460" t="s">
        <v>83</v>
      </c>
      <c r="AE460" t="s">
        <v>75</v>
      </c>
      <c r="AF460" t="s">
        <v>84</v>
      </c>
      <c r="AG460" t="s">
        <v>84</v>
      </c>
      <c r="AH460" s="33">
        <f t="shared" si="22"/>
      </c>
      <c r="AI460" s="33">
        <f t="shared" si="23"/>
      </c>
    </row>
    <row r="461" ht="27.6" customHeight="1" spans="1:35" x14ac:dyDescent="0.25">
      <c r="A461" s="27" t="s">
        <v>840</v>
      </c>
      <c r="B461">
        <f t="shared" si="21"/>
        <v>0</v>
      </c>
      <c r="C461" t="s">
        <v>64</v>
      </c>
      <c r="D461" s="27" t="s">
        <v>1734</v>
      </c>
      <c r="E461" t="s">
        <v>1735</v>
      </c>
      <c r="F461" s="28">
        <v>2</v>
      </c>
      <c r="G461" s="29">
        <v>1</v>
      </c>
      <c r="H461" s="30" t="s">
        <v>1737</v>
      </c>
      <c r="I461" t="s">
        <v>65</v>
      </c>
      <c r="J4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145</v>
      </c>
      <c r="L461" t="s">
        <v>146</v>
      </c>
      <c r="N461" s="29">
        <v>1</v>
      </c>
      <c r="P461" s="29">
        <v>1</v>
      </c>
      <c r="R461" s="29">
        <v>1</v>
      </c>
      <c r="S461" t="s">
        <v>70</v>
      </c>
      <c r="T461" t="s">
        <v>72</v>
      </c>
      <c r="U461" s="32">
        <v>30</v>
      </c>
      <c r="V461">
        <v>30</v>
      </c>
      <c r="W461" t="s">
        <v>79</v>
      </c>
      <c r="X461" t="s">
        <v>171</v>
      </c>
      <c r="Y461" t="s">
        <v>1735</v>
      </c>
      <c r="AA461" t="s">
        <v>75</v>
      </c>
      <c r="AC461" t="s">
        <v>83</v>
      </c>
      <c r="AE461" t="s">
        <v>75</v>
      </c>
      <c r="AF461" t="s">
        <v>84</v>
      </c>
      <c r="AG461" t="s">
        <v>84</v>
      </c>
      <c r="AH461" s="33">
        <f t="shared" si="22"/>
      </c>
      <c r="AI461" s="33">
        <f t="shared" si="23"/>
      </c>
    </row>
    <row r="462" ht="27.6" customHeight="1" spans="1:35" x14ac:dyDescent="0.25">
      <c r="A462" s="27" t="s">
        <v>842</v>
      </c>
      <c r="B462">
        <f t="shared" si="21"/>
        <v>0</v>
      </c>
      <c r="C462" t="s">
        <v>64</v>
      </c>
      <c r="D462" s="27" t="s">
        <v>1738</v>
      </c>
      <c r="E462" t="s">
        <v>1739</v>
      </c>
      <c r="F462" s="28">
        <v>0</v>
      </c>
      <c r="G462" s="29">
        <v>1</v>
      </c>
      <c r="H462" s="30" t="s">
        <v>1740</v>
      </c>
      <c r="I462" t="s">
        <v>65</v>
      </c>
      <c r="J4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145</v>
      </c>
      <c r="L462" t="s">
        <v>146</v>
      </c>
      <c r="N462" s="29">
        <v>1</v>
      </c>
      <c r="P462" s="29">
        <v>1</v>
      </c>
      <c r="R462" s="29">
        <v>1</v>
      </c>
      <c r="S462" t="s">
        <v>70</v>
      </c>
      <c r="T462" t="s">
        <v>72</v>
      </c>
      <c r="U462" s="32">
        <v>30</v>
      </c>
      <c r="V462">
        <v>30</v>
      </c>
      <c r="W462" t="s">
        <v>79</v>
      </c>
      <c r="X462" t="s">
        <v>171</v>
      </c>
      <c r="Y462" t="s">
        <v>1739</v>
      </c>
      <c r="AA462" t="s">
        <v>75</v>
      </c>
      <c r="AC462" t="s">
        <v>83</v>
      </c>
      <c r="AE462" t="s">
        <v>75</v>
      </c>
      <c r="AF462" t="s">
        <v>84</v>
      </c>
      <c r="AG462" t="s">
        <v>84</v>
      </c>
      <c r="AH462" s="33">
        <f t="shared" si="22"/>
      </c>
      <c r="AI462" s="33">
        <f t="shared" si="23"/>
      </c>
    </row>
    <row r="463" ht="27.6" customHeight="1" spans="1:35" x14ac:dyDescent="0.25">
      <c r="A463" s="27" t="s">
        <v>1741</v>
      </c>
      <c r="B463">
        <f t="shared" si="21"/>
        <v>0</v>
      </c>
      <c r="C463" t="s">
        <v>64</v>
      </c>
      <c r="D463" s="27" t="s">
        <v>1742</v>
      </c>
      <c r="E463" t="s">
        <v>1743</v>
      </c>
      <c r="F463" s="28">
        <v>2</v>
      </c>
      <c r="G463" s="29">
        <v>1</v>
      </c>
      <c r="H463" s="30" t="s">
        <v>1744</v>
      </c>
      <c r="I463" t="s">
        <v>65</v>
      </c>
      <c r="J4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145</v>
      </c>
      <c r="L463" t="s">
        <v>146</v>
      </c>
      <c r="N463" s="29">
        <v>1</v>
      </c>
      <c r="P463" s="29">
        <v>1</v>
      </c>
      <c r="R463" s="29">
        <v>1</v>
      </c>
      <c r="S463" t="s">
        <v>70</v>
      </c>
      <c r="T463" t="s">
        <v>72</v>
      </c>
      <c r="U463" s="32">
        <v>30</v>
      </c>
      <c r="V463">
        <v>30</v>
      </c>
      <c r="W463" t="s">
        <v>79</v>
      </c>
      <c r="X463" t="s">
        <v>171</v>
      </c>
      <c r="Y463" t="s">
        <v>837</v>
      </c>
      <c r="AA463" t="s">
        <v>75</v>
      </c>
      <c r="AC463" t="s">
        <v>83</v>
      </c>
      <c r="AE463" t="s">
        <v>75</v>
      </c>
      <c r="AF463" t="s">
        <v>84</v>
      </c>
      <c r="AG463" t="s">
        <v>84</v>
      </c>
      <c r="AH463" s="33">
        <f t="shared" si="22"/>
      </c>
      <c r="AI463" s="33">
        <f t="shared" si="23"/>
      </c>
    </row>
    <row r="464" ht="27.6" customHeight="1" spans="1:35" x14ac:dyDescent="0.25">
      <c r="A464" s="27" t="s">
        <v>1745</v>
      </c>
      <c r="B464">
        <f t="shared" si="21"/>
        <v>0</v>
      </c>
      <c r="C464" t="s">
        <v>64</v>
      </c>
      <c r="D464" s="27" t="s">
        <v>102</v>
      </c>
      <c r="E464" t="s">
        <v>1746</v>
      </c>
      <c r="F464" s="28">
        <v>2</v>
      </c>
      <c r="G464" s="29">
        <v>1</v>
      </c>
      <c r="H464" s="30" t="s">
        <v>1747</v>
      </c>
      <c r="I464" t="s">
        <v>65</v>
      </c>
      <c r="J4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145</v>
      </c>
      <c r="L464" t="s">
        <v>146</v>
      </c>
      <c r="N464" s="29">
        <v>1</v>
      </c>
      <c r="P464" s="29">
        <v>1</v>
      </c>
      <c r="R464" s="29">
        <v>1</v>
      </c>
      <c r="S464" t="s">
        <v>70</v>
      </c>
      <c r="T464" t="s">
        <v>72</v>
      </c>
      <c r="U464" s="32">
        <v>30</v>
      </c>
      <c r="V464">
        <v>30</v>
      </c>
      <c r="W464" t="s">
        <v>79</v>
      </c>
      <c r="X464" t="s">
        <v>171</v>
      </c>
      <c r="Y464" t="s">
        <v>1746</v>
      </c>
      <c r="AA464" t="s">
        <v>75</v>
      </c>
      <c r="AC464" t="s">
        <v>83</v>
      </c>
      <c r="AE464" t="s">
        <v>75</v>
      </c>
      <c r="AF464" t="s">
        <v>84</v>
      </c>
      <c r="AG464" t="s">
        <v>84</v>
      </c>
      <c r="AH464" s="33">
        <f t="shared" si="22"/>
      </c>
      <c r="AI464" s="33">
        <f t="shared" si="23"/>
      </c>
    </row>
    <row r="465" ht="27.6" customHeight="1" spans="1:35" x14ac:dyDescent="0.25">
      <c r="A465" s="27" t="s">
        <v>1748</v>
      </c>
      <c r="B465">
        <f t="shared" si="21"/>
        <v>0</v>
      </c>
      <c r="C465" t="s">
        <v>64</v>
      </c>
      <c r="D465" s="27" t="s">
        <v>1749</v>
      </c>
      <c r="E465" t="s">
        <v>1750</v>
      </c>
      <c r="F465" s="28">
        <v>0</v>
      </c>
      <c r="G465" s="29">
        <v>1</v>
      </c>
      <c r="H465" s="30" t="s">
        <v>1751</v>
      </c>
      <c r="I465" t="s">
        <v>65</v>
      </c>
      <c r="J4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145</v>
      </c>
      <c r="L465" t="s">
        <v>146</v>
      </c>
      <c r="N465" s="29">
        <v>1</v>
      </c>
      <c r="P465" s="29">
        <v>1</v>
      </c>
      <c r="R465" s="29">
        <v>1</v>
      </c>
      <c r="S465" t="s">
        <v>70</v>
      </c>
      <c r="T465" t="s">
        <v>72</v>
      </c>
      <c r="U465" s="32">
        <v>30</v>
      </c>
      <c r="V465">
        <v>30</v>
      </c>
      <c r="W465" t="s">
        <v>79</v>
      </c>
      <c r="X465" t="s">
        <v>171</v>
      </c>
      <c r="Y465" t="s">
        <v>1750</v>
      </c>
      <c r="AA465" t="s">
        <v>75</v>
      </c>
      <c r="AC465" t="s">
        <v>83</v>
      </c>
      <c r="AE465" t="s">
        <v>75</v>
      </c>
      <c r="AF465" t="s">
        <v>84</v>
      </c>
      <c r="AG465" t="s">
        <v>84</v>
      </c>
      <c r="AH465" s="33">
        <f t="shared" si="22"/>
      </c>
      <c r="AI465" s="33">
        <f t="shared" si="23"/>
      </c>
    </row>
    <row r="466" ht="27.6" customHeight="1" spans="1:35" x14ac:dyDescent="0.25">
      <c r="A466" s="27" t="s">
        <v>1752</v>
      </c>
      <c r="B466">
        <f t="shared" si="21"/>
        <v>0</v>
      </c>
      <c r="C466" t="s">
        <v>64</v>
      </c>
      <c r="D466" s="27" t="s">
        <v>102</v>
      </c>
      <c r="E466" t="s">
        <v>1753</v>
      </c>
      <c r="F466" s="28">
        <v>0</v>
      </c>
      <c r="G466" s="29">
        <v>1</v>
      </c>
      <c r="H466" s="30" t="s">
        <v>1754</v>
      </c>
      <c r="I466" t="s">
        <v>65</v>
      </c>
      <c r="J4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145</v>
      </c>
      <c r="L466" t="s">
        <v>146</v>
      </c>
      <c r="N466" s="29">
        <v>1</v>
      </c>
      <c r="P466" s="29">
        <v>1</v>
      </c>
      <c r="R466" s="29">
        <v>1</v>
      </c>
      <c r="S466" t="s">
        <v>70</v>
      </c>
      <c r="T466" t="s">
        <v>72</v>
      </c>
      <c r="U466" s="32">
        <v>30</v>
      </c>
      <c r="V466">
        <v>30</v>
      </c>
      <c r="W466" t="s">
        <v>79</v>
      </c>
      <c r="X466" t="s">
        <v>770</v>
      </c>
      <c r="Y466" t="s">
        <v>1755</v>
      </c>
      <c r="AA466" t="s">
        <v>75</v>
      </c>
      <c r="AC466" t="s">
        <v>83</v>
      </c>
      <c r="AE466" t="s">
        <v>75</v>
      </c>
      <c r="AF466" t="s">
        <v>84</v>
      </c>
      <c r="AG466" t="s">
        <v>84</v>
      </c>
      <c r="AH466" s="33">
        <f t="shared" si="22"/>
      </c>
      <c r="AI466" s="33">
        <f t="shared" si="23"/>
      </c>
    </row>
    <row r="467" ht="27.6" customHeight="1" spans="1:35" x14ac:dyDescent="0.25">
      <c r="A467" s="27" t="s">
        <v>1756</v>
      </c>
      <c r="B467">
        <f t="shared" si="21"/>
        <v>0</v>
      </c>
      <c r="C467" t="s">
        <v>64</v>
      </c>
      <c r="D467" s="27" t="s">
        <v>1757</v>
      </c>
      <c r="E467" t="s">
        <v>1758</v>
      </c>
      <c r="F467" s="28">
        <v>0</v>
      </c>
      <c r="G467" s="29">
        <v>1</v>
      </c>
      <c r="H467" s="30" t="s">
        <v>1759</v>
      </c>
      <c r="I467" t="s">
        <v>65</v>
      </c>
      <c r="J4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145</v>
      </c>
      <c r="L467" t="s">
        <v>146</v>
      </c>
      <c r="N467" s="29">
        <v>1</v>
      </c>
      <c r="P467" s="29">
        <v>1</v>
      </c>
      <c r="R467" s="29">
        <v>1</v>
      </c>
      <c r="S467" t="s">
        <v>70</v>
      </c>
      <c r="T467" t="s">
        <v>72</v>
      </c>
      <c r="U467" s="32">
        <v>30</v>
      </c>
      <c r="V467">
        <v>30</v>
      </c>
      <c r="W467" t="s">
        <v>79</v>
      </c>
      <c r="X467" t="s">
        <v>171</v>
      </c>
      <c r="Y467" t="s">
        <v>1758</v>
      </c>
      <c r="AA467" t="s">
        <v>75</v>
      </c>
      <c r="AC467" t="s">
        <v>83</v>
      </c>
      <c r="AE467" t="s">
        <v>75</v>
      </c>
      <c r="AF467" t="s">
        <v>84</v>
      </c>
      <c r="AG467" t="s">
        <v>84</v>
      </c>
      <c r="AH467" s="33">
        <f t="shared" si="22"/>
      </c>
      <c r="AI467" s="33">
        <f t="shared" si="23"/>
      </c>
    </row>
    <row r="468" ht="27.6" customHeight="1" spans="1:35" x14ac:dyDescent="0.25">
      <c r="A468" s="27" t="s">
        <v>1760</v>
      </c>
      <c r="B468">
        <f t="shared" si="21"/>
        <v>0</v>
      </c>
      <c r="C468" t="s">
        <v>64</v>
      </c>
      <c r="D468" s="27" t="s">
        <v>102</v>
      </c>
      <c r="E468" t="s">
        <v>1761</v>
      </c>
      <c r="F468" s="28">
        <v>2</v>
      </c>
      <c r="G468" s="29">
        <v>1</v>
      </c>
      <c r="H468" s="30" t="s">
        <v>1762</v>
      </c>
      <c r="I468" t="s">
        <v>65</v>
      </c>
      <c r="J4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145</v>
      </c>
      <c r="L468" t="s">
        <v>146</v>
      </c>
      <c r="N468" s="29">
        <v>1</v>
      </c>
      <c r="P468" s="29">
        <v>1</v>
      </c>
      <c r="R468" s="29">
        <v>1</v>
      </c>
      <c r="S468" t="s">
        <v>70</v>
      </c>
      <c r="T468" t="s">
        <v>72</v>
      </c>
      <c r="U468" s="32">
        <v>30</v>
      </c>
      <c r="V468">
        <v>30</v>
      </c>
      <c r="W468" t="s">
        <v>79</v>
      </c>
      <c r="X468" t="s">
        <v>171</v>
      </c>
      <c r="Y468" t="s">
        <v>1761</v>
      </c>
      <c r="AA468" t="s">
        <v>75</v>
      </c>
      <c r="AC468" t="s">
        <v>83</v>
      </c>
      <c r="AE468" t="s">
        <v>75</v>
      </c>
      <c r="AF468" t="s">
        <v>84</v>
      </c>
      <c r="AG468" t="s">
        <v>84</v>
      </c>
      <c r="AH468" s="33">
        <f t="shared" si="22"/>
      </c>
      <c r="AI468" s="33">
        <f t="shared" si="23"/>
      </c>
    </row>
    <row r="469" ht="27.6" customHeight="1" spans="1:35" x14ac:dyDescent="0.25">
      <c r="A469" s="27" t="s">
        <v>513</v>
      </c>
      <c r="B469">
        <f t="shared" si="21"/>
        <v>0</v>
      </c>
      <c r="C469" t="s">
        <v>64</v>
      </c>
      <c r="D469" s="27" t="s">
        <v>102</v>
      </c>
      <c r="E469" t="s">
        <v>1763</v>
      </c>
      <c r="F469" s="28">
        <v>0</v>
      </c>
      <c r="G469" s="29">
        <v>1</v>
      </c>
      <c r="H469" s="30" t="s">
        <v>1764</v>
      </c>
      <c r="I469" t="s">
        <v>65</v>
      </c>
      <c r="J4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145</v>
      </c>
      <c r="L469" t="s">
        <v>146</v>
      </c>
      <c r="N469" s="29">
        <v>1</v>
      </c>
      <c r="P469" s="29">
        <v>1</v>
      </c>
      <c r="R469" s="29">
        <v>1</v>
      </c>
      <c r="S469" t="s">
        <v>70</v>
      </c>
      <c r="T469" t="s">
        <v>72</v>
      </c>
      <c r="U469" s="32">
        <v>30</v>
      </c>
      <c r="V469">
        <v>30</v>
      </c>
      <c r="W469" t="s">
        <v>79</v>
      </c>
      <c r="X469" t="s">
        <v>770</v>
      </c>
      <c r="Y469" t="s">
        <v>1765</v>
      </c>
      <c r="AA469" t="s">
        <v>75</v>
      </c>
      <c r="AC469" t="s">
        <v>83</v>
      </c>
      <c r="AE469" t="s">
        <v>75</v>
      </c>
      <c r="AF469" t="s">
        <v>84</v>
      </c>
      <c r="AG469" t="s">
        <v>84</v>
      </c>
      <c r="AH469" s="33">
        <f t="shared" si="22"/>
      </c>
      <c r="AI469" s="33">
        <f t="shared" si="23"/>
      </c>
    </row>
    <row r="470" ht="27.6" customHeight="1" spans="1:35" x14ac:dyDescent="0.25">
      <c r="A470" s="27" t="s">
        <v>1766</v>
      </c>
      <c r="B470">
        <f t="shared" si="21"/>
        <v>0</v>
      </c>
      <c r="C470" t="s">
        <v>64</v>
      </c>
      <c r="D470" s="27" t="s">
        <v>102</v>
      </c>
      <c r="E470" t="s">
        <v>1767</v>
      </c>
      <c r="F470" s="28">
        <v>2</v>
      </c>
      <c r="G470" s="29">
        <v>1</v>
      </c>
      <c r="H470" s="30" t="s">
        <v>1768</v>
      </c>
      <c r="I470" t="s">
        <v>65</v>
      </c>
      <c r="J4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145</v>
      </c>
      <c r="L470" t="s">
        <v>146</v>
      </c>
      <c r="N470" s="29">
        <v>1</v>
      </c>
      <c r="P470" s="29">
        <v>1</v>
      </c>
      <c r="R470" s="29">
        <v>1</v>
      </c>
      <c r="S470" t="s">
        <v>70</v>
      </c>
      <c r="T470" t="s">
        <v>72</v>
      </c>
      <c r="U470" s="32">
        <v>30</v>
      </c>
      <c r="V470">
        <v>30</v>
      </c>
      <c r="W470" t="s">
        <v>79</v>
      </c>
      <c r="X470" t="s">
        <v>171</v>
      </c>
      <c r="Y470" t="s">
        <v>1767</v>
      </c>
      <c r="AA470" t="s">
        <v>75</v>
      </c>
      <c r="AC470" t="s">
        <v>83</v>
      </c>
      <c r="AE470" t="s">
        <v>75</v>
      </c>
      <c r="AF470" t="s">
        <v>84</v>
      </c>
      <c r="AG470" t="s">
        <v>84</v>
      </c>
      <c r="AH470" s="33">
        <f t="shared" si="22"/>
      </c>
      <c r="AI470" s="33">
        <f t="shared" si="23"/>
      </c>
    </row>
    <row r="471" ht="27.6" customHeight="1" spans="1:35" x14ac:dyDescent="0.25">
      <c r="A471" s="27" t="s">
        <v>1769</v>
      </c>
      <c r="B471">
        <f t="shared" si="21"/>
        <v>0</v>
      </c>
      <c r="C471" t="s">
        <v>64</v>
      </c>
      <c r="D471" s="27" t="s">
        <v>102</v>
      </c>
      <c r="E471" t="s">
        <v>1770</v>
      </c>
      <c r="F471" s="28">
        <v>0</v>
      </c>
      <c r="G471" s="29">
        <v>1</v>
      </c>
      <c r="H471" s="30" t="s">
        <v>1771</v>
      </c>
      <c r="I471" t="s">
        <v>65</v>
      </c>
      <c r="J4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145</v>
      </c>
      <c r="L471" t="s">
        <v>146</v>
      </c>
      <c r="N471" s="29">
        <v>1</v>
      </c>
      <c r="P471" s="29">
        <v>1</v>
      </c>
      <c r="R471" s="29">
        <v>1</v>
      </c>
      <c r="S471" t="s">
        <v>70</v>
      </c>
      <c r="T471" t="s">
        <v>72</v>
      </c>
      <c r="U471" s="32">
        <v>30</v>
      </c>
      <c r="V471">
        <v>30</v>
      </c>
      <c r="W471" t="s">
        <v>79</v>
      </c>
      <c r="X471" t="s">
        <v>770</v>
      </c>
      <c r="Y471" t="s">
        <v>1770</v>
      </c>
      <c r="AA471" t="s">
        <v>75</v>
      </c>
      <c r="AC471" t="s">
        <v>83</v>
      </c>
      <c r="AE471" t="s">
        <v>75</v>
      </c>
      <c r="AF471" t="s">
        <v>84</v>
      </c>
      <c r="AG471" t="s">
        <v>84</v>
      </c>
      <c r="AH471" s="33">
        <f t="shared" si="22"/>
      </c>
      <c r="AI471" s="33">
        <f t="shared" si="23"/>
      </c>
    </row>
    <row r="472" ht="27.6" customHeight="1" spans="1:35" x14ac:dyDescent="0.25">
      <c r="A472" s="27" t="s">
        <v>620</v>
      </c>
      <c r="B472">
        <f t="shared" si="21"/>
        <v>0</v>
      </c>
      <c r="C472" t="s">
        <v>64</v>
      </c>
      <c r="D472" s="27" t="s">
        <v>1772</v>
      </c>
      <c r="E472" t="s">
        <v>1773</v>
      </c>
      <c r="F472" s="28">
        <v>2</v>
      </c>
      <c r="G472" s="29">
        <v>1</v>
      </c>
      <c r="H472" s="30" t="s">
        <v>1774</v>
      </c>
      <c r="I472" t="s">
        <v>65</v>
      </c>
      <c r="J4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145</v>
      </c>
      <c r="L472" t="s">
        <v>146</v>
      </c>
      <c r="N472" s="29">
        <v>1</v>
      </c>
      <c r="P472" s="29">
        <v>1</v>
      </c>
      <c r="R472" s="29">
        <v>1</v>
      </c>
      <c r="S472" t="s">
        <v>70</v>
      </c>
      <c r="T472" t="s">
        <v>72</v>
      </c>
      <c r="U472" s="32">
        <v>30</v>
      </c>
      <c r="V472">
        <v>30</v>
      </c>
      <c r="W472" t="s">
        <v>79</v>
      </c>
      <c r="X472" t="s">
        <v>171</v>
      </c>
      <c r="Y472" t="s">
        <v>1775</v>
      </c>
      <c r="AA472" t="s">
        <v>75</v>
      </c>
      <c r="AC472" t="s">
        <v>83</v>
      </c>
      <c r="AE472" t="s">
        <v>75</v>
      </c>
      <c r="AF472" t="s">
        <v>84</v>
      </c>
      <c r="AG472" t="s">
        <v>84</v>
      </c>
      <c r="AH472" s="33">
        <f t="shared" si="22"/>
      </c>
      <c r="AI472" s="33">
        <f t="shared" si="23"/>
      </c>
    </row>
    <row r="473" ht="27.6" customHeight="1" spans="1:35" x14ac:dyDescent="0.25">
      <c r="A473" s="27" t="s">
        <v>644</v>
      </c>
      <c r="B473">
        <f t="shared" si="21"/>
        <v>0</v>
      </c>
      <c r="C473" t="s">
        <v>64</v>
      </c>
      <c r="D473" s="27" t="s">
        <v>1776</v>
      </c>
      <c r="E473" t="s">
        <v>1777</v>
      </c>
      <c r="F473" s="28">
        <v>2</v>
      </c>
      <c r="G473" s="29">
        <v>1</v>
      </c>
      <c r="H473" s="30" t="s">
        <v>1778</v>
      </c>
      <c r="I473" t="s">
        <v>65</v>
      </c>
      <c r="J4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145</v>
      </c>
      <c r="L473" t="s">
        <v>146</v>
      </c>
      <c r="N473" s="29">
        <v>1</v>
      </c>
      <c r="P473" s="29">
        <v>1</v>
      </c>
      <c r="R473" s="29">
        <v>1</v>
      </c>
      <c r="S473" t="s">
        <v>70</v>
      </c>
      <c r="T473" t="s">
        <v>72</v>
      </c>
      <c r="U473" s="32">
        <v>30</v>
      </c>
      <c r="V473">
        <v>30</v>
      </c>
      <c r="W473" t="s">
        <v>79</v>
      </c>
      <c r="X473" t="s">
        <v>171</v>
      </c>
      <c r="Y473" t="s">
        <v>1779</v>
      </c>
      <c r="AA473" t="s">
        <v>75</v>
      </c>
      <c r="AC473" t="s">
        <v>83</v>
      </c>
      <c r="AE473" t="s">
        <v>75</v>
      </c>
      <c r="AF473" t="s">
        <v>84</v>
      </c>
      <c r="AG473" t="s">
        <v>84</v>
      </c>
      <c r="AH473" s="33">
        <f t="shared" si="22"/>
      </c>
      <c r="AI473" s="33">
        <f t="shared" si="23"/>
      </c>
    </row>
    <row r="474" ht="27.6" customHeight="1" spans="1:35" x14ac:dyDescent="0.25">
      <c r="A474" s="27" t="s">
        <v>1780</v>
      </c>
      <c r="B474">
        <f t="shared" si="21"/>
        <v>0</v>
      </c>
      <c r="C474" t="s">
        <v>64</v>
      </c>
      <c r="D474" s="27" t="s">
        <v>102</v>
      </c>
      <c r="E474" t="s">
        <v>1781</v>
      </c>
      <c r="F474" s="28">
        <v>0</v>
      </c>
      <c r="G474" s="29">
        <v>1</v>
      </c>
      <c r="H474" s="30" t="s">
        <v>1782</v>
      </c>
      <c r="I474" t="s">
        <v>65</v>
      </c>
      <c r="J4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145</v>
      </c>
      <c r="L474" t="s">
        <v>146</v>
      </c>
      <c r="N474" s="29">
        <v>1</v>
      </c>
      <c r="P474" s="29">
        <v>1</v>
      </c>
      <c r="R474" s="29">
        <v>1</v>
      </c>
      <c r="S474" t="s">
        <v>70</v>
      </c>
      <c r="T474" t="s">
        <v>72</v>
      </c>
      <c r="U474" s="32">
        <v>30</v>
      </c>
      <c r="V474">
        <v>30</v>
      </c>
      <c r="W474" t="s">
        <v>79</v>
      </c>
      <c r="X474" t="s">
        <v>770</v>
      </c>
      <c r="Y474" t="s">
        <v>1781</v>
      </c>
      <c r="AA474" t="s">
        <v>75</v>
      </c>
      <c r="AC474" t="s">
        <v>83</v>
      </c>
      <c r="AE474" t="s">
        <v>75</v>
      </c>
      <c r="AF474" t="s">
        <v>84</v>
      </c>
      <c r="AG474" t="s">
        <v>84</v>
      </c>
      <c r="AH474" s="33">
        <f t="shared" si="22"/>
      </c>
      <c r="AI474" s="33">
        <f t="shared" si="23"/>
      </c>
    </row>
    <row r="475" ht="27.6" customHeight="1" spans="1:35" x14ac:dyDescent="0.25">
      <c r="A475" s="27" t="s">
        <v>1783</v>
      </c>
      <c r="B475">
        <f t="shared" si="21"/>
        <v>0</v>
      </c>
      <c r="C475" t="s">
        <v>64</v>
      </c>
      <c r="D475" s="27" t="s">
        <v>1784</v>
      </c>
      <c r="E475" t="s">
        <v>1785</v>
      </c>
      <c r="F475" s="28">
        <v>0</v>
      </c>
      <c r="G475" s="29">
        <v>1</v>
      </c>
      <c r="H475" s="30" t="s">
        <v>1786</v>
      </c>
      <c r="I475" t="s">
        <v>65</v>
      </c>
      <c r="J4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145</v>
      </c>
      <c r="L475" t="s">
        <v>146</v>
      </c>
      <c r="N475" s="29">
        <v>1</v>
      </c>
      <c r="P475" s="29">
        <v>1</v>
      </c>
      <c r="R475" s="29">
        <v>1</v>
      </c>
      <c r="S475" t="s">
        <v>70</v>
      </c>
      <c r="T475" t="s">
        <v>72</v>
      </c>
      <c r="U475" s="32">
        <v>30</v>
      </c>
      <c r="V475">
        <v>30</v>
      </c>
      <c r="W475" t="s">
        <v>79</v>
      </c>
      <c r="X475" t="s">
        <v>171</v>
      </c>
      <c r="Y475" t="s">
        <v>1711</v>
      </c>
      <c r="AA475" t="s">
        <v>75</v>
      </c>
      <c r="AC475" t="s">
        <v>83</v>
      </c>
      <c r="AE475" t="s">
        <v>75</v>
      </c>
      <c r="AF475" t="s">
        <v>84</v>
      </c>
      <c r="AG475" t="s">
        <v>84</v>
      </c>
      <c r="AH475" s="33">
        <f t="shared" si="22"/>
      </c>
      <c r="AI475" s="33">
        <f t="shared" si="23"/>
      </c>
    </row>
    <row r="476" ht="27.6" customHeight="1" spans="1:35" x14ac:dyDescent="0.25">
      <c r="A476" s="27" t="s">
        <v>1787</v>
      </c>
      <c r="B476">
        <f t="shared" si="21"/>
        <v>0</v>
      </c>
      <c r="C476" t="s">
        <v>64</v>
      </c>
      <c r="D476" s="27" t="s">
        <v>102</v>
      </c>
      <c r="E476" t="s">
        <v>1788</v>
      </c>
      <c r="F476" s="28">
        <v>0</v>
      </c>
      <c r="G476" s="29">
        <v>1</v>
      </c>
      <c r="H476" s="30" t="s">
        <v>1789</v>
      </c>
      <c r="I476" t="s">
        <v>65</v>
      </c>
      <c r="J4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145</v>
      </c>
      <c r="L476" t="s">
        <v>146</v>
      </c>
      <c r="N476" s="29">
        <v>1</v>
      </c>
      <c r="P476" s="29">
        <v>1</v>
      </c>
      <c r="R476" s="29">
        <v>1</v>
      </c>
      <c r="S476" t="s">
        <v>70</v>
      </c>
      <c r="T476" t="s">
        <v>72</v>
      </c>
      <c r="U476" s="32">
        <v>30</v>
      </c>
      <c r="V476">
        <v>30</v>
      </c>
      <c r="W476" t="s">
        <v>79</v>
      </c>
      <c r="X476" t="s">
        <v>171</v>
      </c>
      <c r="Y476" t="s">
        <v>1788</v>
      </c>
      <c r="AA476" t="s">
        <v>75</v>
      </c>
      <c r="AC476" t="s">
        <v>83</v>
      </c>
      <c r="AE476" t="s">
        <v>75</v>
      </c>
      <c r="AF476" t="s">
        <v>84</v>
      </c>
      <c r="AG476" t="s">
        <v>84</v>
      </c>
      <c r="AH476" s="33">
        <f t="shared" si="22"/>
      </c>
      <c r="AI476" s="33">
        <f t="shared" si="23"/>
      </c>
    </row>
    <row r="477" ht="27.6" customHeight="1" spans="1:35" x14ac:dyDescent="0.25">
      <c r="A477" s="27" t="s">
        <v>1790</v>
      </c>
      <c r="B477">
        <f t="shared" si="21"/>
        <v>0</v>
      </c>
      <c r="C477" t="s">
        <v>64</v>
      </c>
      <c r="D477" s="27" t="s">
        <v>1791</v>
      </c>
      <c r="E477" t="s">
        <v>1792</v>
      </c>
      <c r="F477" s="28">
        <v>0</v>
      </c>
      <c r="G477" s="29">
        <v>1</v>
      </c>
      <c r="H477" s="30" t="s">
        <v>1793</v>
      </c>
      <c r="I477" t="s">
        <v>65</v>
      </c>
      <c r="J4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145</v>
      </c>
      <c r="L477" t="s">
        <v>146</v>
      </c>
      <c r="N477" s="29">
        <v>1</v>
      </c>
      <c r="P477" s="29">
        <v>1</v>
      </c>
      <c r="R477" s="29">
        <v>1</v>
      </c>
      <c r="S477" t="s">
        <v>70</v>
      </c>
      <c r="T477" t="s">
        <v>72</v>
      </c>
      <c r="U477" s="32">
        <v>30</v>
      </c>
      <c r="V477">
        <v>30</v>
      </c>
      <c r="W477" t="s">
        <v>79</v>
      </c>
      <c r="X477" t="s">
        <v>171</v>
      </c>
      <c r="Y477" t="s">
        <v>1792</v>
      </c>
      <c r="AA477" t="s">
        <v>75</v>
      </c>
      <c r="AC477" t="s">
        <v>83</v>
      </c>
      <c r="AE477" t="s">
        <v>75</v>
      </c>
      <c r="AF477" t="s">
        <v>84</v>
      </c>
      <c r="AG477" t="s">
        <v>84</v>
      </c>
      <c r="AH477" s="33">
        <f t="shared" si="22"/>
      </c>
      <c r="AI477" s="33">
        <f t="shared" si="23"/>
      </c>
    </row>
    <row r="478" ht="27.6" customHeight="1" spans="1:35" x14ac:dyDescent="0.25">
      <c r="A478" s="27" t="s">
        <v>1794</v>
      </c>
      <c r="B478">
        <f t="shared" si="21"/>
        <v>0</v>
      </c>
      <c r="C478" t="s">
        <v>64</v>
      </c>
      <c r="D478" s="27" t="s">
        <v>102</v>
      </c>
      <c r="E478" t="s">
        <v>1795</v>
      </c>
      <c r="F478" s="28">
        <v>0</v>
      </c>
      <c r="G478" s="29">
        <v>1</v>
      </c>
      <c r="H478" s="30" t="s">
        <v>1796</v>
      </c>
      <c r="I478" t="s">
        <v>65</v>
      </c>
      <c r="J4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145</v>
      </c>
      <c r="L478" t="s">
        <v>146</v>
      </c>
      <c r="N478" s="29">
        <v>1</v>
      </c>
      <c r="P478" s="29">
        <v>1</v>
      </c>
      <c r="R478" s="29">
        <v>1</v>
      </c>
      <c r="S478" t="s">
        <v>70</v>
      </c>
      <c r="T478" t="s">
        <v>72</v>
      </c>
      <c r="U478" s="32">
        <v>30</v>
      </c>
      <c r="V478">
        <v>30</v>
      </c>
      <c r="W478" t="s">
        <v>79</v>
      </c>
      <c r="X478" t="s">
        <v>980</v>
      </c>
      <c r="Y478" t="s">
        <v>1795</v>
      </c>
      <c r="AA478" t="s">
        <v>75</v>
      </c>
      <c r="AC478" t="s">
        <v>83</v>
      </c>
      <c r="AE478" t="s">
        <v>75</v>
      </c>
      <c r="AF478" t="s">
        <v>84</v>
      </c>
      <c r="AG478" t="s">
        <v>84</v>
      </c>
      <c r="AH478" s="33">
        <f t="shared" si="22"/>
      </c>
      <c r="AI478" s="33">
        <f t="shared" si="23"/>
      </c>
    </row>
    <row r="479" ht="27.6" customHeight="1" spans="1:35" x14ac:dyDescent="0.25">
      <c r="A479" s="27" t="s">
        <v>1797</v>
      </c>
      <c r="B479">
        <f t="shared" si="21"/>
        <v>0</v>
      </c>
      <c r="C479" t="s">
        <v>64</v>
      </c>
      <c r="D479" s="27" t="s">
        <v>1798</v>
      </c>
      <c r="E479" t="s">
        <v>1799</v>
      </c>
      <c r="F479" s="28">
        <v>2</v>
      </c>
      <c r="G479" s="29">
        <v>1</v>
      </c>
      <c r="H479" s="30" t="s">
        <v>1800</v>
      </c>
      <c r="I479" t="s">
        <v>65</v>
      </c>
      <c r="J4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145</v>
      </c>
      <c r="L479" t="s">
        <v>146</v>
      </c>
      <c r="N479" s="29">
        <v>1</v>
      </c>
      <c r="P479" s="29">
        <v>1</v>
      </c>
      <c r="R479" s="29">
        <v>1</v>
      </c>
      <c r="S479" t="s">
        <v>70</v>
      </c>
      <c r="T479" t="s">
        <v>72</v>
      </c>
      <c r="U479" s="32">
        <v>30</v>
      </c>
      <c r="V479">
        <v>30</v>
      </c>
      <c r="W479" t="s">
        <v>79</v>
      </c>
      <c r="X479" t="s">
        <v>171</v>
      </c>
      <c r="Y479" t="s">
        <v>1799</v>
      </c>
      <c r="AA479" t="s">
        <v>75</v>
      </c>
      <c r="AC479" t="s">
        <v>83</v>
      </c>
      <c r="AE479" t="s">
        <v>75</v>
      </c>
      <c r="AF479" t="s">
        <v>84</v>
      </c>
      <c r="AG479" t="s">
        <v>84</v>
      </c>
      <c r="AH479" s="33">
        <f t="shared" si="22"/>
      </c>
      <c r="AI479" s="33">
        <f t="shared" si="23"/>
      </c>
    </row>
    <row r="480" ht="27.6" customHeight="1" spans="1:35" x14ac:dyDescent="0.25">
      <c r="A480" s="27" t="s">
        <v>1801</v>
      </c>
      <c r="B480">
        <f t="shared" si="21"/>
        <v>0</v>
      </c>
      <c r="C480" t="s">
        <v>64</v>
      </c>
      <c r="D480" s="27" t="s">
        <v>102</v>
      </c>
      <c r="E480" t="s">
        <v>1802</v>
      </c>
      <c r="F480" s="28">
        <v>0</v>
      </c>
      <c r="G480" s="29">
        <v>1</v>
      </c>
      <c r="H480" s="30" t="s">
        <v>1803</v>
      </c>
      <c r="I480" t="s">
        <v>65</v>
      </c>
      <c r="J4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145</v>
      </c>
      <c r="L480" t="s">
        <v>146</v>
      </c>
      <c r="N480" s="29">
        <v>1</v>
      </c>
      <c r="P480" s="29">
        <v>1</v>
      </c>
      <c r="R480" s="29">
        <v>1</v>
      </c>
      <c r="S480" t="s">
        <v>70</v>
      </c>
      <c r="T480" t="s">
        <v>72</v>
      </c>
      <c r="U480" s="32">
        <v>30</v>
      </c>
      <c r="V480">
        <v>30</v>
      </c>
      <c r="W480" t="s">
        <v>79</v>
      </c>
      <c r="X480" t="s">
        <v>980</v>
      </c>
      <c r="Y480" t="s">
        <v>1802</v>
      </c>
      <c r="AA480" t="s">
        <v>75</v>
      </c>
      <c r="AC480" t="s">
        <v>83</v>
      </c>
      <c r="AE480" t="s">
        <v>75</v>
      </c>
      <c r="AF480" t="s">
        <v>84</v>
      </c>
      <c r="AG480" t="s">
        <v>84</v>
      </c>
      <c r="AH480" s="33">
        <f t="shared" si="22"/>
      </c>
      <c r="AI480" s="33">
        <f t="shared" si="23"/>
      </c>
    </row>
    <row r="481" ht="27.6" customHeight="1" spans="1:35" x14ac:dyDescent="0.25">
      <c r="A481" s="27" t="s">
        <v>1804</v>
      </c>
      <c r="B481">
        <f t="shared" si="21"/>
        <v>0</v>
      </c>
      <c r="C481" t="s">
        <v>64</v>
      </c>
      <c r="D481" s="27" t="s">
        <v>102</v>
      </c>
      <c r="E481" t="s">
        <v>1805</v>
      </c>
      <c r="F481" s="28">
        <v>0</v>
      </c>
      <c r="G481" s="29">
        <v>1</v>
      </c>
      <c r="H481" s="30" t="s">
        <v>1806</v>
      </c>
      <c r="I481" t="s">
        <v>65</v>
      </c>
      <c r="J4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145</v>
      </c>
      <c r="L481" t="s">
        <v>146</v>
      </c>
      <c r="N481" s="29">
        <v>1</v>
      </c>
      <c r="P481" s="29">
        <v>1</v>
      </c>
      <c r="R481" s="29">
        <v>1</v>
      </c>
      <c r="S481" t="s">
        <v>70</v>
      </c>
      <c r="T481" t="s">
        <v>72</v>
      </c>
      <c r="U481" s="32">
        <v>30</v>
      </c>
      <c r="V481">
        <v>30</v>
      </c>
      <c r="W481" t="s">
        <v>79</v>
      </c>
      <c r="X481" t="s">
        <v>980</v>
      </c>
      <c r="Y481" t="s">
        <v>1805</v>
      </c>
      <c r="AA481" t="s">
        <v>75</v>
      </c>
      <c r="AC481" t="s">
        <v>83</v>
      </c>
      <c r="AE481" t="s">
        <v>75</v>
      </c>
      <c r="AF481" t="s">
        <v>84</v>
      </c>
      <c r="AG481" t="s">
        <v>84</v>
      </c>
      <c r="AH481" s="33">
        <f t="shared" si="22"/>
      </c>
      <c r="AI481" s="33">
        <f t="shared" si="23"/>
      </c>
    </row>
    <row r="482" ht="27.6" customHeight="1" spans="1:35" x14ac:dyDescent="0.25">
      <c r="A482" s="27" t="s">
        <v>1807</v>
      </c>
      <c r="B482">
        <f t="shared" si="21"/>
        <v>0</v>
      </c>
      <c r="C482" t="s">
        <v>64</v>
      </c>
      <c r="D482" s="27" t="s">
        <v>102</v>
      </c>
      <c r="E482" t="s">
        <v>1808</v>
      </c>
      <c r="F482" s="28">
        <v>0</v>
      </c>
      <c r="G482" s="29">
        <v>1</v>
      </c>
      <c r="H482" s="30" t="s">
        <v>1809</v>
      </c>
      <c r="I482" t="s">
        <v>65</v>
      </c>
      <c r="J4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145</v>
      </c>
      <c r="L482" t="s">
        <v>146</v>
      </c>
      <c r="N482" s="29">
        <v>1</v>
      </c>
      <c r="P482" s="29">
        <v>1</v>
      </c>
      <c r="R482" s="29">
        <v>1</v>
      </c>
      <c r="S482" t="s">
        <v>70</v>
      </c>
      <c r="T482" t="s">
        <v>72</v>
      </c>
      <c r="U482" s="32">
        <v>30</v>
      </c>
      <c r="V482">
        <v>30</v>
      </c>
      <c r="W482" t="s">
        <v>79</v>
      </c>
      <c r="X482" t="s">
        <v>980</v>
      </c>
      <c r="Y482" t="s">
        <v>1810</v>
      </c>
      <c r="AA482" t="s">
        <v>75</v>
      </c>
      <c r="AC482" t="s">
        <v>83</v>
      </c>
      <c r="AE482" t="s">
        <v>75</v>
      </c>
      <c r="AF482" t="s">
        <v>84</v>
      </c>
      <c r="AG482" t="s">
        <v>84</v>
      </c>
      <c r="AH482" s="33">
        <f t="shared" si="22"/>
      </c>
      <c r="AI482" s="33">
        <f t="shared" si="23"/>
      </c>
    </row>
    <row r="483" ht="27.6" customHeight="1" spans="1:35" x14ac:dyDescent="0.25">
      <c r="A483" s="27" t="s">
        <v>1811</v>
      </c>
      <c r="B483">
        <f t="shared" si="21"/>
        <v>0</v>
      </c>
      <c r="C483" t="s">
        <v>64</v>
      </c>
      <c r="D483" s="27" t="s">
        <v>102</v>
      </c>
      <c r="E483" t="s">
        <v>1812</v>
      </c>
      <c r="F483" s="28">
        <v>0</v>
      </c>
      <c r="G483" s="29">
        <v>1</v>
      </c>
      <c r="H483" s="30" t="s">
        <v>1813</v>
      </c>
      <c r="I483" t="s">
        <v>65</v>
      </c>
      <c r="J4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145</v>
      </c>
      <c r="L483" t="s">
        <v>146</v>
      </c>
      <c r="N483" s="29">
        <v>1</v>
      </c>
      <c r="P483" s="29">
        <v>1</v>
      </c>
      <c r="R483" s="29">
        <v>1</v>
      </c>
      <c r="S483" t="s">
        <v>70</v>
      </c>
      <c r="T483" t="s">
        <v>72</v>
      </c>
      <c r="U483" s="32">
        <v>30</v>
      </c>
      <c r="V483">
        <v>30</v>
      </c>
      <c r="W483" t="s">
        <v>79</v>
      </c>
      <c r="X483" t="s">
        <v>171</v>
      </c>
      <c r="Y483" t="s">
        <v>1812</v>
      </c>
      <c r="AA483" t="s">
        <v>75</v>
      </c>
      <c r="AC483" t="s">
        <v>83</v>
      </c>
      <c r="AE483" t="s">
        <v>75</v>
      </c>
      <c r="AF483" t="s">
        <v>84</v>
      </c>
      <c r="AG483" t="s">
        <v>84</v>
      </c>
      <c r="AH483" s="33">
        <f t="shared" si="22"/>
      </c>
      <c r="AI483" s="33">
        <f t="shared" si="23"/>
      </c>
    </row>
    <row r="484" ht="27.6" customHeight="1" spans="1:35" x14ac:dyDescent="0.25">
      <c r="A484" s="27" t="s">
        <v>1814</v>
      </c>
      <c r="B484">
        <f t="shared" si="21"/>
        <v>0</v>
      </c>
      <c r="C484" t="s">
        <v>64</v>
      </c>
      <c r="D484" s="27" t="s">
        <v>102</v>
      </c>
      <c r="E484" t="s">
        <v>1815</v>
      </c>
      <c r="F484" s="28">
        <v>0</v>
      </c>
      <c r="G484" s="29">
        <v>1</v>
      </c>
      <c r="H484" s="30" t="s">
        <v>1816</v>
      </c>
      <c r="I484" t="s">
        <v>65</v>
      </c>
      <c r="J4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145</v>
      </c>
      <c r="L484" t="s">
        <v>146</v>
      </c>
      <c r="N484" s="29">
        <v>1</v>
      </c>
      <c r="P484" s="29">
        <v>1</v>
      </c>
      <c r="R484" s="29">
        <v>1</v>
      </c>
      <c r="S484" t="s">
        <v>70</v>
      </c>
      <c r="T484" t="s">
        <v>72</v>
      </c>
      <c r="U484" s="32">
        <v>30</v>
      </c>
      <c r="V484">
        <v>30</v>
      </c>
      <c r="W484" t="s">
        <v>79</v>
      </c>
      <c r="X484" t="s">
        <v>171</v>
      </c>
      <c r="Y484" t="s">
        <v>1815</v>
      </c>
      <c r="AA484" t="s">
        <v>75</v>
      </c>
      <c r="AC484" t="s">
        <v>83</v>
      </c>
      <c r="AE484" t="s">
        <v>75</v>
      </c>
      <c r="AF484" t="s">
        <v>84</v>
      </c>
      <c r="AG484" t="s">
        <v>84</v>
      </c>
      <c r="AH484" s="33">
        <f t="shared" si="22"/>
      </c>
      <c r="AI484" s="33">
        <f t="shared" si="23"/>
      </c>
    </row>
    <row r="485" ht="27.6" customHeight="1" spans="1:35" x14ac:dyDescent="0.25">
      <c r="A485" s="27" t="s">
        <v>1817</v>
      </c>
      <c r="B485">
        <f t="shared" si="21"/>
        <v>0</v>
      </c>
      <c r="C485" t="s">
        <v>64</v>
      </c>
      <c r="D485" s="27" t="s">
        <v>102</v>
      </c>
      <c r="E485" t="s">
        <v>1818</v>
      </c>
      <c r="F485" s="28">
        <v>0</v>
      </c>
      <c r="G485" s="29">
        <v>1</v>
      </c>
      <c r="H485" s="30" t="s">
        <v>1819</v>
      </c>
      <c r="I485" t="s">
        <v>65</v>
      </c>
      <c r="J4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145</v>
      </c>
      <c r="L485" t="s">
        <v>146</v>
      </c>
      <c r="N485" s="29">
        <v>1</v>
      </c>
      <c r="P485" s="29">
        <v>1</v>
      </c>
      <c r="R485" s="29">
        <v>1</v>
      </c>
      <c r="S485" t="s">
        <v>70</v>
      </c>
      <c r="T485" t="s">
        <v>72</v>
      </c>
      <c r="U485" s="32">
        <v>30</v>
      </c>
      <c r="V485">
        <v>30</v>
      </c>
      <c r="W485" t="s">
        <v>79</v>
      </c>
      <c r="X485" t="s">
        <v>980</v>
      </c>
      <c r="Y485" t="s">
        <v>1818</v>
      </c>
      <c r="AA485" t="s">
        <v>75</v>
      </c>
      <c r="AC485" t="s">
        <v>83</v>
      </c>
      <c r="AE485" t="s">
        <v>75</v>
      </c>
      <c r="AF485" t="s">
        <v>84</v>
      </c>
      <c r="AG485" t="s">
        <v>84</v>
      </c>
      <c r="AH485" s="33">
        <f t="shared" si="22"/>
      </c>
      <c r="AI485" s="33">
        <f t="shared" si="23"/>
      </c>
    </row>
    <row r="486" ht="27.6" customHeight="1" spans="1:35" x14ac:dyDescent="0.25">
      <c r="A486" s="27" t="s">
        <v>1820</v>
      </c>
      <c r="B486">
        <f t="shared" si="21"/>
        <v>0</v>
      </c>
      <c r="C486" t="s">
        <v>64</v>
      </c>
      <c r="D486" s="27" t="s">
        <v>102</v>
      </c>
      <c r="E486" t="s">
        <v>1821</v>
      </c>
      <c r="F486" s="28">
        <v>0</v>
      </c>
      <c r="G486" s="29">
        <v>1</v>
      </c>
      <c r="H486" s="30" t="s">
        <v>1822</v>
      </c>
      <c r="I486" t="s">
        <v>65</v>
      </c>
      <c r="J4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145</v>
      </c>
      <c r="L486" t="s">
        <v>146</v>
      </c>
      <c r="N486" s="29">
        <v>1</v>
      </c>
      <c r="P486" s="29">
        <v>1</v>
      </c>
      <c r="R486" s="29">
        <v>1</v>
      </c>
      <c r="S486" t="s">
        <v>70</v>
      </c>
      <c r="T486" t="s">
        <v>72</v>
      </c>
      <c r="U486" s="32">
        <v>30</v>
      </c>
      <c r="V486">
        <v>30</v>
      </c>
      <c r="W486" t="s">
        <v>79</v>
      </c>
      <c r="X486" t="s">
        <v>770</v>
      </c>
      <c r="Y486" t="s">
        <v>1821</v>
      </c>
      <c r="AA486" t="s">
        <v>75</v>
      </c>
      <c r="AC486" t="s">
        <v>83</v>
      </c>
      <c r="AE486" t="s">
        <v>75</v>
      </c>
      <c r="AF486" t="s">
        <v>84</v>
      </c>
      <c r="AG486" t="s">
        <v>84</v>
      </c>
      <c r="AH486" s="33">
        <f t="shared" si="22"/>
      </c>
      <c r="AI486" s="33">
        <f t="shared" si="23"/>
      </c>
    </row>
    <row r="487" ht="27.6" customHeight="1" spans="1:35" x14ac:dyDescent="0.25">
      <c r="A487" s="27" t="s">
        <v>1823</v>
      </c>
      <c r="B487">
        <f t="shared" si="21"/>
        <v>0</v>
      </c>
      <c r="C487" t="s">
        <v>64</v>
      </c>
      <c r="D487" s="27" t="s">
        <v>102</v>
      </c>
      <c r="E487" t="s">
        <v>1824</v>
      </c>
      <c r="F487" s="28">
        <v>0</v>
      </c>
      <c r="G487" s="29">
        <v>1</v>
      </c>
      <c r="H487" s="30" t="s">
        <v>1825</v>
      </c>
      <c r="I487" t="s">
        <v>65</v>
      </c>
      <c r="J4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145</v>
      </c>
      <c r="L487" t="s">
        <v>146</v>
      </c>
      <c r="N487" s="29">
        <v>1</v>
      </c>
      <c r="P487" s="29">
        <v>1</v>
      </c>
      <c r="R487" s="29">
        <v>1</v>
      </c>
      <c r="S487" t="s">
        <v>70</v>
      </c>
      <c r="T487" t="s">
        <v>72</v>
      </c>
      <c r="U487" s="32">
        <v>30</v>
      </c>
      <c r="V487">
        <v>30</v>
      </c>
      <c r="W487" t="s">
        <v>79</v>
      </c>
      <c r="X487" t="s">
        <v>980</v>
      </c>
      <c r="Y487" t="s">
        <v>1824</v>
      </c>
      <c r="AA487" t="s">
        <v>75</v>
      </c>
      <c r="AC487" t="s">
        <v>83</v>
      </c>
      <c r="AE487" t="s">
        <v>75</v>
      </c>
      <c r="AF487" t="s">
        <v>84</v>
      </c>
      <c r="AG487" t="s">
        <v>84</v>
      </c>
      <c r="AH487" s="33">
        <f t="shared" si="22"/>
      </c>
      <c r="AI487" s="33">
        <f t="shared" si="23"/>
      </c>
    </row>
    <row r="488" ht="27.6" customHeight="1" spans="1:35" x14ac:dyDescent="0.25">
      <c r="A488" s="27" t="s">
        <v>1826</v>
      </c>
      <c r="B488">
        <f t="shared" si="21"/>
        <v>0</v>
      </c>
      <c r="C488" t="s">
        <v>64</v>
      </c>
      <c r="D488" s="27" t="s">
        <v>102</v>
      </c>
      <c r="E488" t="s">
        <v>1827</v>
      </c>
      <c r="F488" s="28">
        <v>0</v>
      </c>
      <c r="G488" s="29">
        <v>1</v>
      </c>
      <c r="H488" s="30" t="s">
        <v>1828</v>
      </c>
      <c r="I488" t="s">
        <v>65</v>
      </c>
      <c r="J4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145</v>
      </c>
      <c r="L488" t="s">
        <v>146</v>
      </c>
      <c r="N488" s="29">
        <v>1</v>
      </c>
      <c r="P488" s="29">
        <v>1</v>
      </c>
      <c r="R488" s="29">
        <v>1</v>
      </c>
      <c r="S488" t="s">
        <v>70</v>
      </c>
      <c r="T488" t="s">
        <v>72</v>
      </c>
      <c r="U488" s="32">
        <v>30</v>
      </c>
      <c r="V488">
        <v>30</v>
      </c>
      <c r="W488" t="s">
        <v>79</v>
      </c>
      <c r="X488" t="s">
        <v>171</v>
      </c>
      <c r="Y488" t="s">
        <v>1829</v>
      </c>
      <c r="AA488" t="s">
        <v>75</v>
      </c>
      <c r="AC488" t="s">
        <v>83</v>
      </c>
      <c r="AE488" t="s">
        <v>75</v>
      </c>
      <c r="AF488" t="s">
        <v>84</v>
      </c>
      <c r="AG488" t="s">
        <v>84</v>
      </c>
      <c r="AH488" s="33">
        <f t="shared" si="22"/>
      </c>
      <c r="AI488" s="33">
        <f t="shared" si="23"/>
      </c>
    </row>
    <row r="489" ht="27.6" customHeight="1" spans="1:35" x14ac:dyDescent="0.25">
      <c r="A489" s="27" t="s">
        <v>1830</v>
      </c>
      <c r="B489">
        <f t="shared" si="21"/>
        <v>0</v>
      </c>
      <c r="C489" t="s">
        <v>64</v>
      </c>
      <c r="D489" s="27" t="s">
        <v>102</v>
      </c>
      <c r="E489" t="s">
        <v>1831</v>
      </c>
      <c r="F489" s="28">
        <v>0</v>
      </c>
      <c r="G489" s="29">
        <v>1</v>
      </c>
      <c r="H489" s="30" t="s">
        <v>1832</v>
      </c>
      <c r="I489" t="s">
        <v>65</v>
      </c>
      <c r="J4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145</v>
      </c>
      <c r="L489" t="s">
        <v>146</v>
      </c>
      <c r="N489" s="29">
        <v>1</v>
      </c>
      <c r="P489" s="29">
        <v>1</v>
      </c>
      <c r="R489" s="29">
        <v>1</v>
      </c>
      <c r="S489" t="s">
        <v>70</v>
      </c>
      <c r="T489" t="s">
        <v>72</v>
      </c>
      <c r="U489" s="32">
        <v>30</v>
      </c>
      <c r="V489">
        <v>30</v>
      </c>
      <c r="W489" t="s">
        <v>79</v>
      </c>
      <c r="X489" t="s">
        <v>980</v>
      </c>
      <c r="Y489" t="s">
        <v>1831</v>
      </c>
      <c r="AA489" t="s">
        <v>75</v>
      </c>
      <c r="AC489" t="s">
        <v>83</v>
      </c>
      <c r="AE489" t="s">
        <v>75</v>
      </c>
      <c r="AF489" t="s">
        <v>84</v>
      </c>
      <c r="AG489" t="s">
        <v>84</v>
      </c>
      <c r="AH489" s="33">
        <f t="shared" si="22"/>
      </c>
      <c r="AI489" s="33">
        <f t="shared" si="23"/>
      </c>
    </row>
    <row r="490" ht="27.6" customHeight="1" spans="1:35" x14ac:dyDescent="0.25">
      <c r="A490" s="27" t="s">
        <v>1833</v>
      </c>
      <c r="B490">
        <f t="shared" si="21"/>
        <v>0</v>
      </c>
      <c r="C490" t="s">
        <v>64</v>
      </c>
      <c r="D490" s="27" t="s">
        <v>102</v>
      </c>
      <c r="E490" t="s">
        <v>1834</v>
      </c>
      <c r="F490" s="28">
        <v>0</v>
      </c>
      <c r="G490" s="29">
        <v>1</v>
      </c>
      <c r="H490" s="30" t="s">
        <v>1835</v>
      </c>
      <c r="I490" t="s">
        <v>65</v>
      </c>
      <c r="J4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145</v>
      </c>
      <c r="L490" t="s">
        <v>146</v>
      </c>
      <c r="N490" s="29">
        <v>1</v>
      </c>
      <c r="P490" s="29">
        <v>1</v>
      </c>
      <c r="R490" s="29">
        <v>1</v>
      </c>
      <c r="S490" t="s">
        <v>70</v>
      </c>
      <c r="T490" t="s">
        <v>72</v>
      </c>
      <c r="U490" s="32">
        <v>30</v>
      </c>
      <c r="V490">
        <v>30</v>
      </c>
      <c r="W490" t="s">
        <v>79</v>
      </c>
      <c r="X490" t="s">
        <v>980</v>
      </c>
      <c r="Y490" t="s">
        <v>1834</v>
      </c>
      <c r="AA490" t="s">
        <v>75</v>
      </c>
      <c r="AC490" t="s">
        <v>83</v>
      </c>
      <c r="AE490" t="s">
        <v>75</v>
      </c>
      <c r="AF490" t="s">
        <v>84</v>
      </c>
      <c r="AG490" t="s">
        <v>84</v>
      </c>
      <c r="AH490" s="33">
        <f t="shared" si="22"/>
      </c>
      <c r="AI490" s="33">
        <f t="shared" si="23"/>
      </c>
    </row>
    <row r="491" ht="27.6" customHeight="1" spans="1:35" x14ac:dyDescent="0.25">
      <c r="A491" s="27" t="s">
        <v>1836</v>
      </c>
      <c r="B491">
        <f t="shared" si="21"/>
        <v>0</v>
      </c>
      <c r="C491" t="s">
        <v>64</v>
      </c>
      <c r="D491" s="27" t="s">
        <v>1837</v>
      </c>
      <c r="E491" t="s">
        <v>1838</v>
      </c>
      <c r="F491" s="28">
        <v>2</v>
      </c>
      <c r="G491" s="29">
        <v>1</v>
      </c>
      <c r="H491" s="30" t="s">
        <v>1839</v>
      </c>
      <c r="I491" t="s">
        <v>65</v>
      </c>
      <c r="J4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145</v>
      </c>
      <c r="L491" t="s">
        <v>146</v>
      </c>
      <c r="N491" s="29">
        <v>1</v>
      </c>
      <c r="P491" s="29">
        <v>1</v>
      </c>
      <c r="R491" s="29">
        <v>1</v>
      </c>
      <c r="S491" t="s">
        <v>70</v>
      </c>
      <c r="T491" t="s">
        <v>72</v>
      </c>
      <c r="U491" s="32">
        <v>30</v>
      </c>
      <c r="V491">
        <v>30</v>
      </c>
      <c r="W491" t="s">
        <v>79</v>
      </c>
      <c r="X491" t="s">
        <v>171</v>
      </c>
      <c r="Y491" t="s">
        <v>1838</v>
      </c>
      <c r="AA491" t="s">
        <v>75</v>
      </c>
      <c r="AC491" t="s">
        <v>83</v>
      </c>
      <c r="AE491" t="s">
        <v>75</v>
      </c>
      <c r="AF491" t="s">
        <v>84</v>
      </c>
      <c r="AG491" t="s">
        <v>84</v>
      </c>
      <c r="AH491" s="33">
        <f t="shared" si="22"/>
      </c>
      <c r="AI491" s="33">
        <f t="shared" si="23"/>
      </c>
    </row>
    <row r="492" ht="27.6" customHeight="1" spans="1:35" x14ac:dyDescent="0.25">
      <c r="A492" s="27" t="s">
        <v>464</v>
      </c>
      <c r="B492">
        <f t="shared" si="21"/>
        <v>0</v>
      </c>
      <c r="C492" t="s">
        <v>64</v>
      </c>
      <c r="D492" s="27" t="s">
        <v>1840</v>
      </c>
      <c r="E492" t="s">
        <v>1841</v>
      </c>
      <c r="F492" s="28">
        <v>2</v>
      </c>
      <c r="G492" s="29">
        <v>1</v>
      </c>
      <c r="H492" s="30" t="s">
        <v>1842</v>
      </c>
      <c r="I492" t="s">
        <v>65</v>
      </c>
      <c r="J4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145</v>
      </c>
      <c r="L492" t="s">
        <v>146</v>
      </c>
      <c r="N492" s="29">
        <v>1</v>
      </c>
      <c r="P492" s="29">
        <v>1</v>
      </c>
      <c r="R492" s="29">
        <v>1</v>
      </c>
      <c r="S492" t="s">
        <v>70</v>
      </c>
      <c r="T492" t="s">
        <v>72</v>
      </c>
      <c r="U492" s="32">
        <v>30</v>
      </c>
      <c r="V492">
        <v>30</v>
      </c>
      <c r="W492" t="s">
        <v>79</v>
      </c>
      <c r="X492" t="s">
        <v>171</v>
      </c>
      <c r="Y492" t="s">
        <v>1843</v>
      </c>
      <c r="AA492" t="s">
        <v>75</v>
      </c>
      <c r="AC492" t="s">
        <v>83</v>
      </c>
      <c r="AE492" t="s">
        <v>75</v>
      </c>
      <c r="AF492" t="s">
        <v>84</v>
      </c>
      <c r="AG492" t="s">
        <v>84</v>
      </c>
      <c r="AH492" s="33">
        <f t="shared" si="22"/>
      </c>
      <c r="AI492" s="33">
        <f t="shared" si="23"/>
      </c>
    </row>
    <row r="493" ht="27.6" customHeight="1" spans="1:35" x14ac:dyDescent="0.25">
      <c r="A493" s="27" t="s">
        <v>1844</v>
      </c>
      <c r="B493">
        <f t="shared" si="21"/>
        <v>0</v>
      </c>
      <c r="C493" t="s">
        <v>64</v>
      </c>
      <c r="D493" s="27" t="s">
        <v>1845</v>
      </c>
      <c r="E493" t="s">
        <v>780</v>
      </c>
      <c r="F493" s="28">
        <v>2</v>
      </c>
      <c r="G493" s="29">
        <v>1</v>
      </c>
      <c r="H493" s="30" t="s">
        <v>1846</v>
      </c>
      <c r="I493" t="s">
        <v>65</v>
      </c>
      <c r="J4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145</v>
      </c>
      <c r="L493" t="s">
        <v>146</v>
      </c>
      <c r="N493" s="29">
        <v>1</v>
      </c>
      <c r="P493" s="29">
        <v>1</v>
      </c>
      <c r="R493" s="29">
        <v>1</v>
      </c>
      <c r="S493" t="s">
        <v>70</v>
      </c>
      <c r="T493" t="s">
        <v>72</v>
      </c>
      <c r="U493" s="32">
        <v>30</v>
      </c>
      <c r="V493">
        <v>30</v>
      </c>
      <c r="W493" t="s">
        <v>79</v>
      </c>
      <c r="X493" t="s">
        <v>171</v>
      </c>
      <c r="Y493" t="s">
        <v>778</v>
      </c>
      <c r="AA493" t="s">
        <v>75</v>
      </c>
      <c r="AC493" t="s">
        <v>83</v>
      </c>
      <c r="AE493" t="s">
        <v>75</v>
      </c>
      <c r="AF493" t="s">
        <v>84</v>
      </c>
      <c r="AG493" t="s">
        <v>84</v>
      </c>
      <c r="AH493" s="33">
        <f t="shared" si="22"/>
      </c>
      <c r="AI493" s="33">
        <f t="shared" si="23"/>
      </c>
    </row>
    <row r="494" ht="27.6" customHeight="1" spans="1:35" x14ac:dyDescent="0.25">
      <c r="A494" s="27" t="s">
        <v>1847</v>
      </c>
      <c r="B494">
        <f t="shared" si="21"/>
        <v>0</v>
      </c>
      <c r="C494" t="s">
        <v>64</v>
      </c>
      <c r="D494" s="27" t="s">
        <v>102</v>
      </c>
      <c r="E494" t="s">
        <v>1848</v>
      </c>
      <c r="F494" s="28">
        <v>0</v>
      </c>
      <c r="G494" s="29">
        <v>1</v>
      </c>
      <c r="H494" s="30" t="s">
        <v>1849</v>
      </c>
      <c r="I494" t="s">
        <v>65</v>
      </c>
      <c r="J4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145</v>
      </c>
      <c r="L494" t="s">
        <v>146</v>
      </c>
      <c r="N494" s="29">
        <v>1</v>
      </c>
      <c r="P494" s="29">
        <v>1</v>
      </c>
      <c r="R494" s="29">
        <v>1</v>
      </c>
      <c r="S494" t="s">
        <v>70</v>
      </c>
      <c r="T494" t="s">
        <v>72</v>
      </c>
      <c r="U494" s="32">
        <v>30</v>
      </c>
      <c r="V494">
        <v>30</v>
      </c>
      <c r="W494" t="s">
        <v>79</v>
      </c>
      <c r="X494" t="s">
        <v>770</v>
      </c>
      <c r="Y494" t="s">
        <v>1848</v>
      </c>
      <c r="AA494" t="s">
        <v>75</v>
      </c>
      <c r="AC494" t="s">
        <v>83</v>
      </c>
      <c r="AE494" t="s">
        <v>75</v>
      </c>
      <c r="AF494" t="s">
        <v>84</v>
      </c>
      <c r="AG494" t="s">
        <v>84</v>
      </c>
      <c r="AH494" s="33">
        <f t="shared" si="22"/>
      </c>
      <c r="AI494" s="33">
        <f t="shared" si="23"/>
      </c>
    </row>
    <row r="495" ht="27.6" customHeight="1" spans="1:35" x14ac:dyDescent="0.25">
      <c r="A495" s="27" t="s">
        <v>313</v>
      </c>
      <c r="B495">
        <f t="shared" si="21"/>
        <v>0</v>
      </c>
      <c r="C495" t="s">
        <v>64</v>
      </c>
      <c r="D495" s="27" t="s">
        <v>102</v>
      </c>
      <c r="E495" t="s">
        <v>710</v>
      </c>
      <c r="F495" s="28">
        <v>0</v>
      </c>
      <c r="G495" s="29">
        <v>1</v>
      </c>
      <c r="H495" s="30" t="s">
        <v>1850</v>
      </c>
      <c r="I495" t="s">
        <v>65</v>
      </c>
      <c r="J4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145</v>
      </c>
      <c r="L495" t="s">
        <v>146</v>
      </c>
      <c r="N495" s="29">
        <v>1</v>
      </c>
      <c r="P495" s="29">
        <v>1</v>
      </c>
      <c r="R495" s="29">
        <v>1</v>
      </c>
      <c r="S495" t="s">
        <v>70</v>
      </c>
      <c r="T495" t="s">
        <v>72</v>
      </c>
      <c r="U495" s="32">
        <v>30</v>
      </c>
      <c r="V495">
        <v>30</v>
      </c>
      <c r="W495" t="s">
        <v>79</v>
      </c>
      <c r="X495" t="s">
        <v>171</v>
      </c>
      <c r="Y495" t="s">
        <v>708</v>
      </c>
      <c r="AA495" t="s">
        <v>75</v>
      </c>
      <c r="AC495" t="s">
        <v>83</v>
      </c>
      <c r="AE495" t="s">
        <v>75</v>
      </c>
      <c r="AF495" t="s">
        <v>84</v>
      </c>
      <c r="AG495" t="s">
        <v>84</v>
      </c>
      <c r="AH495" s="33">
        <f t="shared" si="22"/>
      </c>
      <c r="AI495" s="33">
        <f t="shared" si="23"/>
      </c>
    </row>
    <row r="496" ht="27.6" customHeight="1" spans="1:35" x14ac:dyDescent="0.25">
      <c r="A496" s="27" t="s">
        <v>316</v>
      </c>
      <c r="B496">
        <f t="shared" si="21"/>
        <v>0</v>
      </c>
      <c r="C496" t="s">
        <v>64</v>
      </c>
      <c r="D496" s="27" t="s">
        <v>102</v>
      </c>
      <c r="E496" t="s">
        <v>710</v>
      </c>
      <c r="F496" s="28">
        <v>0</v>
      </c>
      <c r="G496" s="29">
        <v>1</v>
      </c>
      <c r="H496" s="30" t="s">
        <v>1851</v>
      </c>
      <c r="I496" t="s">
        <v>65</v>
      </c>
      <c r="J4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145</v>
      </c>
      <c r="L496" t="s">
        <v>146</v>
      </c>
      <c r="N496" s="29">
        <v>1</v>
      </c>
      <c r="P496" s="29">
        <v>1</v>
      </c>
      <c r="R496" s="29">
        <v>1</v>
      </c>
      <c r="S496" t="s">
        <v>70</v>
      </c>
      <c r="T496" t="s">
        <v>72</v>
      </c>
      <c r="U496" s="32">
        <v>30</v>
      </c>
      <c r="V496">
        <v>30</v>
      </c>
      <c r="W496" t="s">
        <v>79</v>
      </c>
      <c r="X496" t="s">
        <v>171</v>
      </c>
      <c r="Y496" t="s">
        <v>708</v>
      </c>
      <c r="AA496" t="s">
        <v>75</v>
      </c>
      <c r="AC496" t="s">
        <v>83</v>
      </c>
      <c r="AE496" t="s">
        <v>75</v>
      </c>
      <c r="AF496" t="s">
        <v>84</v>
      </c>
      <c r="AG496" t="s">
        <v>84</v>
      </c>
      <c r="AH496" s="33">
        <f t="shared" si="22"/>
      </c>
      <c r="AI496" s="33">
        <f t="shared" si="23"/>
      </c>
    </row>
    <row r="497" ht="27.6" customHeight="1" spans="1:35" x14ac:dyDescent="0.25">
      <c r="A497" s="27" t="s">
        <v>1852</v>
      </c>
      <c r="B497">
        <f t="shared" si="21"/>
        <v>0</v>
      </c>
      <c r="C497" t="s">
        <v>64</v>
      </c>
      <c r="D497" s="27" t="s">
        <v>102</v>
      </c>
      <c r="E497" t="s">
        <v>1853</v>
      </c>
      <c r="F497" s="28">
        <v>0</v>
      </c>
      <c r="G497" s="29">
        <v>1</v>
      </c>
      <c r="H497" s="30" t="s">
        <v>1854</v>
      </c>
      <c r="I497" t="s">
        <v>65</v>
      </c>
      <c r="J4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145</v>
      </c>
      <c r="L497" t="s">
        <v>146</v>
      </c>
      <c r="N497" s="29">
        <v>1</v>
      </c>
      <c r="P497" s="29">
        <v>1</v>
      </c>
      <c r="R497" s="29">
        <v>1</v>
      </c>
      <c r="S497" t="s">
        <v>70</v>
      </c>
      <c r="T497" t="s">
        <v>72</v>
      </c>
      <c r="U497" s="32">
        <v>30</v>
      </c>
      <c r="V497">
        <v>30</v>
      </c>
      <c r="W497" t="s">
        <v>79</v>
      </c>
      <c r="X497" t="s">
        <v>171</v>
      </c>
      <c r="Y497" t="s">
        <v>1855</v>
      </c>
      <c r="AA497" t="s">
        <v>75</v>
      </c>
      <c r="AC497" t="s">
        <v>83</v>
      </c>
      <c r="AE497" t="s">
        <v>75</v>
      </c>
      <c r="AF497" t="s">
        <v>84</v>
      </c>
      <c r="AG497" t="s">
        <v>84</v>
      </c>
      <c r="AH497" s="33">
        <f t="shared" si="22"/>
      </c>
      <c r="AI497" s="33">
        <f t="shared" si="23"/>
      </c>
    </row>
    <row r="498" ht="27.6" customHeight="1" spans="1:35" x14ac:dyDescent="0.25">
      <c r="A498" s="27" t="s">
        <v>1856</v>
      </c>
      <c r="B498">
        <f t="shared" si="21"/>
        <v>0</v>
      </c>
      <c r="C498" t="s">
        <v>64</v>
      </c>
      <c r="D498" s="27" t="s">
        <v>1857</v>
      </c>
      <c r="E498" t="s">
        <v>1858</v>
      </c>
      <c r="F498" s="28">
        <v>2</v>
      </c>
      <c r="G498" s="29">
        <v>1</v>
      </c>
      <c r="H498" s="30" t="s">
        <v>1859</v>
      </c>
      <c r="I498" t="s">
        <v>65</v>
      </c>
      <c r="J4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145</v>
      </c>
      <c r="L498" t="s">
        <v>146</v>
      </c>
      <c r="N498" s="29">
        <v>1</v>
      </c>
      <c r="P498" s="29">
        <v>1</v>
      </c>
      <c r="R498" s="29">
        <v>1</v>
      </c>
      <c r="S498" t="s">
        <v>70</v>
      </c>
      <c r="T498" t="s">
        <v>72</v>
      </c>
      <c r="U498" s="32">
        <v>30</v>
      </c>
      <c r="V498">
        <v>30</v>
      </c>
      <c r="W498" t="s">
        <v>79</v>
      </c>
      <c r="X498" t="s">
        <v>171</v>
      </c>
      <c r="Y498" t="s">
        <v>1858</v>
      </c>
      <c r="AA498" t="s">
        <v>75</v>
      </c>
      <c r="AC498" t="s">
        <v>83</v>
      </c>
      <c r="AE498" t="s">
        <v>75</v>
      </c>
      <c r="AF498" t="s">
        <v>84</v>
      </c>
      <c r="AG498" t="s">
        <v>84</v>
      </c>
      <c r="AH498" s="33">
        <f t="shared" si="22"/>
      </c>
      <c r="AI498" s="33">
        <f t="shared" si="23"/>
      </c>
    </row>
    <row r="499" ht="27.6" customHeight="1" spans="1:35" x14ac:dyDescent="0.25">
      <c r="A499" s="27" t="s">
        <v>1860</v>
      </c>
      <c r="B499">
        <f t="shared" si="21"/>
        <v>0</v>
      </c>
      <c r="C499" t="s">
        <v>64</v>
      </c>
      <c r="D499" s="27" t="s">
        <v>102</v>
      </c>
      <c r="E499" t="s">
        <v>1861</v>
      </c>
      <c r="F499" s="28">
        <v>2</v>
      </c>
      <c r="G499" s="29">
        <v>1</v>
      </c>
      <c r="H499" s="30" t="s">
        <v>1862</v>
      </c>
      <c r="I499" t="s">
        <v>65</v>
      </c>
      <c r="J4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145</v>
      </c>
      <c r="L499" t="s">
        <v>146</v>
      </c>
      <c r="N499" s="29">
        <v>1</v>
      </c>
      <c r="P499" s="29">
        <v>1</v>
      </c>
      <c r="R499" s="29">
        <v>1</v>
      </c>
      <c r="S499" t="s">
        <v>70</v>
      </c>
      <c r="T499" t="s">
        <v>72</v>
      </c>
      <c r="U499" s="32">
        <v>30</v>
      </c>
      <c r="V499">
        <v>30</v>
      </c>
      <c r="W499" t="s">
        <v>79</v>
      </c>
      <c r="X499" t="s">
        <v>171</v>
      </c>
      <c r="Y499" t="s">
        <v>1863</v>
      </c>
      <c r="AA499" t="s">
        <v>75</v>
      </c>
      <c r="AC499" t="s">
        <v>83</v>
      </c>
      <c r="AE499" t="s">
        <v>75</v>
      </c>
      <c r="AF499" t="s">
        <v>84</v>
      </c>
      <c r="AG499" t="s">
        <v>84</v>
      </c>
      <c r="AH499" s="33">
        <f t="shared" si="22"/>
      </c>
      <c r="AI499" s="33">
        <f t="shared" si="23"/>
      </c>
    </row>
    <row r="500" ht="27.6" customHeight="1" spans="1:35" x14ac:dyDescent="0.25">
      <c r="A500" s="27" t="s">
        <v>1860</v>
      </c>
      <c r="B500">
        <f t="shared" si="21"/>
        <v>0</v>
      </c>
      <c r="C500" t="s">
        <v>64</v>
      </c>
      <c r="D500" s="27" t="s">
        <v>102</v>
      </c>
      <c r="E500" t="s">
        <v>1864</v>
      </c>
      <c r="F500" s="28">
        <v>0</v>
      </c>
      <c r="G500" s="29">
        <v>1</v>
      </c>
      <c r="H500" s="30" t="s">
        <v>1865</v>
      </c>
      <c r="I500" t="s">
        <v>65</v>
      </c>
      <c r="J5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145</v>
      </c>
      <c r="L500" t="s">
        <v>146</v>
      </c>
      <c r="N500" s="29">
        <v>1</v>
      </c>
      <c r="P500" s="29">
        <v>1</v>
      </c>
      <c r="R500" s="29">
        <v>1</v>
      </c>
      <c r="S500" t="s">
        <v>70</v>
      </c>
      <c r="T500" t="s">
        <v>72</v>
      </c>
      <c r="U500" s="32">
        <v>30</v>
      </c>
      <c r="V500">
        <v>30</v>
      </c>
      <c r="W500" t="s">
        <v>79</v>
      </c>
      <c r="X500" t="s">
        <v>166</v>
      </c>
      <c r="Y500" t="s">
        <v>1864</v>
      </c>
      <c r="AA500" t="s">
        <v>75</v>
      </c>
      <c r="AC500" t="s">
        <v>83</v>
      </c>
      <c r="AE500" t="s">
        <v>75</v>
      </c>
      <c r="AF500" t="s">
        <v>84</v>
      </c>
      <c r="AG500" t="s">
        <v>84</v>
      </c>
      <c r="AH500" s="33">
        <f t="shared" si="22"/>
      </c>
      <c r="AI500" s="33">
        <f t="shared" si="23"/>
      </c>
    </row>
    <row r="501" ht="27.6" customHeight="1" spans="1:35" x14ac:dyDescent="0.25">
      <c r="A501" s="27" t="s">
        <v>377</v>
      </c>
      <c r="B501">
        <f t="shared" si="21"/>
        <v>0</v>
      </c>
      <c r="C501" t="s">
        <v>64</v>
      </c>
      <c r="D501" s="27" t="s">
        <v>1866</v>
      </c>
      <c r="E501" t="s">
        <v>1867</v>
      </c>
      <c r="F501" s="28">
        <v>0</v>
      </c>
      <c r="G501" s="29">
        <v>1</v>
      </c>
      <c r="H501" s="30" t="s">
        <v>1868</v>
      </c>
      <c r="I501" t="s">
        <v>65</v>
      </c>
      <c r="J5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145</v>
      </c>
      <c r="L501" t="s">
        <v>146</v>
      </c>
      <c r="N501" s="29">
        <v>1</v>
      </c>
      <c r="P501" s="29">
        <v>1</v>
      </c>
      <c r="R501" s="29">
        <v>1</v>
      </c>
      <c r="S501" t="s">
        <v>70</v>
      </c>
      <c r="T501" t="s">
        <v>72</v>
      </c>
      <c r="U501" s="32">
        <v>30</v>
      </c>
      <c r="V501">
        <v>30</v>
      </c>
      <c r="W501" t="s">
        <v>79</v>
      </c>
      <c r="X501" t="s">
        <v>171</v>
      </c>
      <c r="Y501" t="s">
        <v>381</v>
      </c>
      <c r="AA501" t="s">
        <v>75</v>
      </c>
      <c r="AC501" t="s">
        <v>83</v>
      </c>
      <c r="AE501" t="s">
        <v>75</v>
      </c>
      <c r="AF501" t="s">
        <v>84</v>
      </c>
      <c r="AG501" t="s">
        <v>84</v>
      </c>
      <c r="AH501" s="33">
        <f t="shared" si="22"/>
      </c>
      <c r="AI501" s="33">
        <f t="shared" si="23"/>
      </c>
    </row>
    <row r="502" ht="27.6" customHeight="1" spans="1:35" x14ac:dyDescent="0.25">
      <c r="A502" s="27" t="s">
        <v>382</v>
      </c>
      <c r="B502">
        <f t="shared" si="21"/>
        <v>0</v>
      </c>
      <c r="C502" t="s">
        <v>64</v>
      </c>
      <c r="D502" s="27" t="s">
        <v>102</v>
      </c>
      <c r="E502" t="s">
        <v>1869</v>
      </c>
      <c r="F502" s="28">
        <v>0</v>
      </c>
      <c r="G502" s="29">
        <v>1</v>
      </c>
      <c r="H502" s="30" t="s">
        <v>1870</v>
      </c>
      <c r="I502" t="s">
        <v>65</v>
      </c>
      <c r="J5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145</v>
      </c>
      <c r="L502" t="s">
        <v>146</v>
      </c>
      <c r="N502" s="29">
        <v>1</v>
      </c>
      <c r="P502" s="29">
        <v>1</v>
      </c>
      <c r="R502" s="29">
        <v>1</v>
      </c>
      <c r="S502" t="s">
        <v>70</v>
      </c>
      <c r="T502" t="s">
        <v>72</v>
      </c>
      <c r="U502" s="32">
        <v>30</v>
      </c>
      <c r="V502">
        <v>30</v>
      </c>
      <c r="W502" t="s">
        <v>79</v>
      </c>
      <c r="X502" t="s">
        <v>171</v>
      </c>
      <c r="Y502" t="s">
        <v>749</v>
      </c>
      <c r="AA502" t="s">
        <v>75</v>
      </c>
      <c r="AC502" t="s">
        <v>83</v>
      </c>
      <c r="AE502" t="s">
        <v>75</v>
      </c>
      <c r="AF502" t="s">
        <v>84</v>
      </c>
      <c r="AG502" t="s">
        <v>84</v>
      </c>
      <c r="AH502" s="33">
        <f t="shared" si="22"/>
      </c>
      <c r="AI502" s="33">
        <f t="shared" si="23"/>
      </c>
    </row>
    <row r="503" ht="27.6" customHeight="1" spans="1:35" x14ac:dyDescent="0.25">
      <c r="A503" s="27" t="s">
        <v>673</v>
      </c>
      <c r="B503">
        <f t="shared" si="21"/>
        <v>0</v>
      </c>
      <c r="C503" t="s">
        <v>64</v>
      </c>
      <c r="D503" s="27" t="s">
        <v>102</v>
      </c>
      <c r="E503" t="s">
        <v>1871</v>
      </c>
      <c r="F503" s="28">
        <v>0</v>
      </c>
      <c r="G503" s="29">
        <v>1</v>
      </c>
      <c r="H503" s="30" t="s">
        <v>1872</v>
      </c>
      <c r="I503" t="s">
        <v>65</v>
      </c>
      <c r="J5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145</v>
      </c>
      <c r="L503" t="s">
        <v>146</v>
      </c>
      <c r="N503" s="29">
        <v>1</v>
      </c>
      <c r="P503" s="29">
        <v>1</v>
      </c>
      <c r="R503" s="29">
        <v>1</v>
      </c>
      <c r="S503" t="s">
        <v>70</v>
      </c>
      <c r="T503" t="s">
        <v>72</v>
      </c>
      <c r="U503" s="32">
        <v>30</v>
      </c>
      <c r="V503">
        <v>30</v>
      </c>
      <c r="W503" t="s">
        <v>79</v>
      </c>
      <c r="X503" t="s">
        <v>171</v>
      </c>
      <c r="Y503" t="s">
        <v>1873</v>
      </c>
      <c r="AA503" t="s">
        <v>75</v>
      </c>
      <c r="AC503" t="s">
        <v>83</v>
      </c>
      <c r="AE503" t="s">
        <v>75</v>
      </c>
      <c r="AF503" t="s">
        <v>84</v>
      </c>
      <c r="AG503" t="s">
        <v>84</v>
      </c>
      <c r="AH503" s="33">
        <f t="shared" si="22"/>
      </c>
      <c r="AI503" s="33">
        <f t="shared" si="23"/>
      </c>
    </row>
    <row r="504" ht="27.6" customHeight="1" spans="1:35" x14ac:dyDescent="0.25">
      <c r="A504" s="27" t="s">
        <v>513</v>
      </c>
      <c r="B504">
        <f t="shared" si="21"/>
        <v>0</v>
      </c>
      <c r="C504" t="s">
        <v>64</v>
      </c>
      <c r="D504" s="27" t="s">
        <v>102</v>
      </c>
      <c r="E504" t="s">
        <v>1874</v>
      </c>
      <c r="F504" s="28">
        <v>0</v>
      </c>
      <c r="G504" s="29">
        <v>1</v>
      </c>
      <c r="H504" s="30" t="s">
        <v>1875</v>
      </c>
      <c r="I504" t="s">
        <v>65</v>
      </c>
      <c r="J5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145</v>
      </c>
      <c r="L504" t="s">
        <v>146</v>
      </c>
      <c r="N504" s="29">
        <v>1</v>
      </c>
      <c r="P504" s="29">
        <v>1</v>
      </c>
      <c r="R504" s="29">
        <v>1</v>
      </c>
      <c r="S504" t="s">
        <v>70</v>
      </c>
      <c r="T504" t="s">
        <v>72</v>
      </c>
      <c r="U504" s="32">
        <v>30</v>
      </c>
      <c r="V504">
        <v>30</v>
      </c>
      <c r="W504" t="s">
        <v>79</v>
      </c>
      <c r="X504" t="s">
        <v>171</v>
      </c>
      <c r="Y504" t="s">
        <v>1763</v>
      </c>
      <c r="AA504" t="s">
        <v>75</v>
      </c>
      <c r="AC504" t="s">
        <v>83</v>
      </c>
      <c r="AE504" t="s">
        <v>75</v>
      </c>
      <c r="AF504" t="s">
        <v>84</v>
      </c>
      <c r="AG504" t="s">
        <v>84</v>
      </c>
      <c r="AH504" s="33">
        <f t="shared" si="22"/>
      </c>
      <c r="AI504" s="33">
        <f t="shared" si="23"/>
      </c>
    </row>
    <row r="505" ht="27.6" customHeight="1" spans="1:35" x14ac:dyDescent="0.25">
      <c r="A505" s="27" t="s">
        <v>752</v>
      </c>
      <c r="B505">
        <f t="shared" si="21"/>
        <v>0</v>
      </c>
      <c r="C505" t="s">
        <v>64</v>
      </c>
      <c r="D505" s="27" t="s">
        <v>1876</v>
      </c>
      <c r="E505" t="s">
        <v>1877</v>
      </c>
      <c r="F505" s="28">
        <v>2</v>
      </c>
      <c r="G505" s="29">
        <v>1</v>
      </c>
      <c r="H505" s="30" t="s">
        <v>1878</v>
      </c>
      <c r="I505" t="s">
        <v>65</v>
      </c>
      <c r="J5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145</v>
      </c>
      <c r="L505" t="s">
        <v>146</v>
      </c>
      <c r="N505" s="29">
        <v>1</v>
      </c>
      <c r="P505" s="29">
        <v>1</v>
      </c>
      <c r="R505" s="29">
        <v>1</v>
      </c>
      <c r="S505" t="s">
        <v>70</v>
      </c>
      <c r="T505" t="s">
        <v>72</v>
      </c>
      <c r="U505" s="32">
        <v>30</v>
      </c>
      <c r="V505">
        <v>30</v>
      </c>
      <c r="W505" t="s">
        <v>79</v>
      </c>
      <c r="X505" t="s">
        <v>171</v>
      </c>
      <c r="Y505" t="s">
        <v>512</v>
      </c>
      <c r="AA505" t="s">
        <v>75</v>
      </c>
      <c r="AC505" t="s">
        <v>83</v>
      </c>
      <c r="AE505" t="s">
        <v>75</v>
      </c>
      <c r="AF505" t="s">
        <v>84</v>
      </c>
      <c r="AG505" t="s">
        <v>84</v>
      </c>
      <c r="AH505" s="33">
        <f t="shared" si="22"/>
      </c>
      <c r="AI505" s="33">
        <f t="shared" si="23"/>
      </c>
    </row>
    <row r="506" ht="27.6" customHeight="1" spans="1:35" x14ac:dyDescent="0.25">
      <c r="A506" s="27" t="s">
        <v>344</v>
      </c>
      <c r="B506">
        <f t="shared" si="21"/>
        <v>0</v>
      </c>
      <c r="C506" t="s">
        <v>64</v>
      </c>
      <c r="D506" s="27" t="s">
        <v>102</v>
      </c>
      <c r="E506" t="s">
        <v>1879</v>
      </c>
      <c r="F506" s="28">
        <v>0</v>
      </c>
      <c r="G506" s="29">
        <v>1</v>
      </c>
      <c r="H506" s="30" t="s">
        <v>1880</v>
      </c>
      <c r="I506" t="s">
        <v>65</v>
      </c>
      <c r="J5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145</v>
      </c>
      <c r="L506" t="s">
        <v>146</v>
      </c>
      <c r="N506" s="29">
        <v>1</v>
      </c>
      <c r="P506" s="29">
        <v>1</v>
      </c>
      <c r="R506" s="29">
        <v>1</v>
      </c>
      <c r="S506" t="s">
        <v>70</v>
      </c>
      <c r="T506" t="s">
        <v>72</v>
      </c>
      <c r="U506" s="32">
        <v>30</v>
      </c>
      <c r="V506">
        <v>30</v>
      </c>
      <c r="W506" t="s">
        <v>79</v>
      </c>
      <c r="X506" t="s">
        <v>166</v>
      </c>
      <c r="Y506" t="s">
        <v>1881</v>
      </c>
      <c r="AA506" t="s">
        <v>75</v>
      </c>
      <c r="AC506" t="s">
        <v>83</v>
      </c>
      <c r="AE506" t="s">
        <v>75</v>
      </c>
      <c r="AF506" t="s">
        <v>84</v>
      </c>
      <c r="AG506" t="s">
        <v>84</v>
      </c>
      <c r="AH506" s="33">
        <f t="shared" si="22"/>
      </c>
      <c r="AI506" s="33">
        <f t="shared" si="23"/>
      </c>
    </row>
    <row r="507" ht="27.6" customHeight="1" spans="1:35" x14ac:dyDescent="0.25">
      <c r="A507" s="27" t="s">
        <v>1882</v>
      </c>
      <c r="B507">
        <f t="shared" si="21"/>
        <v>0</v>
      </c>
      <c r="C507" t="s">
        <v>64</v>
      </c>
      <c r="D507" s="27" t="s">
        <v>102</v>
      </c>
      <c r="E507" t="s">
        <v>1883</v>
      </c>
      <c r="F507" s="28">
        <v>0</v>
      </c>
      <c r="G507" s="29">
        <v>1</v>
      </c>
      <c r="H507" s="30" t="s">
        <v>1884</v>
      </c>
      <c r="I507" t="s">
        <v>65</v>
      </c>
      <c r="J5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145</v>
      </c>
      <c r="L507" t="s">
        <v>146</v>
      </c>
      <c r="N507" s="29">
        <v>1</v>
      </c>
      <c r="P507" s="29">
        <v>1</v>
      </c>
      <c r="R507" s="29">
        <v>1</v>
      </c>
      <c r="S507" t="s">
        <v>70</v>
      </c>
      <c r="T507" t="s">
        <v>72</v>
      </c>
      <c r="U507" s="32">
        <v>30</v>
      </c>
      <c r="V507">
        <v>30</v>
      </c>
      <c r="W507" t="s">
        <v>79</v>
      </c>
      <c r="X507" t="s">
        <v>240</v>
      </c>
      <c r="Y507" t="s">
        <v>1883</v>
      </c>
      <c r="AA507" t="s">
        <v>75</v>
      </c>
      <c r="AC507" t="s">
        <v>83</v>
      </c>
      <c r="AE507" t="s">
        <v>75</v>
      </c>
      <c r="AF507" t="s">
        <v>84</v>
      </c>
      <c r="AG507" t="s">
        <v>84</v>
      </c>
      <c r="AH507" s="33">
        <f t="shared" si="22"/>
      </c>
      <c r="AI507" s="33">
        <f t="shared" si="23"/>
      </c>
    </row>
    <row r="508" ht="27.6" customHeight="1" spans="1:35" x14ac:dyDescent="0.25">
      <c r="A508" s="27" t="s">
        <v>1885</v>
      </c>
      <c r="B508">
        <f t="shared" si="21"/>
        <v>0</v>
      </c>
      <c r="C508" t="s">
        <v>64</v>
      </c>
      <c r="D508" s="27" t="s">
        <v>102</v>
      </c>
      <c r="E508" t="s">
        <v>1886</v>
      </c>
      <c r="F508" s="28">
        <v>0</v>
      </c>
      <c r="G508" s="29">
        <v>1</v>
      </c>
      <c r="H508" s="30" t="s">
        <v>1887</v>
      </c>
      <c r="I508" t="s">
        <v>65</v>
      </c>
      <c r="J5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145</v>
      </c>
      <c r="L508" t="s">
        <v>146</v>
      </c>
      <c r="N508" s="29">
        <v>1</v>
      </c>
      <c r="P508" s="29">
        <v>1</v>
      </c>
      <c r="R508" s="29">
        <v>1</v>
      </c>
      <c r="S508" t="s">
        <v>70</v>
      </c>
      <c r="T508" t="s">
        <v>72</v>
      </c>
      <c r="U508" s="32">
        <v>30</v>
      </c>
      <c r="V508">
        <v>30</v>
      </c>
      <c r="W508" t="s">
        <v>79</v>
      </c>
      <c r="X508" t="s">
        <v>240</v>
      </c>
      <c r="Y508" t="s">
        <v>1886</v>
      </c>
      <c r="AA508" t="s">
        <v>75</v>
      </c>
      <c r="AC508" t="s">
        <v>83</v>
      </c>
      <c r="AE508" t="s">
        <v>75</v>
      </c>
      <c r="AF508" t="s">
        <v>84</v>
      </c>
      <c r="AG508" t="s">
        <v>84</v>
      </c>
      <c r="AH508" s="33">
        <f t="shared" si="22"/>
      </c>
      <c r="AI508" s="33">
        <f t="shared" si="23"/>
      </c>
    </row>
    <row r="509" ht="27.6" customHeight="1" spans="1:35" x14ac:dyDescent="0.25">
      <c r="A509" s="27" t="s">
        <v>1888</v>
      </c>
      <c r="B509">
        <f t="shared" si="21"/>
        <v>0</v>
      </c>
      <c r="C509" t="s">
        <v>64</v>
      </c>
      <c r="D509" s="27" t="s">
        <v>102</v>
      </c>
      <c r="E509" t="s">
        <v>1889</v>
      </c>
      <c r="F509" s="28">
        <v>0</v>
      </c>
      <c r="G509" s="29">
        <v>1</v>
      </c>
      <c r="H509" s="30" t="s">
        <v>1890</v>
      </c>
      <c r="I509" t="s">
        <v>65</v>
      </c>
      <c r="J5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145</v>
      </c>
      <c r="L509" t="s">
        <v>146</v>
      </c>
      <c r="N509" s="29">
        <v>1</v>
      </c>
      <c r="P509" s="29">
        <v>1</v>
      </c>
      <c r="R509" s="29">
        <v>1</v>
      </c>
      <c r="S509" t="s">
        <v>70</v>
      </c>
      <c r="T509" t="s">
        <v>72</v>
      </c>
      <c r="U509" s="32">
        <v>30</v>
      </c>
      <c r="V509">
        <v>30</v>
      </c>
      <c r="W509" t="s">
        <v>79</v>
      </c>
      <c r="X509" t="s">
        <v>240</v>
      </c>
      <c r="Y509" t="s">
        <v>1889</v>
      </c>
      <c r="AA509" t="s">
        <v>75</v>
      </c>
      <c r="AC509" t="s">
        <v>83</v>
      </c>
      <c r="AE509" t="s">
        <v>75</v>
      </c>
      <c r="AF509" t="s">
        <v>84</v>
      </c>
      <c r="AG509" t="s">
        <v>84</v>
      </c>
      <c r="AH509" s="33">
        <f t="shared" si="22"/>
      </c>
      <c r="AI509" s="33">
        <f t="shared" si="23"/>
      </c>
    </row>
    <row r="510" ht="27.6" customHeight="1" spans="1:35" x14ac:dyDescent="0.25">
      <c r="A510" s="27" t="s">
        <v>1891</v>
      </c>
      <c r="B510">
        <f t="shared" si="21"/>
        <v>0</v>
      </c>
      <c r="C510" t="s">
        <v>64</v>
      </c>
      <c r="D510" s="27" t="s">
        <v>1892</v>
      </c>
      <c r="E510" t="s">
        <v>1893</v>
      </c>
      <c r="F510" s="28">
        <v>2</v>
      </c>
      <c r="G510" s="29">
        <v>1</v>
      </c>
      <c r="H510" s="30" t="s">
        <v>1894</v>
      </c>
      <c r="I510" t="s">
        <v>65</v>
      </c>
      <c r="J5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145</v>
      </c>
      <c r="L510" t="s">
        <v>146</v>
      </c>
      <c r="N510" s="29">
        <v>1</v>
      </c>
      <c r="P510" s="29">
        <v>1</v>
      </c>
      <c r="R510" s="29">
        <v>1</v>
      </c>
      <c r="S510" t="s">
        <v>70</v>
      </c>
      <c r="T510" t="s">
        <v>72</v>
      </c>
      <c r="U510" s="32">
        <v>30</v>
      </c>
      <c r="V510">
        <v>30</v>
      </c>
      <c r="W510" t="s">
        <v>79</v>
      </c>
      <c r="X510" t="s">
        <v>240</v>
      </c>
      <c r="Y510" t="s">
        <v>1893</v>
      </c>
      <c r="AA510" t="s">
        <v>75</v>
      </c>
      <c r="AC510" t="s">
        <v>83</v>
      </c>
      <c r="AE510" t="s">
        <v>75</v>
      </c>
      <c r="AF510" t="s">
        <v>84</v>
      </c>
      <c r="AG510" t="s">
        <v>84</v>
      </c>
      <c r="AH510" s="33">
        <f t="shared" si="22"/>
      </c>
      <c r="AI510" s="33">
        <f t="shared" si="23"/>
      </c>
    </row>
    <row r="511" ht="27.6" customHeight="1" spans="1:35" x14ac:dyDescent="0.25">
      <c r="A511" s="27" t="s">
        <v>1895</v>
      </c>
      <c r="B511">
        <f t="shared" si="21"/>
        <v>0</v>
      </c>
      <c r="C511" t="s">
        <v>64</v>
      </c>
      <c r="D511" s="27" t="s">
        <v>102</v>
      </c>
      <c r="E511" t="s">
        <v>1896</v>
      </c>
      <c r="F511" s="28">
        <v>0</v>
      </c>
      <c r="G511" s="29">
        <v>1</v>
      </c>
      <c r="H511" s="30" t="s">
        <v>1897</v>
      </c>
      <c r="I511" t="s">
        <v>65</v>
      </c>
      <c r="J5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145</v>
      </c>
      <c r="L511" t="s">
        <v>146</v>
      </c>
      <c r="N511" s="29">
        <v>1</v>
      </c>
      <c r="P511" s="29">
        <v>1</v>
      </c>
      <c r="R511" s="29">
        <v>1</v>
      </c>
      <c r="S511" t="s">
        <v>70</v>
      </c>
      <c r="T511" t="s">
        <v>72</v>
      </c>
      <c r="U511" s="32">
        <v>30</v>
      </c>
      <c r="V511">
        <v>30</v>
      </c>
      <c r="W511" t="s">
        <v>79</v>
      </c>
      <c r="X511" t="s">
        <v>240</v>
      </c>
      <c r="Y511" t="s">
        <v>1896</v>
      </c>
      <c r="AA511" t="s">
        <v>75</v>
      </c>
      <c r="AC511" t="s">
        <v>83</v>
      </c>
      <c r="AE511" t="s">
        <v>75</v>
      </c>
      <c r="AF511" t="s">
        <v>84</v>
      </c>
      <c r="AG511" t="s">
        <v>84</v>
      </c>
      <c r="AH511" s="33">
        <f t="shared" si="22"/>
      </c>
      <c r="AI511" s="33">
        <f t="shared" si="23"/>
      </c>
    </row>
    <row r="512" ht="27.6" customHeight="1" spans="1:35" x14ac:dyDescent="0.25">
      <c r="A512" s="27" t="s">
        <v>1898</v>
      </c>
      <c r="B512">
        <f t="shared" si="21"/>
        <v>0</v>
      </c>
      <c r="C512" t="s">
        <v>64</v>
      </c>
      <c r="D512" s="27" t="s">
        <v>1899</v>
      </c>
      <c r="E512" t="s">
        <v>1900</v>
      </c>
      <c r="F512" s="28">
        <v>1</v>
      </c>
      <c r="G512" s="29">
        <v>1</v>
      </c>
      <c r="H512" s="30" t="s">
        <v>1901</v>
      </c>
      <c r="I512" t="s">
        <v>65</v>
      </c>
      <c r="J5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145</v>
      </c>
      <c r="L512" t="s">
        <v>146</v>
      </c>
      <c r="N512" s="29">
        <v>1</v>
      </c>
      <c r="P512" s="29">
        <v>1</v>
      </c>
      <c r="R512" s="29">
        <v>1</v>
      </c>
      <c r="S512" t="s">
        <v>70</v>
      </c>
      <c r="T512" t="s">
        <v>72</v>
      </c>
      <c r="U512" s="32">
        <v>30</v>
      </c>
      <c r="V512">
        <v>30</v>
      </c>
      <c r="W512" t="s">
        <v>79</v>
      </c>
      <c r="X512" t="s">
        <v>240</v>
      </c>
      <c r="Y512" t="s">
        <v>1902</v>
      </c>
      <c r="AA512" t="s">
        <v>75</v>
      </c>
      <c r="AC512" t="s">
        <v>83</v>
      </c>
      <c r="AE512" t="s">
        <v>75</v>
      </c>
      <c r="AF512" t="s">
        <v>84</v>
      </c>
      <c r="AG512" t="s">
        <v>84</v>
      </c>
      <c r="AH512" s="33">
        <f t="shared" si="22"/>
      </c>
      <c r="AI512" s="33">
        <f t="shared" si="23"/>
      </c>
    </row>
    <row r="513" ht="27.6" customHeight="1" spans="1:35" x14ac:dyDescent="0.25">
      <c r="A513" s="27" t="s">
        <v>1112</v>
      </c>
      <c r="B513">
        <f t="shared" si="21"/>
        <v>0</v>
      </c>
      <c r="C513" t="s">
        <v>64</v>
      </c>
      <c r="D513" s="27" t="s">
        <v>102</v>
      </c>
      <c r="E513" t="s">
        <v>1903</v>
      </c>
      <c r="F513" s="28">
        <v>0</v>
      </c>
      <c r="G513" s="29">
        <v>1</v>
      </c>
      <c r="H513" s="30" t="s">
        <v>1904</v>
      </c>
      <c r="I513" t="s">
        <v>65</v>
      </c>
      <c r="J5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145</v>
      </c>
      <c r="L513" t="s">
        <v>146</v>
      </c>
      <c r="N513" s="29">
        <v>1</v>
      </c>
      <c r="P513" s="29">
        <v>1</v>
      </c>
      <c r="R513" s="29">
        <v>1</v>
      </c>
      <c r="S513" t="s">
        <v>70</v>
      </c>
      <c r="T513" t="s">
        <v>72</v>
      </c>
      <c r="U513" s="32">
        <v>30</v>
      </c>
      <c r="V513">
        <v>30</v>
      </c>
      <c r="W513" t="s">
        <v>79</v>
      </c>
      <c r="X513" t="s">
        <v>240</v>
      </c>
      <c r="Y513" t="s">
        <v>1903</v>
      </c>
      <c r="AA513" t="s">
        <v>75</v>
      </c>
      <c r="AC513" t="s">
        <v>83</v>
      </c>
      <c r="AE513" t="s">
        <v>75</v>
      </c>
      <c r="AF513" t="s">
        <v>84</v>
      </c>
      <c r="AG513" t="s">
        <v>84</v>
      </c>
      <c r="AH513" s="33">
        <f t="shared" si="22"/>
      </c>
      <c r="AI513" s="33">
        <f t="shared" si="23"/>
      </c>
    </row>
    <row r="514" ht="27.6" customHeight="1" spans="1:35" x14ac:dyDescent="0.25">
      <c r="A514" s="27" t="s">
        <v>1116</v>
      </c>
      <c r="B514">
        <f t="shared" si="21"/>
        <v>0</v>
      </c>
      <c r="C514" t="s">
        <v>64</v>
      </c>
      <c r="D514" s="27" t="s">
        <v>102</v>
      </c>
      <c r="E514" t="s">
        <v>1903</v>
      </c>
      <c r="F514" s="28">
        <v>0</v>
      </c>
      <c r="G514" s="29">
        <v>1</v>
      </c>
      <c r="H514" s="30" t="s">
        <v>1905</v>
      </c>
      <c r="I514" t="s">
        <v>65</v>
      </c>
      <c r="J5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145</v>
      </c>
      <c r="L514" t="s">
        <v>146</v>
      </c>
      <c r="N514" s="29">
        <v>1</v>
      </c>
      <c r="P514" s="29">
        <v>1</v>
      </c>
      <c r="R514" s="29">
        <v>1</v>
      </c>
      <c r="S514" t="s">
        <v>70</v>
      </c>
      <c r="T514" t="s">
        <v>72</v>
      </c>
      <c r="U514" s="32">
        <v>30</v>
      </c>
      <c r="V514">
        <v>30</v>
      </c>
      <c r="W514" t="s">
        <v>79</v>
      </c>
      <c r="X514" t="s">
        <v>240</v>
      </c>
      <c r="Y514" t="s">
        <v>1903</v>
      </c>
      <c r="AA514" t="s">
        <v>75</v>
      </c>
      <c r="AC514" t="s">
        <v>83</v>
      </c>
      <c r="AE514" t="s">
        <v>75</v>
      </c>
      <c r="AF514" t="s">
        <v>84</v>
      </c>
      <c r="AG514" t="s">
        <v>84</v>
      </c>
      <c r="AH514" s="33">
        <f t="shared" si="22"/>
      </c>
      <c r="AI514" s="33">
        <f t="shared" si="23"/>
      </c>
    </row>
    <row r="515" ht="27.6" customHeight="1" spans="1:35" x14ac:dyDescent="0.25">
      <c r="A515" s="27" t="s">
        <v>1906</v>
      </c>
      <c r="B515">
        <f t="shared" si="21"/>
        <v>0</v>
      </c>
      <c r="C515" t="s">
        <v>64</v>
      </c>
      <c r="D515" s="27" t="s">
        <v>102</v>
      </c>
      <c r="E515" t="s">
        <v>1907</v>
      </c>
      <c r="F515" s="28">
        <v>0</v>
      </c>
      <c r="G515" s="29">
        <v>1</v>
      </c>
      <c r="H515" s="30" t="s">
        <v>1908</v>
      </c>
      <c r="I515" t="s">
        <v>65</v>
      </c>
      <c r="J5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145</v>
      </c>
      <c r="L515" t="s">
        <v>146</v>
      </c>
      <c r="N515" s="29">
        <v>1</v>
      </c>
      <c r="P515" s="29">
        <v>1</v>
      </c>
      <c r="R515" s="29">
        <v>1</v>
      </c>
      <c r="S515" t="s">
        <v>70</v>
      </c>
      <c r="T515" t="s">
        <v>72</v>
      </c>
      <c r="U515" s="32">
        <v>30</v>
      </c>
      <c r="V515">
        <v>30</v>
      </c>
      <c r="W515" t="s">
        <v>79</v>
      </c>
      <c r="X515" t="s">
        <v>240</v>
      </c>
      <c r="Y515" t="s">
        <v>1907</v>
      </c>
      <c r="AA515" t="s">
        <v>75</v>
      </c>
      <c r="AC515" t="s">
        <v>83</v>
      </c>
      <c r="AE515" t="s">
        <v>75</v>
      </c>
      <c r="AF515" t="s">
        <v>84</v>
      </c>
      <c r="AG515" t="s">
        <v>84</v>
      </c>
      <c r="AH515" s="33">
        <f t="shared" si="22"/>
      </c>
      <c r="AI515" s="33">
        <f t="shared" si="23"/>
      </c>
    </row>
    <row r="516" ht="27.6" customHeight="1" spans="1:35" x14ac:dyDescent="0.25">
      <c r="A516" s="27" t="s">
        <v>1909</v>
      </c>
      <c r="B516">
        <f t="shared" si="21"/>
        <v>0</v>
      </c>
      <c r="C516" t="s">
        <v>64</v>
      </c>
      <c r="D516" s="27" t="s">
        <v>1910</v>
      </c>
      <c r="E516" t="s">
        <v>1911</v>
      </c>
      <c r="F516" s="28">
        <v>0</v>
      </c>
      <c r="G516" s="29">
        <v>1</v>
      </c>
      <c r="H516" s="30" t="s">
        <v>1912</v>
      </c>
      <c r="I516" t="s">
        <v>65</v>
      </c>
      <c r="J5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145</v>
      </c>
      <c r="L516" t="s">
        <v>146</v>
      </c>
      <c r="N516" s="29">
        <v>1</v>
      </c>
      <c r="P516" s="29">
        <v>1</v>
      </c>
      <c r="R516" s="29">
        <v>1</v>
      </c>
      <c r="S516" t="s">
        <v>70</v>
      </c>
      <c r="T516" t="s">
        <v>72</v>
      </c>
      <c r="U516" s="32">
        <v>30</v>
      </c>
      <c r="V516">
        <v>30</v>
      </c>
      <c r="W516" t="s">
        <v>79</v>
      </c>
      <c r="X516" t="s">
        <v>980</v>
      </c>
      <c r="Y516" t="s">
        <v>1911</v>
      </c>
      <c r="AA516" t="s">
        <v>75</v>
      </c>
      <c r="AC516" t="s">
        <v>83</v>
      </c>
      <c r="AE516" t="s">
        <v>75</v>
      </c>
      <c r="AF516" t="s">
        <v>84</v>
      </c>
      <c r="AG516" t="s">
        <v>84</v>
      </c>
      <c r="AH516" s="33">
        <f t="shared" si="22"/>
      </c>
      <c r="AI516" s="33">
        <f t="shared" si="23"/>
      </c>
    </row>
    <row r="517" ht="27.6" customHeight="1" spans="1:35" x14ac:dyDescent="0.25">
      <c r="A517" s="27" t="s">
        <v>771</v>
      </c>
      <c r="B517">
        <f t="shared" si="21"/>
        <v>0</v>
      </c>
      <c r="C517" t="s">
        <v>64</v>
      </c>
      <c r="D517" s="27" t="s">
        <v>1913</v>
      </c>
      <c r="E517" t="s">
        <v>775</v>
      </c>
      <c r="F517" s="28">
        <v>0</v>
      </c>
      <c r="G517" s="29">
        <v>1</v>
      </c>
      <c r="H517" s="30" t="s">
        <v>1914</v>
      </c>
      <c r="I517" t="s">
        <v>65</v>
      </c>
      <c r="J5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145</v>
      </c>
      <c r="L517" t="s">
        <v>146</v>
      </c>
      <c r="N517" s="29">
        <v>1</v>
      </c>
      <c r="P517" s="29">
        <v>1</v>
      </c>
      <c r="R517" s="29">
        <v>1</v>
      </c>
      <c r="S517" t="s">
        <v>70</v>
      </c>
      <c r="T517" t="s">
        <v>72</v>
      </c>
      <c r="U517" s="32">
        <v>30</v>
      </c>
      <c r="V517">
        <v>30</v>
      </c>
      <c r="W517" t="s">
        <v>79</v>
      </c>
      <c r="X517" t="s">
        <v>171</v>
      </c>
      <c r="Y517" t="s">
        <v>773</v>
      </c>
      <c r="AA517" t="s">
        <v>75</v>
      </c>
      <c r="AC517" t="s">
        <v>83</v>
      </c>
      <c r="AE517" t="s">
        <v>75</v>
      </c>
      <c r="AF517" t="s">
        <v>84</v>
      </c>
      <c r="AG517" t="s">
        <v>84</v>
      </c>
      <c r="AH517" s="33">
        <f t="shared" si="22"/>
      </c>
      <c r="AI517" s="33">
        <f t="shared" si="23"/>
      </c>
    </row>
    <row r="518" ht="27.6" customHeight="1" spans="1:35" x14ac:dyDescent="0.25">
      <c r="A518" s="27" t="s">
        <v>861</v>
      </c>
      <c r="B518">
        <f t="shared" si="21"/>
        <v>0</v>
      </c>
      <c r="C518" t="s">
        <v>64</v>
      </c>
      <c r="D518" s="27" t="s">
        <v>1915</v>
      </c>
      <c r="E518" t="s">
        <v>1916</v>
      </c>
      <c r="F518" s="28">
        <v>0</v>
      </c>
      <c r="G518" s="29">
        <v>1</v>
      </c>
      <c r="H518" s="30" t="s">
        <v>1917</v>
      </c>
      <c r="I518" t="s">
        <v>65</v>
      </c>
      <c r="J5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145</v>
      </c>
      <c r="L518" t="s">
        <v>146</v>
      </c>
      <c r="N518" s="29">
        <v>1</v>
      </c>
      <c r="P518" s="29">
        <v>1</v>
      </c>
      <c r="R518" s="29">
        <v>1</v>
      </c>
      <c r="S518" t="s">
        <v>70</v>
      </c>
      <c r="T518" t="s">
        <v>72</v>
      </c>
      <c r="U518" s="32">
        <v>30</v>
      </c>
      <c r="V518">
        <v>30</v>
      </c>
      <c r="W518" t="s">
        <v>79</v>
      </c>
      <c r="X518" t="s">
        <v>171</v>
      </c>
      <c r="Y518" t="s">
        <v>1918</v>
      </c>
      <c r="AA518" t="s">
        <v>75</v>
      </c>
      <c r="AC518" t="s">
        <v>83</v>
      </c>
      <c r="AE518" t="s">
        <v>75</v>
      </c>
      <c r="AF518" t="s">
        <v>84</v>
      </c>
      <c r="AG518" t="s">
        <v>84</v>
      </c>
      <c r="AH518" s="33">
        <f t="shared" si="22"/>
      </c>
      <c r="AI518" s="33">
        <f t="shared" si="23"/>
      </c>
    </row>
    <row r="519" ht="27.6" customHeight="1" spans="1:35" x14ac:dyDescent="0.25">
      <c r="A519" s="27" t="s">
        <v>712</v>
      </c>
      <c r="B519">
        <f t="shared" si="21"/>
        <v>0</v>
      </c>
      <c r="C519" t="s">
        <v>64</v>
      </c>
      <c r="D519" s="27" t="s">
        <v>102</v>
      </c>
      <c r="E519" t="s">
        <v>1919</v>
      </c>
      <c r="F519" s="28">
        <v>0</v>
      </c>
      <c r="G519" s="29">
        <v>1</v>
      </c>
      <c r="H519" s="30" t="s">
        <v>1920</v>
      </c>
      <c r="I519" t="s">
        <v>65</v>
      </c>
      <c r="J5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145</v>
      </c>
      <c r="L519" t="s">
        <v>146</v>
      </c>
      <c r="N519" s="29">
        <v>1</v>
      </c>
      <c r="P519" s="29">
        <v>1</v>
      </c>
      <c r="R519" s="29">
        <v>1</v>
      </c>
      <c r="S519" t="s">
        <v>70</v>
      </c>
      <c r="T519" t="s">
        <v>72</v>
      </c>
      <c r="U519" s="32">
        <v>30</v>
      </c>
      <c r="V519">
        <v>30</v>
      </c>
      <c r="W519" t="s">
        <v>79</v>
      </c>
      <c r="X519" t="s">
        <v>171</v>
      </c>
      <c r="Y519" t="s">
        <v>1921</v>
      </c>
      <c r="AA519" t="s">
        <v>75</v>
      </c>
      <c r="AC519" t="s">
        <v>83</v>
      </c>
      <c r="AE519" t="s">
        <v>75</v>
      </c>
      <c r="AF519" t="s">
        <v>84</v>
      </c>
      <c r="AG519" t="s">
        <v>84</v>
      </c>
      <c r="AH519" s="33">
        <f t="shared" si="22"/>
      </c>
      <c r="AI519" s="33">
        <f t="shared" si="23"/>
      </c>
    </row>
    <row r="520" ht="27.6" customHeight="1" spans="1:35" x14ac:dyDescent="0.25">
      <c r="A520" s="27" t="s">
        <v>1922</v>
      </c>
      <c r="B520">
        <f t="shared" ref="B520:B583" si="24">LEN(INDIRECT(ADDRESS(ROW() + (0),COLUMN() + (-1))))</f>
        <v>0</v>
      </c>
      <c r="C520" t="s">
        <v>64</v>
      </c>
      <c r="D520" s="27" t="s">
        <v>102</v>
      </c>
      <c r="E520" t="s">
        <v>1923</v>
      </c>
      <c r="F520" s="28">
        <v>0</v>
      </c>
      <c r="G520" s="29">
        <v>1</v>
      </c>
      <c r="H520" s="30" t="s">
        <v>1924</v>
      </c>
      <c r="I520" t="s">
        <v>65</v>
      </c>
      <c r="J5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145</v>
      </c>
      <c r="L520" t="s">
        <v>146</v>
      </c>
      <c r="N520" s="29">
        <v>1</v>
      </c>
      <c r="P520" s="29">
        <v>1</v>
      </c>
      <c r="R520" s="29">
        <v>1</v>
      </c>
      <c r="S520" t="s">
        <v>70</v>
      </c>
      <c r="T520" t="s">
        <v>72</v>
      </c>
      <c r="U520" s="32">
        <v>30</v>
      </c>
      <c r="V520">
        <v>30</v>
      </c>
      <c r="W520" t="s">
        <v>79</v>
      </c>
      <c r="X520" t="s">
        <v>770</v>
      </c>
      <c r="Y520" t="s">
        <v>1923</v>
      </c>
      <c r="AA520" t="s">
        <v>75</v>
      </c>
      <c r="AC520" t="s">
        <v>83</v>
      </c>
      <c r="AE520" t="s">
        <v>75</v>
      </c>
      <c r="AF520" t="s">
        <v>84</v>
      </c>
      <c r="AG520" t="s">
        <v>84</v>
      </c>
      <c r="AH520" s="33">
        <f t="shared" ref="AH520:AH583" si="25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20" s="33">
        <f t="shared" ref="AI520:AI583" si="26">IF(TRIM(INDIRECT("A"&amp;ROW())) &lt;&gt; "",FALSE,"")</f>
      </c>
    </row>
    <row r="521" ht="27.6" customHeight="1" spans="1:35" x14ac:dyDescent="0.25">
      <c r="A521" s="27" t="s">
        <v>392</v>
      </c>
      <c r="B521">
        <f t="shared" si="24"/>
        <v>0</v>
      </c>
      <c r="C521" t="s">
        <v>64</v>
      </c>
      <c r="D521" s="27" t="s">
        <v>1925</v>
      </c>
      <c r="E521" t="s">
        <v>1926</v>
      </c>
      <c r="F521" s="28">
        <v>0</v>
      </c>
      <c r="G521" s="29">
        <v>1</v>
      </c>
      <c r="H521" s="30" t="s">
        <v>1927</v>
      </c>
      <c r="I521" t="s">
        <v>65</v>
      </c>
      <c r="J5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145</v>
      </c>
      <c r="L521" t="s">
        <v>146</v>
      </c>
      <c r="N521" s="29">
        <v>1</v>
      </c>
      <c r="P521" s="29">
        <v>1</v>
      </c>
      <c r="R521" s="29">
        <v>1</v>
      </c>
      <c r="S521" t="s">
        <v>70</v>
      </c>
      <c r="T521" t="s">
        <v>72</v>
      </c>
      <c r="U521" s="32">
        <v>30</v>
      </c>
      <c r="V521">
        <v>30</v>
      </c>
      <c r="W521" t="s">
        <v>79</v>
      </c>
      <c r="X521" t="s">
        <v>171</v>
      </c>
      <c r="Y521" t="s">
        <v>726</v>
      </c>
      <c r="AA521" t="s">
        <v>75</v>
      </c>
      <c r="AC521" t="s">
        <v>83</v>
      </c>
      <c r="AE521" t="s">
        <v>75</v>
      </c>
      <c r="AF521" t="s">
        <v>84</v>
      </c>
      <c r="AG521" t="s">
        <v>84</v>
      </c>
      <c r="AH521" s="33">
        <f t="shared" si="25"/>
      </c>
      <c r="AI521" s="33">
        <f t="shared" si="26"/>
      </c>
    </row>
    <row r="522" ht="27.6" customHeight="1" spans="1:35" x14ac:dyDescent="0.25">
      <c r="A522" s="27" t="s">
        <v>781</v>
      </c>
      <c r="B522">
        <f t="shared" si="24"/>
        <v>0</v>
      </c>
      <c r="C522" t="s">
        <v>64</v>
      </c>
      <c r="D522" s="27" t="s">
        <v>102</v>
      </c>
      <c r="E522" t="s">
        <v>784</v>
      </c>
      <c r="F522" s="28">
        <v>0</v>
      </c>
      <c r="G522" s="29">
        <v>1</v>
      </c>
      <c r="H522" s="30" t="s">
        <v>1928</v>
      </c>
      <c r="I522" t="s">
        <v>65</v>
      </c>
      <c r="J5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145</v>
      </c>
      <c r="L522" t="s">
        <v>146</v>
      </c>
      <c r="N522" s="29">
        <v>1</v>
      </c>
      <c r="P522" s="29">
        <v>1</v>
      </c>
      <c r="R522" s="29">
        <v>1</v>
      </c>
      <c r="S522" t="s">
        <v>70</v>
      </c>
      <c r="T522" t="s">
        <v>72</v>
      </c>
      <c r="U522" s="32">
        <v>30</v>
      </c>
      <c r="V522">
        <v>30</v>
      </c>
      <c r="W522" t="s">
        <v>79</v>
      </c>
      <c r="X522" t="s">
        <v>171</v>
      </c>
      <c r="Y522" t="s">
        <v>782</v>
      </c>
      <c r="AA522" t="s">
        <v>75</v>
      </c>
      <c r="AC522" t="s">
        <v>83</v>
      </c>
      <c r="AE522" t="s">
        <v>75</v>
      </c>
      <c r="AF522" t="s">
        <v>84</v>
      </c>
      <c r="AG522" t="s">
        <v>84</v>
      </c>
      <c r="AH522" s="33">
        <f t="shared" si="25"/>
      </c>
      <c r="AI522" s="33">
        <f t="shared" si="26"/>
      </c>
    </row>
    <row r="523" ht="27.6" customHeight="1" spans="1:35" x14ac:dyDescent="0.25">
      <c r="A523" s="27" t="s">
        <v>1929</v>
      </c>
      <c r="B523">
        <f t="shared" si="24"/>
        <v>0</v>
      </c>
      <c r="C523" t="s">
        <v>64</v>
      </c>
      <c r="D523" s="27" t="s">
        <v>102</v>
      </c>
      <c r="E523" t="s">
        <v>1930</v>
      </c>
      <c r="F523" s="28">
        <v>0</v>
      </c>
      <c r="G523" s="29">
        <v>1</v>
      </c>
      <c r="H523" s="30" t="s">
        <v>1931</v>
      </c>
      <c r="I523" t="s">
        <v>65</v>
      </c>
      <c r="J5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145</v>
      </c>
      <c r="L523" t="s">
        <v>146</v>
      </c>
      <c r="N523" s="29">
        <v>1</v>
      </c>
      <c r="P523" s="29">
        <v>1</v>
      </c>
      <c r="R523" s="29">
        <v>1</v>
      </c>
      <c r="S523" t="s">
        <v>70</v>
      </c>
      <c r="T523" t="s">
        <v>72</v>
      </c>
      <c r="U523" s="32">
        <v>30</v>
      </c>
      <c r="V523">
        <v>30</v>
      </c>
      <c r="W523" t="s">
        <v>79</v>
      </c>
      <c r="X523" t="s">
        <v>770</v>
      </c>
      <c r="Y523" t="s">
        <v>1930</v>
      </c>
      <c r="AA523" t="s">
        <v>75</v>
      </c>
      <c r="AC523" t="s">
        <v>83</v>
      </c>
      <c r="AE523" t="s">
        <v>75</v>
      </c>
      <c r="AF523" t="s">
        <v>84</v>
      </c>
      <c r="AG523" t="s">
        <v>84</v>
      </c>
      <c r="AH523" s="33">
        <f t="shared" si="25"/>
      </c>
      <c r="AI523" s="33">
        <f t="shared" si="26"/>
      </c>
    </row>
    <row r="524" ht="27.6" customHeight="1" spans="1:35" x14ac:dyDescent="0.25">
      <c r="A524" s="27" t="s">
        <v>792</v>
      </c>
      <c r="B524">
        <f t="shared" si="24"/>
        <v>0</v>
      </c>
      <c r="C524" t="s">
        <v>64</v>
      </c>
      <c r="D524" s="27" t="s">
        <v>102</v>
      </c>
      <c r="E524" t="s">
        <v>1932</v>
      </c>
      <c r="F524" s="28">
        <v>1</v>
      </c>
      <c r="G524" s="29">
        <v>1</v>
      </c>
      <c r="H524" s="30" t="s">
        <v>1933</v>
      </c>
      <c r="I524" t="s">
        <v>65</v>
      </c>
      <c r="J5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145</v>
      </c>
      <c r="L524" t="s">
        <v>146</v>
      </c>
      <c r="N524" s="29">
        <v>1</v>
      </c>
      <c r="P524" s="29">
        <v>1</v>
      </c>
      <c r="R524" s="29">
        <v>1</v>
      </c>
      <c r="S524" t="s">
        <v>70</v>
      </c>
      <c r="T524" t="s">
        <v>72</v>
      </c>
      <c r="U524" s="32">
        <v>30</v>
      </c>
      <c r="V524">
        <v>30</v>
      </c>
      <c r="W524" t="s">
        <v>79</v>
      </c>
      <c r="X524" t="s">
        <v>166</v>
      </c>
      <c r="Y524" t="s">
        <v>1934</v>
      </c>
      <c r="AA524" t="s">
        <v>75</v>
      </c>
      <c r="AC524" t="s">
        <v>83</v>
      </c>
      <c r="AE524" t="s">
        <v>75</v>
      </c>
      <c r="AF524" t="s">
        <v>84</v>
      </c>
      <c r="AG524" t="s">
        <v>84</v>
      </c>
      <c r="AH524" s="33">
        <f t="shared" si="25"/>
      </c>
      <c r="AI524" s="33">
        <f t="shared" si="26"/>
      </c>
    </row>
    <row r="525" ht="27.6" customHeight="1" spans="1:35" x14ac:dyDescent="0.25">
      <c r="A525" s="27" t="s">
        <v>792</v>
      </c>
      <c r="B525">
        <f t="shared" si="24"/>
        <v>0</v>
      </c>
      <c r="C525" t="s">
        <v>64</v>
      </c>
      <c r="D525" s="27" t="s">
        <v>102</v>
      </c>
      <c r="E525" t="s">
        <v>1935</v>
      </c>
      <c r="F525" s="28">
        <v>0</v>
      </c>
      <c r="G525" s="29">
        <v>1</v>
      </c>
      <c r="H525" s="30" t="s">
        <v>1936</v>
      </c>
      <c r="I525" t="s">
        <v>65</v>
      </c>
      <c r="J5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145</v>
      </c>
      <c r="L525" t="s">
        <v>146</v>
      </c>
      <c r="N525" s="29">
        <v>1</v>
      </c>
      <c r="P525" s="29">
        <v>1</v>
      </c>
      <c r="R525" s="29">
        <v>1</v>
      </c>
      <c r="S525" t="s">
        <v>70</v>
      </c>
      <c r="T525" t="s">
        <v>72</v>
      </c>
      <c r="U525" s="32">
        <v>30</v>
      </c>
      <c r="V525">
        <v>30</v>
      </c>
      <c r="W525" t="s">
        <v>79</v>
      </c>
      <c r="X525" t="s">
        <v>171</v>
      </c>
      <c r="Y525" t="s">
        <v>1937</v>
      </c>
      <c r="AA525" t="s">
        <v>75</v>
      </c>
      <c r="AC525" t="s">
        <v>83</v>
      </c>
      <c r="AE525" t="s">
        <v>75</v>
      </c>
      <c r="AF525" t="s">
        <v>84</v>
      </c>
      <c r="AG525" t="s">
        <v>84</v>
      </c>
      <c r="AH525" s="33">
        <f t="shared" si="25"/>
      </c>
      <c r="AI525" s="33">
        <f t="shared" si="26"/>
      </c>
    </row>
    <row r="526" ht="27.6" customHeight="1" spans="1:35" x14ac:dyDescent="0.25">
      <c r="A526" s="27" t="s">
        <v>1938</v>
      </c>
      <c r="B526">
        <f t="shared" si="24"/>
        <v>0</v>
      </c>
      <c r="C526" t="s">
        <v>64</v>
      </c>
      <c r="D526" s="27" t="s">
        <v>1939</v>
      </c>
      <c r="E526" t="s">
        <v>1940</v>
      </c>
      <c r="F526" s="28">
        <v>0</v>
      </c>
      <c r="G526" s="29">
        <v>1</v>
      </c>
      <c r="H526" s="30" t="s">
        <v>1941</v>
      </c>
      <c r="I526" t="s">
        <v>65</v>
      </c>
      <c r="J5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145</v>
      </c>
      <c r="L526" t="s">
        <v>146</v>
      </c>
      <c r="N526" s="29">
        <v>1</v>
      </c>
      <c r="P526" s="29">
        <v>1</v>
      </c>
      <c r="R526" s="29">
        <v>1</v>
      </c>
      <c r="S526" t="s">
        <v>70</v>
      </c>
      <c r="T526" t="s">
        <v>72</v>
      </c>
      <c r="U526" s="32">
        <v>30</v>
      </c>
      <c r="V526">
        <v>30</v>
      </c>
      <c r="W526" t="s">
        <v>79</v>
      </c>
      <c r="X526" t="s">
        <v>171</v>
      </c>
      <c r="Y526" t="s">
        <v>1940</v>
      </c>
      <c r="AA526" t="s">
        <v>75</v>
      </c>
      <c r="AC526" t="s">
        <v>83</v>
      </c>
      <c r="AE526" t="s">
        <v>75</v>
      </c>
      <c r="AF526" t="s">
        <v>84</v>
      </c>
      <c r="AG526" t="s">
        <v>84</v>
      </c>
      <c r="AH526" s="33">
        <f t="shared" si="25"/>
      </c>
      <c r="AI526" s="33">
        <f t="shared" si="26"/>
      </c>
    </row>
    <row r="527" ht="27.6" customHeight="1" spans="1:35" x14ac:dyDescent="0.25">
      <c r="A527" s="27" t="s">
        <v>767</v>
      </c>
      <c r="B527">
        <f t="shared" si="24"/>
        <v>0</v>
      </c>
      <c r="C527" t="s">
        <v>64</v>
      </c>
      <c r="D527" s="27" t="s">
        <v>102</v>
      </c>
      <c r="E527" t="s">
        <v>1942</v>
      </c>
      <c r="F527" s="28">
        <v>0</v>
      </c>
      <c r="G527" s="29">
        <v>1</v>
      </c>
      <c r="H527" s="30" t="s">
        <v>1943</v>
      </c>
      <c r="I527" t="s">
        <v>65</v>
      </c>
      <c r="J5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145</v>
      </c>
      <c r="L527" t="s">
        <v>146</v>
      </c>
      <c r="N527" s="29">
        <v>1</v>
      </c>
      <c r="P527" s="29">
        <v>1</v>
      </c>
      <c r="R527" s="29">
        <v>1</v>
      </c>
      <c r="S527" t="s">
        <v>70</v>
      </c>
      <c r="T527" t="s">
        <v>72</v>
      </c>
      <c r="U527" s="32">
        <v>30</v>
      </c>
      <c r="V527">
        <v>30</v>
      </c>
      <c r="W527" t="s">
        <v>79</v>
      </c>
      <c r="X527" t="s">
        <v>171</v>
      </c>
      <c r="Y527" t="s">
        <v>1944</v>
      </c>
      <c r="AA527" t="s">
        <v>75</v>
      </c>
      <c r="AC527" t="s">
        <v>83</v>
      </c>
      <c r="AE527" t="s">
        <v>75</v>
      </c>
      <c r="AF527" t="s">
        <v>84</v>
      </c>
      <c r="AG527" t="s">
        <v>84</v>
      </c>
      <c r="AH527" s="33">
        <f t="shared" si="25"/>
      </c>
      <c r="AI527" s="33">
        <f t="shared" si="26"/>
      </c>
    </row>
    <row r="528" ht="27.6" customHeight="1" spans="1:35" x14ac:dyDescent="0.25">
      <c r="A528" s="27" t="s">
        <v>869</v>
      </c>
      <c r="B528">
        <f t="shared" si="24"/>
        <v>0</v>
      </c>
      <c r="C528" t="s">
        <v>64</v>
      </c>
      <c r="D528" s="27" t="s">
        <v>102</v>
      </c>
      <c r="E528" t="s">
        <v>1945</v>
      </c>
      <c r="F528" s="28">
        <v>0</v>
      </c>
      <c r="G528" s="29">
        <v>1</v>
      </c>
      <c r="H528" s="30" t="s">
        <v>1946</v>
      </c>
      <c r="I528" t="s">
        <v>65</v>
      </c>
      <c r="J5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145</v>
      </c>
      <c r="L528" t="s">
        <v>146</v>
      </c>
      <c r="N528" s="29">
        <v>1</v>
      </c>
      <c r="P528" s="29">
        <v>1</v>
      </c>
      <c r="R528" s="29">
        <v>1</v>
      </c>
      <c r="S528" t="s">
        <v>70</v>
      </c>
      <c r="T528" t="s">
        <v>72</v>
      </c>
      <c r="U528" s="32">
        <v>30</v>
      </c>
      <c r="V528">
        <v>30</v>
      </c>
      <c r="W528" t="s">
        <v>79</v>
      </c>
      <c r="X528" t="s">
        <v>171</v>
      </c>
      <c r="Y528" t="s">
        <v>1488</v>
      </c>
      <c r="AA528" t="s">
        <v>75</v>
      </c>
      <c r="AC528" t="s">
        <v>83</v>
      </c>
      <c r="AE528" t="s">
        <v>75</v>
      </c>
      <c r="AF528" t="s">
        <v>84</v>
      </c>
      <c r="AG528" t="s">
        <v>84</v>
      </c>
      <c r="AH528" s="33">
        <f t="shared" si="25"/>
      </c>
      <c r="AI528" s="33">
        <f t="shared" si="26"/>
      </c>
    </row>
    <row r="529" ht="27.6" customHeight="1" spans="1:35" x14ac:dyDescent="0.25">
      <c r="A529" s="27" t="s">
        <v>873</v>
      </c>
      <c r="B529">
        <f t="shared" si="24"/>
        <v>0</v>
      </c>
      <c r="C529" t="s">
        <v>64</v>
      </c>
      <c r="D529" s="27" t="s">
        <v>102</v>
      </c>
      <c r="E529" t="s">
        <v>1945</v>
      </c>
      <c r="F529" s="28">
        <v>0</v>
      </c>
      <c r="G529" s="29">
        <v>1</v>
      </c>
      <c r="H529" s="30" t="s">
        <v>1947</v>
      </c>
      <c r="I529" t="s">
        <v>65</v>
      </c>
      <c r="J5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145</v>
      </c>
      <c r="L529" t="s">
        <v>146</v>
      </c>
      <c r="N529" s="29">
        <v>1</v>
      </c>
      <c r="P529" s="29">
        <v>1</v>
      </c>
      <c r="R529" s="29">
        <v>1</v>
      </c>
      <c r="S529" t="s">
        <v>70</v>
      </c>
      <c r="T529" t="s">
        <v>72</v>
      </c>
      <c r="U529" s="32">
        <v>30</v>
      </c>
      <c r="V529">
        <v>30</v>
      </c>
      <c r="W529" t="s">
        <v>79</v>
      </c>
      <c r="X529" t="s">
        <v>171</v>
      </c>
      <c r="Y529" t="s">
        <v>1488</v>
      </c>
      <c r="AA529" t="s">
        <v>75</v>
      </c>
      <c r="AC529" t="s">
        <v>83</v>
      </c>
      <c r="AE529" t="s">
        <v>75</v>
      </c>
      <c r="AF529" t="s">
        <v>84</v>
      </c>
      <c r="AG529" t="s">
        <v>84</v>
      </c>
      <c r="AH529" s="33">
        <f t="shared" si="25"/>
      </c>
      <c r="AI529" s="33">
        <f t="shared" si="26"/>
      </c>
    </row>
    <row r="530" ht="27.6" customHeight="1" spans="1:35" x14ac:dyDescent="0.25">
      <c r="A530" s="27" t="s">
        <v>785</v>
      </c>
      <c r="B530">
        <f t="shared" si="24"/>
        <v>0</v>
      </c>
      <c r="C530" t="s">
        <v>64</v>
      </c>
      <c r="D530" s="27" t="s">
        <v>102</v>
      </c>
      <c r="E530" t="s">
        <v>789</v>
      </c>
      <c r="F530" s="28">
        <v>0</v>
      </c>
      <c r="G530" s="29">
        <v>1</v>
      </c>
      <c r="H530" s="30" t="s">
        <v>1948</v>
      </c>
      <c r="I530" t="s">
        <v>65</v>
      </c>
      <c r="J5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145</v>
      </c>
      <c r="L530" t="s">
        <v>146</v>
      </c>
      <c r="N530" s="29">
        <v>1</v>
      </c>
      <c r="P530" s="29">
        <v>1</v>
      </c>
      <c r="R530" s="29">
        <v>1</v>
      </c>
      <c r="S530" t="s">
        <v>70</v>
      </c>
      <c r="T530" t="s">
        <v>72</v>
      </c>
      <c r="U530" s="32">
        <v>30</v>
      </c>
      <c r="V530">
        <v>30</v>
      </c>
      <c r="W530" t="s">
        <v>79</v>
      </c>
      <c r="X530" t="s">
        <v>171</v>
      </c>
      <c r="Y530" t="s">
        <v>1949</v>
      </c>
      <c r="AA530" t="s">
        <v>75</v>
      </c>
      <c r="AC530" t="s">
        <v>83</v>
      </c>
      <c r="AE530" t="s">
        <v>75</v>
      </c>
      <c r="AF530" t="s">
        <v>84</v>
      </c>
      <c r="AG530" t="s">
        <v>84</v>
      </c>
      <c r="AH530" s="33">
        <f t="shared" si="25"/>
      </c>
      <c r="AI530" s="33">
        <f t="shared" si="26"/>
      </c>
    </row>
    <row r="531" ht="27.6" customHeight="1" spans="1:35" x14ac:dyDescent="0.25">
      <c r="A531" s="27" t="s">
        <v>790</v>
      </c>
      <c r="B531">
        <f t="shared" si="24"/>
        <v>0</v>
      </c>
      <c r="C531" t="s">
        <v>64</v>
      </c>
      <c r="D531" s="27" t="s">
        <v>102</v>
      </c>
      <c r="E531" t="s">
        <v>789</v>
      </c>
      <c r="F531" s="28">
        <v>0</v>
      </c>
      <c r="G531" s="29">
        <v>1</v>
      </c>
      <c r="H531" s="30" t="s">
        <v>1950</v>
      </c>
      <c r="I531" t="s">
        <v>65</v>
      </c>
      <c r="J5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145</v>
      </c>
      <c r="L531" t="s">
        <v>146</v>
      </c>
      <c r="N531" s="29">
        <v>1</v>
      </c>
      <c r="P531" s="29">
        <v>1</v>
      </c>
      <c r="R531" s="29">
        <v>1</v>
      </c>
      <c r="S531" t="s">
        <v>70</v>
      </c>
      <c r="T531" t="s">
        <v>72</v>
      </c>
      <c r="U531" s="32">
        <v>30</v>
      </c>
      <c r="V531">
        <v>30</v>
      </c>
      <c r="W531" t="s">
        <v>79</v>
      </c>
      <c r="X531" t="s">
        <v>171</v>
      </c>
      <c r="Y531" t="s">
        <v>1949</v>
      </c>
      <c r="AA531" t="s">
        <v>75</v>
      </c>
      <c r="AC531" t="s">
        <v>83</v>
      </c>
      <c r="AE531" t="s">
        <v>75</v>
      </c>
      <c r="AF531" t="s">
        <v>84</v>
      </c>
      <c r="AG531" t="s">
        <v>84</v>
      </c>
      <c r="AH531" s="33">
        <f t="shared" si="25"/>
      </c>
      <c r="AI531" s="33">
        <f t="shared" si="26"/>
      </c>
    </row>
    <row r="532" ht="27.6" customHeight="1" spans="1:35" x14ac:dyDescent="0.25">
      <c r="A532" s="27" t="s">
        <v>816</v>
      </c>
      <c r="B532">
        <f t="shared" si="24"/>
        <v>0</v>
      </c>
      <c r="C532" t="s">
        <v>64</v>
      </c>
      <c r="D532" s="27" t="s">
        <v>1951</v>
      </c>
      <c r="E532" t="s">
        <v>819</v>
      </c>
      <c r="F532" s="28">
        <v>0</v>
      </c>
      <c r="G532" s="29">
        <v>1</v>
      </c>
      <c r="H532" s="30" t="s">
        <v>1952</v>
      </c>
      <c r="I532" t="s">
        <v>65</v>
      </c>
      <c r="J5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145</v>
      </c>
      <c r="L532" t="s">
        <v>146</v>
      </c>
      <c r="N532" s="29">
        <v>1</v>
      </c>
      <c r="P532" s="29">
        <v>1</v>
      </c>
      <c r="R532" s="29">
        <v>1</v>
      </c>
      <c r="S532" t="s">
        <v>70</v>
      </c>
      <c r="T532" t="s">
        <v>72</v>
      </c>
      <c r="U532" s="32">
        <v>30</v>
      </c>
      <c r="V532">
        <v>30</v>
      </c>
      <c r="W532" t="s">
        <v>79</v>
      </c>
      <c r="X532" t="s">
        <v>171</v>
      </c>
      <c r="Y532" t="s">
        <v>817</v>
      </c>
      <c r="AA532" t="s">
        <v>75</v>
      </c>
      <c r="AC532" t="s">
        <v>83</v>
      </c>
      <c r="AE532" t="s">
        <v>75</v>
      </c>
      <c r="AF532" t="s">
        <v>84</v>
      </c>
      <c r="AG532" t="s">
        <v>84</v>
      </c>
      <c r="AH532" s="33">
        <f t="shared" si="25"/>
      </c>
      <c r="AI532" s="33">
        <f t="shared" si="26"/>
      </c>
    </row>
    <row r="533" ht="27.6" customHeight="1" spans="1:35" x14ac:dyDescent="0.25">
      <c r="A533" s="27" t="s">
        <v>785</v>
      </c>
      <c r="B533">
        <f t="shared" si="24"/>
        <v>0</v>
      </c>
      <c r="C533" t="s">
        <v>64</v>
      </c>
      <c r="D533" s="27" t="s">
        <v>102</v>
      </c>
      <c r="E533" t="s">
        <v>1953</v>
      </c>
      <c r="F533" s="28">
        <v>0</v>
      </c>
      <c r="G533" s="29">
        <v>1</v>
      </c>
      <c r="H533" s="30" t="s">
        <v>1954</v>
      </c>
      <c r="I533" t="s">
        <v>65</v>
      </c>
      <c r="J5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145</v>
      </c>
      <c r="L533" t="s">
        <v>146</v>
      </c>
      <c r="N533" s="29">
        <v>1</v>
      </c>
      <c r="P533" s="29">
        <v>1</v>
      </c>
      <c r="R533" s="29">
        <v>1</v>
      </c>
      <c r="S533" t="s">
        <v>70</v>
      </c>
      <c r="T533" t="s">
        <v>72</v>
      </c>
      <c r="U533" s="32">
        <v>30</v>
      </c>
      <c r="V533">
        <v>30</v>
      </c>
      <c r="W533" t="s">
        <v>79</v>
      </c>
      <c r="X533" t="s">
        <v>171</v>
      </c>
      <c r="Y533" t="s">
        <v>1955</v>
      </c>
      <c r="AA533" t="s">
        <v>75</v>
      </c>
      <c r="AC533" t="s">
        <v>83</v>
      </c>
      <c r="AE533" t="s">
        <v>75</v>
      </c>
      <c r="AF533" t="s">
        <v>84</v>
      </c>
      <c r="AG533" t="s">
        <v>84</v>
      </c>
      <c r="AH533" s="33">
        <f t="shared" si="25"/>
      </c>
      <c r="AI533" s="33">
        <f t="shared" si="26"/>
      </c>
    </row>
    <row r="534" ht="27.6" customHeight="1" spans="1:35" x14ac:dyDescent="0.25">
      <c r="A534" s="27" t="s">
        <v>790</v>
      </c>
      <c r="B534">
        <f t="shared" si="24"/>
        <v>0</v>
      </c>
      <c r="C534" t="s">
        <v>64</v>
      </c>
      <c r="D534" s="27" t="s">
        <v>102</v>
      </c>
      <c r="E534" t="s">
        <v>1953</v>
      </c>
      <c r="F534" s="28">
        <v>0</v>
      </c>
      <c r="G534" s="29">
        <v>1</v>
      </c>
      <c r="H534" s="30" t="s">
        <v>1956</v>
      </c>
      <c r="I534" t="s">
        <v>65</v>
      </c>
      <c r="J5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145</v>
      </c>
      <c r="L534" t="s">
        <v>146</v>
      </c>
      <c r="N534" s="29">
        <v>1</v>
      </c>
      <c r="P534" s="29">
        <v>1</v>
      </c>
      <c r="R534" s="29">
        <v>1</v>
      </c>
      <c r="S534" t="s">
        <v>70</v>
      </c>
      <c r="T534" t="s">
        <v>72</v>
      </c>
      <c r="U534" s="32">
        <v>30</v>
      </c>
      <c r="V534">
        <v>30</v>
      </c>
      <c r="W534" t="s">
        <v>79</v>
      </c>
      <c r="X534" t="s">
        <v>171</v>
      </c>
      <c r="Y534" t="s">
        <v>1955</v>
      </c>
      <c r="AA534" t="s">
        <v>75</v>
      </c>
      <c r="AC534" t="s">
        <v>83</v>
      </c>
      <c r="AE534" t="s">
        <v>75</v>
      </c>
      <c r="AF534" t="s">
        <v>84</v>
      </c>
      <c r="AG534" t="s">
        <v>84</v>
      </c>
      <c r="AH534" s="33">
        <f t="shared" si="25"/>
      </c>
      <c r="AI534" s="33">
        <f t="shared" si="26"/>
      </c>
    </row>
    <row r="535" ht="27.6" customHeight="1" spans="1:35" x14ac:dyDescent="0.25">
      <c r="A535" s="27" t="s">
        <v>530</v>
      </c>
      <c r="B535">
        <f t="shared" si="24"/>
        <v>0</v>
      </c>
      <c r="C535" t="s">
        <v>64</v>
      </c>
      <c r="D535" s="27" t="s">
        <v>1957</v>
      </c>
      <c r="E535" t="s">
        <v>1958</v>
      </c>
      <c r="F535" s="28">
        <v>0</v>
      </c>
      <c r="G535" s="29">
        <v>1</v>
      </c>
      <c r="H535" s="30" t="s">
        <v>1959</v>
      </c>
      <c r="I535" t="s">
        <v>65</v>
      </c>
      <c r="J5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145</v>
      </c>
      <c r="L535" t="s">
        <v>146</v>
      </c>
      <c r="N535" s="29">
        <v>1</v>
      </c>
      <c r="P535" s="29">
        <v>1</v>
      </c>
      <c r="R535" s="29">
        <v>1</v>
      </c>
      <c r="S535" t="s">
        <v>70</v>
      </c>
      <c r="T535" t="s">
        <v>72</v>
      </c>
      <c r="U535" s="32">
        <v>30</v>
      </c>
      <c r="V535">
        <v>30</v>
      </c>
      <c r="W535" t="s">
        <v>79</v>
      </c>
      <c r="X535" t="s">
        <v>171</v>
      </c>
      <c r="Y535" t="s">
        <v>1960</v>
      </c>
      <c r="AA535" t="s">
        <v>75</v>
      </c>
      <c r="AC535" t="s">
        <v>83</v>
      </c>
      <c r="AE535" t="s">
        <v>75</v>
      </c>
      <c r="AF535" t="s">
        <v>84</v>
      </c>
      <c r="AG535" t="s">
        <v>84</v>
      </c>
      <c r="AH535" s="33">
        <f t="shared" si="25"/>
      </c>
      <c r="AI535" s="33">
        <f t="shared" si="26"/>
      </c>
    </row>
    <row r="536" ht="27.6" customHeight="1" spans="1:35" x14ac:dyDescent="0.25">
      <c r="A536" s="27" t="s">
        <v>534</v>
      </c>
      <c r="B536">
        <f t="shared" si="24"/>
        <v>0</v>
      </c>
      <c r="C536" t="s">
        <v>64</v>
      </c>
      <c r="D536" s="27" t="s">
        <v>1957</v>
      </c>
      <c r="E536" t="s">
        <v>1958</v>
      </c>
      <c r="F536" s="28">
        <v>0</v>
      </c>
      <c r="G536" s="29">
        <v>1</v>
      </c>
      <c r="H536" s="30" t="s">
        <v>1961</v>
      </c>
      <c r="I536" t="s">
        <v>65</v>
      </c>
      <c r="J5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145</v>
      </c>
      <c r="L536" t="s">
        <v>146</v>
      </c>
      <c r="N536" s="29">
        <v>1</v>
      </c>
      <c r="P536" s="29">
        <v>1</v>
      </c>
      <c r="R536" s="29">
        <v>1</v>
      </c>
      <c r="S536" t="s">
        <v>70</v>
      </c>
      <c r="T536" t="s">
        <v>72</v>
      </c>
      <c r="U536" s="32">
        <v>30</v>
      </c>
      <c r="V536">
        <v>30</v>
      </c>
      <c r="W536" t="s">
        <v>79</v>
      </c>
      <c r="X536" t="s">
        <v>171</v>
      </c>
      <c r="Y536" t="s">
        <v>1960</v>
      </c>
      <c r="AA536" t="s">
        <v>75</v>
      </c>
      <c r="AC536" t="s">
        <v>83</v>
      </c>
      <c r="AE536" t="s">
        <v>75</v>
      </c>
      <c r="AF536" t="s">
        <v>84</v>
      </c>
      <c r="AG536" t="s">
        <v>84</v>
      </c>
      <c r="AH536" s="33">
        <f t="shared" si="25"/>
      </c>
      <c r="AI536" s="33">
        <f t="shared" si="26"/>
      </c>
    </row>
    <row r="537" ht="27.6" customHeight="1" spans="1:35" x14ac:dyDescent="0.25">
      <c r="A537" s="27" t="s">
        <v>1962</v>
      </c>
      <c r="B537">
        <f t="shared" si="24"/>
        <v>0</v>
      </c>
      <c r="C537" t="s">
        <v>64</v>
      </c>
      <c r="D537" s="27" t="s">
        <v>102</v>
      </c>
      <c r="E537" t="s">
        <v>1963</v>
      </c>
      <c r="F537" s="28">
        <v>0</v>
      </c>
      <c r="G537" s="29">
        <v>1</v>
      </c>
      <c r="H537" s="30" t="s">
        <v>1964</v>
      </c>
      <c r="I537" t="s">
        <v>65</v>
      </c>
      <c r="J5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145</v>
      </c>
      <c r="L537" t="s">
        <v>146</v>
      </c>
      <c r="N537" s="29">
        <v>1</v>
      </c>
      <c r="P537" s="29">
        <v>1</v>
      </c>
      <c r="R537" s="29">
        <v>1</v>
      </c>
      <c r="S537" t="s">
        <v>70</v>
      </c>
      <c r="T537" t="s">
        <v>72</v>
      </c>
      <c r="U537" s="32">
        <v>30</v>
      </c>
      <c r="V537">
        <v>30</v>
      </c>
      <c r="W537" t="s">
        <v>79</v>
      </c>
      <c r="X537" t="s">
        <v>770</v>
      </c>
      <c r="Y537" t="s">
        <v>1963</v>
      </c>
      <c r="AA537" t="s">
        <v>75</v>
      </c>
      <c r="AC537" t="s">
        <v>83</v>
      </c>
      <c r="AE537" t="s">
        <v>75</v>
      </c>
      <c r="AF537" t="s">
        <v>84</v>
      </c>
      <c r="AG537" t="s">
        <v>84</v>
      </c>
      <c r="AH537" s="33">
        <f t="shared" si="25"/>
      </c>
      <c r="AI537" s="33">
        <f t="shared" si="26"/>
      </c>
    </row>
    <row r="538" ht="27.6" customHeight="1" spans="1:35" x14ac:dyDescent="0.25">
      <c r="A538" s="27" t="s">
        <v>717</v>
      </c>
      <c r="B538">
        <f t="shared" si="24"/>
        <v>0</v>
      </c>
      <c r="C538" t="s">
        <v>64</v>
      </c>
      <c r="D538" s="27" t="s">
        <v>102</v>
      </c>
      <c r="E538" t="s">
        <v>1965</v>
      </c>
      <c r="F538" s="28">
        <v>0</v>
      </c>
      <c r="G538" s="29">
        <v>1</v>
      </c>
      <c r="H538" s="30" t="s">
        <v>1966</v>
      </c>
      <c r="I538" t="s">
        <v>65</v>
      </c>
      <c r="J5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145</v>
      </c>
      <c r="L538" t="s">
        <v>146</v>
      </c>
      <c r="N538" s="29">
        <v>1</v>
      </c>
      <c r="P538" s="29">
        <v>1</v>
      </c>
      <c r="R538" s="29">
        <v>1</v>
      </c>
      <c r="S538" t="s">
        <v>70</v>
      </c>
      <c r="T538" t="s">
        <v>72</v>
      </c>
      <c r="U538" s="32">
        <v>30</v>
      </c>
      <c r="V538">
        <v>30</v>
      </c>
      <c r="W538" t="s">
        <v>79</v>
      </c>
      <c r="X538" t="s">
        <v>171</v>
      </c>
      <c r="Y538" t="s">
        <v>1967</v>
      </c>
      <c r="AA538" t="s">
        <v>75</v>
      </c>
      <c r="AC538" t="s">
        <v>83</v>
      </c>
      <c r="AE538" t="s">
        <v>75</v>
      </c>
      <c r="AF538" t="s">
        <v>84</v>
      </c>
      <c r="AG538" t="s">
        <v>84</v>
      </c>
      <c r="AH538" s="33">
        <f t="shared" si="25"/>
      </c>
      <c r="AI538" s="33">
        <f t="shared" si="26"/>
      </c>
    </row>
    <row r="539" ht="27.6" customHeight="1" spans="1:35" x14ac:dyDescent="0.25">
      <c r="A539" s="27" t="s">
        <v>1968</v>
      </c>
      <c r="B539">
        <f t="shared" si="24"/>
        <v>0</v>
      </c>
      <c r="C539" t="s">
        <v>64</v>
      </c>
      <c r="D539" s="27" t="s">
        <v>102</v>
      </c>
      <c r="E539" t="s">
        <v>1969</v>
      </c>
      <c r="F539" s="28">
        <v>0</v>
      </c>
      <c r="G539" s="29">
        <v>1</v>
      </c>
      <c r="H539" s="30" t="s">
        <v>1970</v>
      </c>
      <c r="I539" t="s">
        <v>65</v>
      </c>
      <c r="J5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145</v>
      </c>
      <c r="L539" t="s">
        <v>146</v>
      </c>
      <c r="N539" s="29">
        <v>1</v>
      </c>
      <c r="P539" s="29">
        <v>1</v>
      </c>
      <c r="R539" s="29">
        <v>1</v>
      </c>
      <c r="S539" t="s">
        <v>70</v>
      </c>
      <c r="T539" t="s">
        <v>72</v>
      </c>
      <c r="U539" s="32">
        <v>30</v>
      </c>
      <c r="V539">
        <v>30</v>
      </c>
      <c r="W539" t="s">
        <v>79</v>
      </c>
      <c r="X539" t="s">
        <v>171</v>
      </c>
      <c r="Y539" t="s">
        <v>1969</v>
      </c>
      <c r="AA539" t="s">
        <v>75</v>
      </c>
      <c r="AC539" t="s">
        <v>83</v>
      </c>
      <c r="AE539" t="s">
        <v>75</v>
      </c>
      <c r="AF539" t="s">
        <v>84</v>
      </c>
      <c r="AG539" t="s">
        <v>84</v>
      </c>
      <c r="AH539" s="33">
        <f t="shared" si="25"/>
      </c>
      <c r="AI539" s="33">
        <f t="shared" si="26"/>
      </c>
    </row>
    <row r="540" ht="27.6" customHeight="1" spans="1:35" x14ac:dyDescent="0.25">
      <c r="A540" s="27" t="s">
        <v>855</v>
      </c>
      <c r="B540">
        <f t="shared" si="24"/>
        <v>0</v>
      </c>
      <c r="C540" t="s">
        <v>64</v>
      </c>
      <c r="D540" s="27" t="s">
        <v>102</v>
      </c>
      <c r="E540" t="s">
        <v>1971</v>
      </c>
      <c r="F540" s="28">
        <v>0</v>
      </c>
      <c r="G540" s="29">
        <v>1</v>
      </c>
      <c r="H540" s="30" t="s">
        <v>1972</v>
      </c>
      <c r="I540" t="s">
        <v>65</v>
      </c>
      <c r="J5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145</v>
      </c>
      <c r="L540" t="s">
        <v>146</v>
      </c>
      <c r="N540" s="29">
        <v>1</v>
      </c>
      <c r="P540" s="29">
        <v>1</v>
      </c>
      <c r="R540" s="29">
        <v>1</v>
      </c>
      <c r="S540" t="s">
        <v>70</v>
      </c>
      <c r="T540" t="s">
        <v>72</v>
      </c>
      <c r="U540" s="32">
        <v>30</v>
      </c>
      <c r="V540">
        <v>30</v>
      </c>
      <c r="W540" t="s">
        <v>79</v>
      </c>
      <c r="X540" t="s">
        <v>171</v>
      </c>
      <c r="Y540" t="s">
        <v>858</v>
      </c>
      <c r="AA540" t="s">
        <v>75</v>
      </c>
      <c r="AC540" t="s">
        <v>83</v>
      </c>
      <c r="AE540" t="s">
        <v>75</v>
      </c>
      <c r="AF540" t="s">
        <v>84</v>
      </c>
      <c r="AG540" t="s">
        <v>84</v>
      </c>
      <c r="AH540" s="33">
        <f t="shared" si="25"/>
      </c>
      <c r="AI540" s="33">
        <f t="shared" si="26"/>
      </c>
    </row>
    <row r="541" ht="27.6" customHeight="1" spans="1:35" x14ac:dyDescent="0.25">
      <c r="A541" s="27" t="s">
        <v>859</v>
      </c>
      <c r="B541">
        <f t="shared" si="24"/>
        <v>0</v>
      </c>
      <c r="C541" t="s">
        <v>64</v>
      </c>
      <c r="D541" s="27" t="s">
        <v>102</v>
      </c>
      <c r="E541" t="s">
        <v>1971</v>
      </c>
      <c r="F541" s="28">
        <v>0</v>
      </c>
      <c r="G541" s="29">
        <v>1</v>
      </c>
      <c r="H541" s="30" t="s">
        <v>1973</v>
      </c>
      <c r="I541" t="s">
        <v>65</v>
      </c>
      <c r="J5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145</v>
      </c>
      <c r="L541" t="s">
        <v>146</v>
      </c>
      <c r="N541" s="29">
        <v>1</v>
      </c>
      <c r="P541" s="29">
        <v>1</v>
      </c>
      <c r="R541" s="29">
        <v>1</v>
      </c>
      <c r="S541" t="s">
        <v>70</v>
      </c>
      <c r="T541" t="s">
        <v>72</v>
      </c>
      <c r="U541" s="32">
        <v>30</v>
      </c>
      <c r="V541">
        <v>30</v>
      </c>
      <c r="W541" t="s">
        <v>79</v>
      </c>
      <c r="X541" t="s">
        <v>171</v>
      </c>
      <c r="Y541" t="s">
        <v>858</v>
      </c>
      <c r="AA541" t="s">
        <v>75</v>
      </c>
      <c r="AC541" t="s">
        <v>83</v>
      </c>
      <c r="AE541" t="s">
        <v>75</v>
      </c>
      <c r="AF541" t="s">
        <v>84</v>
      </c>
      <c r="AG541" t="s">
        <v>84</v>
      </c>
      <c r="AH541" s="33">
        <f t="shared" si="25"/>
      </c>
      <c r="AI541" s="33">
        <f t="shared" si="26"/>
      </c>
    </row>
    <row r="542" ht="27.6" customHeight="1" spans="1:35" x14ac:dyDescent="0.25">
      <c r="A542" s="27" t="s">
        <v>861</v>
      </c>
      <c r="B542">
        <f t="shared" si="24"/>
        <v>0</v>
      </c>
      <c r="C542" t="s">
        <v>64</v>
      </c>
      <c r="D542" s="27" t="s">
        <v>102</v>
      </c>
      <c r="E542" t="s">
        <v>1974</v>
      </c>
      <c r="F542" s="28">
        <v>0</v>
      </c>
      <c r="G542" s="29">
        <v>1</v>
      </c>
      <c r="H542" s="30" t="s">
        <v>1975</v>
      </c>
      <c r="I542" t="s">
        <v>65</v>
      </c>
      <c r="J5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145</v>
      </c>
      <c r="L542" t="s">
        <v>146</v>
      </c>
      <c r="N542" s="29">
        <v>1</v>
      </c>
      <c r="P542" s="29">
        <v>1</v>
      </c>
      <c r="R542" s="29">
        <v>1</v>
      </c>
      <c r="S542" t="s">
        <v>70</v>
      </c>
      <c r="T542" t="s">
        <v>72</v>
      </c>
      <c r="U542" s="32">
        <v>30</v>
      </c>
      <c r="V542">
        <v>30</v>
      </c>
      <c r="W542" t="s">
        <v>79</v>
      </c>
      <c r="X542" t="s">
        <v>171</v>
      </c>
      <c r="Y542" t="s">
        <v>1918</v>
      </c>
      <c r="AA542" t="s">
        <v>75</v>
      </c>
      <c r="AC542" t="s">
        <v>83</v>
      </c>
      <c r="AE542" t="s">
        <v>75</v>
      </c>
      <c r="AF542" t="s">
        <v>84</v>
      </c>
      <c r="AG542" t="s">
        <v>84</v>
      </c>
      <c r="AH542" s="33">
        <f t="shared" si="25"/>
      </c>
      <c r="AI542" s="33">
        <f t="shared" si="26"/>
      </c>
    </row>
    <row r="543" ht="27.6" customHeight="1" spans="1:35" x14ac:dyDescent="0.25">
      <c r="A543" s="27" t="s">
        <v>1626</v>
      </c>
      <c r="B543">
        <f t="shared" si="24"/>
        <v>0</v>
      </c>
      <c r="C543" t="s">
        <v>64</v>
      </c>
      <c r="D543" s="27" t="s">
        <v>102</v>
      </c>
      <c r="E543" t="s">
        <v>1976</v>
      </c>
      <c r="F543" s="28">
        <v>0</v>
      </c>
      <c r="G543" s="29">
        <v>1</v>
      </c>
      <c r="H543" s="30" t="s">
        <v>1977</v>
      </c>
      <c r="I543" t="s">
        <v>65</v>
      </c>
      <c r="J5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145</v>
      </c>
      <c r="L543" t="s">
        <v>146</v>
      </c>
      <c r="N543" s="29">
        <v>1</v>
      </c>
      <c r="P543" s="29">
        <v>1</v>
      </c>
      <c r="R543" s="29">
        <v>1</v>
      </c>
      <c r="S543" t="s">
        <v>70</v>
      </c>
      <c r="T543" t="s">
        <v>72</v>
      </c>
      <c r="U543" s="32">
        <v>30</v>
      </c>
      <c r="V543">
        <v>30</v>
      </c>
      <c r="W543" t="s">
        <v>79</v>
      </c>
      <c r="X543" t="s">
        <v>171</v>
      </c>
      <c r="Y543" t="s">
        <v>1976</v>
      </c>
      <c r="AA543" t="s">
        <v>75</v>
      </c>
      <c r="AC543" t="s">
        <v>83</v>
      </c>
      <c r="AE543" t="s">
        <v>75</v>
      </c>
      <c r="AF543" t="s">
        <v>84</v>
      </c>
      <c r="AG543" t="s">
        <v>84</v>
      </c>
      <c r="AH543" s="33">
        <f t="shared" si="25"/>
      </c>
      <c r="AI543" s="33">
        <f t="shared" si="26"/>
      </c>
    </row>
    <row r="544" ht="27.6" customHeight="1" spans="1:35" x14ac:dyDescent="0.25">
      <c r="A544" s="27" t="s">
        <v>1978</v>
      </c>
      <c r="B544">
        <f t="shared" si="24"/>
        <v>0</v>
      </c>
      <c r="C544" t="s">
        <v>64</v>
      </c>
      <c r="D544" s="27" t="s">
        <v>102</v>
      </c>
      <c r="E544" t="s">
        <v>1979</v>
      </c>
      <c r="F544" s="28">
        <v>0</v>
      </c>
      <c r="G544" s="29">
        <v>1</v>
      </c>
      <c r="H544" s="30" t="s">
        <v>1980</v>
      </c>
      <c r="I544" t="s">
        <v>65</v>
      </c>
      <c r="J5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145</v>
      </c>
      <c r="L544" t="s">
        <v>146</v>
      </c>
      <c r="N544" s="29">
        <v>1</v>
      </c>
      <c r="P544" s="29">
        <v>1</v>
      </c>
      <c r="R544" s="29">
        <v>1</v>
      </c>
      <c r="S544" t="s">
        <v>70</v>
      </c>
      <c r="T544" t="s">
        <v>72</v>
      </c>
      <c r="U544" s="32">
        <v>30</v>
      </c>
      <c r="V544">
        <v>30</v>
      </c>
      <c r="W544" t="s">
        <v>79</v>
      </c>
      <c r="X544" t="s">
        <v>171</v>
      </c>
      <c r="Y544" t="s">
        <v>1979</v>
      </c>
      <c r="AA544" t="s">
        <v>75</v>
      </c>
      <c r="AC544" t="s">
        <v>83</v>
      </c>
      <c r="AE544" t="s">
        <v>75</v>
      </c>
      <c r="AF544" t="s">
        <v>84</v>
      </c>
      <c r="AG544" t="s">
        <v>84</v>
      </c>
      <c r="AH544" s="33">
        <f t="shared" si="25"/>
      </c>
      <c r="AI544" s="33">
        <f t="shared" si="26"/>
      </c>
    </row>
    <row r="545" ht="27.6" customHeight="1" spans="1:35" x14ac:dyDescent="0.25">
      <c r="A545" s="27" t="s">
        <v>1633</v>
      </c>
      <c r="B545">
        <f t="shared" si="24"/>
        <v>0</v>
      </c>
      <c r="C545" t="s">
        <v>64</v>
      </c>
      <c r="D545" s="27" t="s">
        <v>102</v>
      </c>
      <c r="E545" t="s">
        <v>1981</v>
      </c>
      <c r="F545" s="28">
        <v>0</v>
      </c>
      <c r="G545" s="29">
        <v>1</v>
      </c>
      <c r="H545" s="30" t="s">
        <v>1982</v>
      </c>
      <c r="I545" t="s">
        <v>65</v>
      </c>
      <c r="J5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145</v>
      </c>
      <c r="L545" t="s">
        <v>146</v>
      </c>
      <c r="N545" s="29">
        <v>1</v>
      </c>
      <c r="P545" s="29">
        <v>1</v>
      </c>
      <c r="R545" s="29">
        <v>1</v>
      </c>
      <c r="S545" t="s">
        <v>70</v>
      </c>
      <c r="T545" t="s">
        <v>72</v>
      </c>
      <c r="U545" s="32">
        <v>30</v>
      </c>
      <c r="V545">
        <v>30</v>
      </c>
      <c r="W545" t="s">
        <v>79</v>
      </c>
      <c r="X545" t="s">
        <v>171</v>
      </c>
      <c r="Y545" t="s">
        <v>1981</v>
      </c>
      <c r="AA545" t="s">
        <v>75</v>
      </c>
      <c r="AC545" t="s">
        <v>83</v>
      </c>
      <c r="AE545" t="s">
        <v>75</v>
      </c>
      <c r="AF545" t="s">
        <v>84</v>
      </c>
      <c r="AG545" t="s">
        <v>84</v>
      </c>
      <c r="AH545" s="33">
        <f t="shared" si="25"/>
      </c>
      <c r="AI545" s="33">
        <f t="shared" si="26"/>
      </c>
    </row>
    <row r="546" ht="27.6" customHeight="1" spans="1:35" x14ac:dyDescent="0.25">
      <c r="A546" s="27" t="s">
        <v>1983</v>
      </c>
      <c r="B546">
        <f t="shared" si="24"/>
        <v>0</v>
      </c>
      <c r="C546" t="s">
        <v>64</v>
      </c>
      <c r="D546" s="27" t="s">
        <v>102</v>
      </c>
      <c r="E546" t="s">
        <v>1984</v>
      </c>
      <c r="F546" s="28">
        <v>0</v>
      </c>
      <c r="G546" s="29">
        <v>1</v>
      </c>
      <c r="H546" s="30" t="s">
        <v>1985</v>
      </c>
      <c r="I546" t="s">
        <v>65</v>
      </c>
      <c r="J5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145</v>
      </c>
      <c r="L546" t="s">
        <v>146</v>
      </c>
      <c r="N546" s="29">
        <v>1</v>
      </c>
      <c r="P546" s="29">
        <v>1</v>
      </c>
      <c r="R546" s="29">
        <v>1</v>
      </c>
      <c r="S546" t="s">
        <v>70</v>
      </c>
      <c r="T546" t="s">
        <v>72</v>
      </c>
      <c r="U546" s="32">
        <v>30</v>
      </c>
      <c r="V546">
        <v>30</v>
      </c>
      <c r="W546" t="s">
        <v>79</v>
      </c>
      <c r="X546" t="s">
        <v>171</v>
      </c>
      <c r="Y546" t="s">
        <v>1984</v>
      </c>
      <c r="AA546" t="s">
        <v>75</v>
      </c>
      <c r="AC546" t="s">
        <v>83</v>
      </c>
      <c r="AE546" t="s">
        <v>75</v>
      </c>
      <c r="AF546" t="s">
        <v>84</v>
      </c>
      <c r="AG546" t="s">
        <v>84</v>
      </c>
      <c r="AH546" s="33">
        <f t="shared" si="25"/>
      </c>
      <c r="AI546" s="33">
        <f t="shared" si="26"/>
      </c>
    </row>
    <row r="547" ht="27.6" customHeight="1" spans="1:35" x14ac:dyDescent="0.25">
      <c r="A547" s="27" t="s">
        <v>1986</v>
      </c>
      <c r="B547">
        <f t="shared" si="24"/>
        <v>0</v>
      </c>
      <c r="C547" t="s">
        <v>64</v>
      </c>
      <c r="D547" s="27" t="s">
        <v>102</v>
      </c>
      <c r="E547" t="s">
        <v>1987</v>
      </c>
      <c r="F547" s="28">
        <v>0</v>
      </c>
      <c r="G547" s="29">
        <v>1</v>
      </c>
      <c r="H547" s="30" t="s">
        <v>1988</v>
      </c>
      <c r="I547" t="s">
        <v>65</v>
      </c>
      <c r="J5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145</v>
      </c>
      <c r="L547" t="s">
        <v>146</v>
      </c>
      <c r="N547" s="29">
        <v>1</v>
      </c>
      <c r="P547" s="29">
        <v>1</v>
      </c>
      <c r="R547" s="29">
        <v>1</v>
      </c>
      <c r="S547" t="s">
        <v>70</v>
      </c>
      <c r="T547" t="s">
        <v>72</v>
      </c>
      <c r="U547" s="32">
        <v>30</v>
      </c>
      <c r="V547">
        <v>30</v>
      </c>
      <c r="W547" t="s">
        <v>79</v>
      </c>
      <c r="X547" t="s">
        <v>171</v>
      </c>
      <c r="Y547" t="s">
        <v>1987</v>
      </c>
      <c r="AA547" t="s">
        <v>75</v>
      </c>
      <c r="AC547" t="s">
        <v>83</v>
      </c>
      <c r="AE547" t="s">
        <v>75</v>
      </c>
      <c r="AF547" t="s">
        <v>84</v>
      </c>
      <c r="AG547" t="s">
        <v>84</v>
      </c>
      <c r="AH547" s="33">
        <f t="shared" si="25"/>
      </c>
      <c r="AI547" s="33">
        <f t="shared" si="26"/>
      </c>
    </row>
    <row r="548" ht="27.6" customHeight="1" spans="1:35" x14ac:dyDescent="0.25">
      <c r="A548" s="27" t="s">
        <v>894</v>
      </c>
      <c r="B548">
        <f t="shared" si="24"/>
        <v>0</v>
      </c>
      <c r="C548" t="s">
        <v>64</v>
      </c>
      <c r="D548" s="27" t="s">
        <v>102</v>
      </c>
      <c r="E548" t="s">
        <v>1989</v>
      </c>
      <c r="F548" s="28">
        <v>0</v>
      </c>
      <c r="G548" s="29">
        <v>1</v>
      </c>
      <c r="H548" s="30" t="s">
        <v>1990</v>
      </c>
      <c r="I548" t="s">
        <v>65</v>
      </c>
      <c r="J5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145</v>
      </c>
      <c r="L548" t="s">
        <v>146</v>
      </c>
      <c r="N548" s="29">
        <v>1</v>
      </c>
      <c r="P548" s="29">
        <v>1</v>
      </c>
      <c r="R548" s="29">
        <v>1</v>
      </c>
      <c r="S548" t="s">
        <v>70</v>
      </c>
      <c r="T548" t="s">
        <v>72</v>
      </c>
      <c r="U548" s="32">
        <v>30</v>
      </c>
      <c r="V548">
        <v>30</v>
      </c>
      <c r="W548" t="s">
        <v>79</v>
      </c>
      <c r="X548" t="s">
        <v>166</v>
      </c>
      <c r="Y548" t="s">
        <v>897</v>
      </c>
      <c r="AA548" t="s">
        <v>75</v>
      </c>
      <c r="AC548" t="s">
        <v>83</v>
      </c>
      <c r="AE548" t="s">
        <v>75</v>
      </c>
      <c r="AF548" t="s">
        <v>84</v>
      </c>
      <c r="AG548" t="s">
        <v>84</v>
      </c>
      <c r="AH548" s="33">
        <f t="shared" si="25"/>
      </c>
      <c r="AI548" s="33">
        <f t="shared" si="26"/>
      </c>
    </row>
    <row r="549" ht="27.6" customHeight="1" spans="1:35" x14ac:dyDescent="0.25">
      <c r="A549" s="27" t="s">
        <v>898</v>
      </c>
      <c r="B549">
        <f t="shared" si="24"/>
        <v>0</v>
      </c>
      <c r="C549" t="s">
        <v>64</v>
      </c>
      <c r="D549" s="27" t="s">
        <v>102</v>
      </c>
      <c r="E549" t="s">
        <v>1989</v>
      </c>
      <c r="F549" s="28">
        <v>0</v>
      </c>
      <c r="G549" s="29">
        <v>1</v>
      </c>
      <c r="H549" s="30" t="s">
        <v>1991</v>
      </c>
      <c r="I549" t="s">
        <v>65</v>
      </c>
      <c r="J5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145</v>
      </c>
      <c r="L549" t="s">
        <v>146</v>
      </c>
      <c r="N549" s="29">
        <v>1</v>
      </c>
      <c r="P549" s="29">
        <v>1</v>
      </c>
      <c r="R549" s="29">
        <v>1</v>
      </c>
      <c r="S549" t="s">
        <v>70</v>
      </c>
      <c r="T549" t="s">
        <v>72</v>
      </c>
      <c r="U549" s="32">
        <v>30</v>
      </c>
      <c r="V549">
        <v>30</v>
      </c>
      <c r="W549" t="s">
        <v>79</v>
      </c>
      <c r="X549" t="s">
        <v>166</v>
      </c>
      <c r="Y549" t="s">
        <v>897</v>
      </c>
      <c r="AA549" t="s">
        <v>75</v>
      </c>
      <c r="AC549" t="s">
        <v>83</v>
      </c>
      <c r="AE549" t="s">
        <v>75</v>
      </c>
      <c r="AF549" t="s">
        <v>84</v>
      </c>
      <c r="AG549" t="s">
        <v>84</v>
      </c>
      <c r="AH549" s="33">
        <f t="shared" si="25"/>
      </c>
      <c r="AI549" s="33">
        <f t="shared" si="26"/>
      </c>
    </row>
    <row r="550" ht="27.6" customHeight="1" spans="1:35" x14ac:dyDescent="0.25">
      <c r="A550" s="27" t="s">
        <v>894</v>
      </c>
      <c r="B550">
        <f t="shared" si="24"/>
        <v>0</v>
      </c>
      <c r="C550" t="s">
        <v>64</v>
      </c>
      <c r="D550" s="27" t="s">
        <v>102</v>
      </c>
      <c r="E550" t="s">
        <v>1992</v>
      </c>
      <c r="F550" s="28">
        <v>0</v>
      </c>
      <c r="G550" s="29">
        <v>1</v>
      </c>
      <c r="H550" s="30" t="s">
        <v>1993</v>
      </c>
      <c r="I550" t="s">
        <v>65</v>
      </c>
      <c r="J5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145</v>
      </c>
      <c r="L550" t="s">
        <v>146</v>
      </c>
      <c r="N550" s="29">
        <v>1</v>
      </c>
      <c r="P550" s="29">
        <v>1</v>
      </c>
      <c r="R550" s="29">
        <v>1</v>
      </c>
      <c r="S550" t="s">
        <v>70</v>
      </c>
      <c r="T550" t="s">
        <v>72</v>
      </c>
      <c r="U550" s="32">
        <v>30</v>
      </c>
      <c r="V550">
        <v>30</v>
      </c>
      <c r="W550" t="s">
        <v>79</v>
      </c>
      <c r="X550" t="s">
        <v>770</v>
      </c>
      <c r="Y550" t="s">
        <v>897</v>
      </c>
      <c r="AA550" t="s">
        <v>75</v>
      </c>
      <c r="AC550" t="s">
        <v>83</v>
      </c>
      <c r="AE550" t="s">
        <v>75</v>
      </c>
      <c r="AF550" t="s">
        <v>84</v>
      </c>
      <c r="AG550" t="s">
        <v>84</v>
      </c>
      <c r="AH550" s="33">
        <f t="shared" si="25"/>
      </c>
      <c r="AI550" s="33">
        <f t="shared" si="26"/>
      </c>
    </row>
    <row r="551" ht="27.6" customHeight="1" spans="1:35" x14ac:dyDescent="0.25">
      <c r="A551" s="27" t="s">
        <v>898</v>
      </c>
      <c r="B551">
        <f t="shared" si="24"/>
        <v>0</v>
      </c>
      <c r="C551" t="s">
        <v>64</v>
      </c>
      <c r="D551" s="27" t="s">
        <v>102</v>
      </c>
      <c r="E551" t="s">
        <v>1992</v>
      </c>
      <c r="F551" s="28">
        <v>0</v>
      </c>
      <c r="G551" s="29">
        <v>1</v>
      </c>
      <c r="H551" s="30" t="s">
        <v>1994</v>
      </c>
      <c r="I551" t="s">
        <v>65</v>
      </c>
      <c r="J5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145</v>
      </c>
      <c r="L551" t="s">
        <v>146</v>
      </c>
      <c r="N551" s="29">
        <v>1</v>
      </c>
      <c r="P551" s="29">
        <v>1</v>
      </c>
      <c r="R551" s="29">
        <v>1</v>
      </c>
      <c r="S551" t="s">
        <v>70</v>
      </c>
      <c r="T551" t="s">
        <v>72</v>
      </c>
      <c r="U551" s="32">
        <v>30</v>
      </c>
      <c r="V551">
        <v>30</v>
      </c>
      <c r="W551" t="s">
        <v>79</v>
      </c>
      <c r="X551" t="s">
        <v>770</v>
      </c>
      <c r="Y551" t="s">
        <v>897</v>
      </c>
      <c r="AA551" t="s">
        <v>75</v>
      </c>
      <c r="AC551" t="s">
        <v>83</v>
      </c>
      <c r="AE551" t="s">
        <v>75</v>
      </c>
      <c r="AF551" t="s">
        <v>84</v>
      </c>
      <c r="AG551" t="s">
        <v>84</v>
      </c>
      <c r="AH551" s="33">
        <f t="shared" si="25"/>
      </c>
      <c r="AI551" s="33">
        <f t="shared" si="26"/>
      </c>
    </row>
    <row r="552" ht="27.6" customHeight="1" spans="1:35" x14ac:dyDescent="0.25">
      <c r="A552" s="27" t="s">
        <v>904</v>
      </c>
      <c r="B552">
        <f t="shared" si="24"/>
        <v>0</v>
      </c>
      <c r="C552" t="s">
        <v>64</v>
      </c>
      <c r="D552" s="27" t="s">
        <v>102</v>
      </c>
      <c r="E552" t="s">
        <v>1995</v>
      </c>
      <c r="F552" s="28">
        <v>2</v>
      </c>
      <c r="G552" s="29">
        <v>1</v>
      </c>
      <c r="H552" s="30" t="s">
        <v>1996</v>
      </c>
      <c r="I552" t="s">
        <v>65</v>
      </c>
      <c r="J5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145</v>
      </c>
      <c r="L552" t="s">
        <v>146</v>
      </c>
      <c r="N552" s="29">
        <v>1</v>
      </c>
      <c r="P552" s="29">
        <v>1</v>
      </c>
      <c r="R552" s="29">
        <v>1</v>
      </c>
      <c r="S552" t="s">
        <v>70</v>
      </c>
      <c r="T552" t="s">
        <v>72</v>
      </c>
      <c r="U552" s="32">
        <v>30</v>
      </c>
      <c r="V552">
        <v>30</v>
      </c>
      <c r="W552" t="s">
        <v>79</v>
      </c>
      <c r="X552" t="s">
        <v>171</v>
      </c>
      <c r="Y552" t="s">
        <v>1997</v>
      </c>
      <c r="AA552" t="s">
        <v>75</v>
      </c>
      <c r="AC552" t="s">
        <v>83</v>
      </c>
      <c r="AE552" t="s">
        <v>75</v>
      </c>
      <c r="AF552" t="s">
        <v>84</v>
      </c>
      <c r="AG552" t="s">
        <v>84</v>
      </c>
      <c r="AH552" s="33">
        <f t="shared" si="25"/>
      </c>
      <c r="AI552" s="33">
        <f t="shared" si="26"/>
      </c>
    </row>
    <row r="553" ht="27.6" customHeight="1" spans="1:35" x14ac:dyDescent="0.25">
      <c r="A553" s="27" t="s">
        <v>1579</v>
      </c>
      <c r="B553">
        <f t="shared" si="24"/>
        <v>0</v>
      </c>
      <c r="C553" t="s">
        <v>64</v>
      </c>
      <c r="D553" s="27" t="s">
        <v>1998</v>
      </c>
      <c r="E553" t="s">
        <v>1999</v>
      </c>
      <c r="F553" s="28">
        <v>0</v>
      </c>
      <c r="G553" s="29">
        <v>1</v>
      </c>
      <c r="H553" s="30" t="s">
        <v>2000</v>
      </c>
      <c r="I553" t="s">
        <v>65</v>
      </c>
      <c r="J5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145</v>
      </c>
      <c r="L553" t="s">
        <v>146</v>
      </c>
      <c r="N553" s="29">
        <v>1</v>
      </c>
      <c r="P553" s="29">
        <v>1</v>
      </c>
      <c r="R553" s="29">
        <v>1</v>
      </c>
      <c r="S553" t="s">
        <v>70</v>
      </c>
      <c r="T553" t="s">
        <v>72</v>
      </c>
      <c r="U553" s="32">
        <v>30</v>
      </c>
      <c r="V553">
        <v>30</v>
      </c>
      <c r="W553" t="s">
        <v>79</v>
      </c>
      <c r="X553" t="s">
        <v>171</v>
      </c>
      <c r="Y553" t="s">
        <v>2001</v>
      </c>
      <c r="AA553" t="s">
        <v>75</v>
      </c>
      <c r="AC553" t="s">
        <v>83</v>
      </c>
      <c r="AE553" t="s">
        <v>75</v>
      </c>
      <c r="AF553" t="s">
        <v>84</v>
      </c>
      <c r="AG553" t="s">
        <v>84</v>
      </c>
      <c r="AH553" s="33">
        <f t="shared" si="25"/>
      </c>
      <c r="AI553" s="33">
        <f t="shared" si="26"/>
      </c>
    </row>
    <row r="554" ht="27.6" customHeight="1" spans="1:35" x14ac:dyDescent="0.25">
      <c r="A554" s="27" t="s">
        <v>1579</v>
      </c>
      <c r="B554">
        <f t="shared" si="24"/>
        <v>0</v>
      </c>
      <c r="C554" t="s">
        <v>64</v>
      </c>
      <c r="D554" s="27" t="s">
        <v>1998</v>
      </c>
      <c r="E554" t="s">
        <v>1999</v>
      </c>
      <c r="F554" s="28">
        <v>0</v>
      </c>
      <c r="G554" s="29">
        <v>1</v>
      </c>
      <c r="H554" s="30" t="s">
        <v>2002</v>
      </c>
      <c r="I554" t="s">
        <v>65</v>
      </c>
      <c r="J5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145</v>
      </c>
      <c r="L554" t="s">
        <v>146</v>
      </c>
      <c r="N554" s="29">
        <v>1</v>
      </c>
      <c r="P554" s="29">
        <v>1</v>
      </c>
      <c r="R554" s="29">
        <v>1</v>
      </c>
      <c r="S554" t="s">
        <v>70</v>
      </c>
      <c r="T554" t="s">
        <v>72</v>
      </c>
      <c r="U554" s="32">
        <v>30</v>
      </c>
      <c r="V554">
        <v>30</v>
      </c>
      <c r="W554" t="s">
        <v>79</v>
      </c>
      <c r="X554" t="s">
        <v>171</v>
      </c>
      <c r="Y554" t="s">
        <v>2001</v>
      </c>
      <c r="AA554" t="s">
        <v>75</v>
      </c>
      <c r="AC554" t="s">
        <v>83</v>
      </c>
      <c r="AE554" t="s">
        <v>75</v>
      </c>
      <c r="AF554" t="s">
        <v>84</v>
      </c>
      <c r="AG554" t="s">
        <v>84</v>
      </c>
      <c r="AH554" s="33">
        <f t="shared" si="25"/>
      </c>
      <c r="AI554" s="33">
        <f t="shared" si="26"/>
      </c>
    </row>
    <row r="555" ht="27.6" customHeight="1" spans="1:35" x14ac:dyDescent="0.25">
      <c r="A555" s="27" t="s">
        <v>2003</v>
      </c>
      <c r="B555">
        <f t="shared" si="24"/>
        <v>0</v>
      </c>
      <c r="C555" t="s">
        <v>64</v>
      </c>
      <c r="D555" s="27" t="s">
        <v>102</v>
      </c>
      <c r="E555" t="s">
        <v>2004</v>
      </c>
      <c r="F555" s="28">
        <v>0</v>
      </c>
      <c r="G555" s="29">
        <v>1</v>
      </c>
      <c r="H555" s="30" t="s">
        <v>2005</v>
      </c>
      <c r="I555" t="s">
        <v>65</v>
      </c>
      <c r="J5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145</v>
      </c>
      <c r="L555" t="s">
        <v>146</v>
      </c>
      <c r="N555" s="29">
        <v>1</v>
      </c>
      <c r="P555" s="29">
        <v>1</v>
      </c>
      <c r="R555" s="29">
        <v>1</v>
      </c>
      <c r="S555" t="s">
        <v>70</v>
      </c>
      <c r="T555" t="s">
        <v>72</v>
      </c>
      <c r="U555" s="32">
        <v>30</v>
      </c>
      <c r="V555">
        <v>30</v>
      </c>
      <c r="W555" t="s">
        <v>79</v>
      </c>
      <c r="X555" t="s">
        <v>770</v>
      </c>
      <c r="Y555" t="s">
        <v>2004</v>
      </c>
      <c r="AA555" t="s">
        <v>75</v>
      </c>
      <c r="AC555" t="s">
        <v>83</v>
      </c>
      <c r="AE555" t="s">
        <v>75</v>
      </c>
      <c r="AF555" t="s">
        <v>84</v>
      </c>
      <c r="AG555" t="s">
        <v>84</v>
      </c>
      <c r="AH555" s="33">
        <f t="shared" si="25"/>
      </c>
      <c r="AI555" s="33">
        <f t="shared" si="26"/>
      </c>
    </row>
    <row r="556" ht="27.6" customHeight="1" spans="1:35" x14ac:dyDescent="0.25">
      <c r="A556" s="27" t="s">
        <v>1558</v>
      </c>
      <c r="B556">
        <f t="shared" si="24"/>
        <v>0</v>
      </c>
      <c r="C556" t="s">
        <v>64</v>
      </c>
      <c r="D556" s="27" t="s">
        <v>102</v>
      </c>
      <c r="E556" t="s">
        <v>2006</v>
      </c>
      <c r="F556" s="28">
        <v>2</v>
      </c>
      <c r="G556" s="29">
        <v>1</v>
      </c>
      <c r="H556" s="30" t="s">
        <v>2007</v>
      </c>
      <c r="I556" t="s">
        <v>65</v>
      </c>
      <c r="J5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145</v>
      </c>
      <c r="L556" t="s">
        <v>146</v>
      </c>
      <c r="N556" s="29">
        <v>1</v>
      </c>
      <c r="P556" s="29">
        <v>1</v>
      </c>
      <c r="R556" s="29">
        <v>1</v>
      </c>
      <c r="S556" t="s">
        <v>70</v>
      </c>
      <c r="T556" t="s">
        <v>72</v>
      </c>
      <c r="U556" s="32">
        <v>30</v>
      </c>
      <c r="V556">
        <v>30</v>
      </c>
      <c r="W556" t="s">
        <v>79</v>
      </c>
      <c r="X556" t="s">
        <v>171</v>
      </c>
      <c r="Y556" t="s">
        <v>2008</v>
      </c>
      <c r="AA556" t="s">
        <v>75</v>
      </c>
      <c r="AC556" t="s">
        <v>83</v>
      </c>
      <c r="AE556" t="s">
        <v>75</v>
      </c>
      <c r="AF556" t="s">
        <v>84</v>
      </c>
      <c r="AG556" t="s">
        <v>84</v>
      </c>
      <c r="AH556" s="33">
        <f t="shared" si="25"/>
      </c>
      <c r="AI556" s="33">
        <f t="shared" si="26"/>
      </c>
    </row>
    <row r="557" ht="27.6" customHeight="1" spans="1:35" x14ac:dyDescent="0.25">
      <c r="A557" s="27" t="s">
        <v>931</v>
      </c>
      <c r="B557">
        <f t="shared" si="24"/>
        <v>0</v>
      </c>
      <c r="C557" t="s">
        <v>64</v>
      </c>
      <c r="D557" s="27" t="s">
        <v>2009</v>
      </c>
      <c r="E557" t="s">
        <v>2010</v>
      </c>
      <c r="F557" s="28">
        <v>0</v>
      </c>
      <c r="G557" s="29">
        <v>1</v>
      </c>
      <c r="H557" s="30" t="s">
        <v>2011</v>
      </c>
      <c r="I557" t="s">
        <v>65</v>
      </c>
      <c r="J5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145</v>
      </c>
      <c r="L557" t="s">
        <v>146</v>
      </c>
      <c r="N557" s="29">
        <v>1</v>
      </c>
      <c r="P557" s="29">
        <v>1</v>
      </c>
      <c r="R557" s="29">
        <v>1</v>
      </c>
      <c r="S557" t="s">
        <v>70</v>
      </c>
      <c r="T557" t="s">
        <v>72</v>
      </c>
      <c r="U557" s="32">
        <v>30</v>
      </c>
      <c r="V557">
        <v>30</v>
      </c>
      <c r="W557" t="s">
        <v>79</v>
      </c>
      <c r="X557" t="s">
        <v>171</v>
      </c>
      <c r="Y557" t="s">
        <v>2010</v>
      </c>
      <c r="AA557" t="s">
        <v>75</v>
      </c>
      <c r="AC557" t="s">
        <v>83</v>
      </c>
      <c r="AE557" t="s">
        <v>75</v>
      </c>
      <c r="AF557" t="s">
        <v>84</v>
      </c>
      <c r="AG557" t="s">
        <v>84</v>
      </c>
      <c r="AH557" s="33">
        <f t="shared" si="25"/>
      </c>
      <c r="AI557" s="33">
        <f t="shared" si="26"/>
      </c>
    </row>
    <row r="558" ht="27.6" customHeight="1" spans="1:35" x14ac:dyDescent="0.25">
      <c r="A558" s="27" t="s">
        <v>2012</v>
      </c>
      <c r="B558">
        <f t="shared" si="24"/>
        <v>0</v>
      </c>
      <c r="C558" t="s">
        <v>64</v>
      </c>
      <c r="D558" s="27" t="s">
        <v>2013</v>
      </c>
      <c r="E558" t="s">
        <v>2014</v>
      </c>
      <c r="F558" s="28">
        <v>0</v>
      </c>
      <c r="G558" s="29">
        <v>1</v>
      </c>
      <c r="H558" s="30" t="s">
        <v>2015</v>
      </c>
      <c r="I558" t="s">
        <v>65</v>
      </c>
      <c r="J5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145</v>
      </c>
      <c r="L558" t="s">
        <v>146</v>
      </c>
      <c r="N558" s="29">
        <v>1</v>
      </c>
      <c r="P558" s="29">
        <v>1</v>
      </c>
      <c r="R558" s="29">
        <v>1</v>
      </c>
      <c r="S558" t="s">
        <v>70</v>
      </c>
      <c r="T558" t="s">
        <v>72</v>
      </c>
      <c r="U558" s="32">
        <v>30</v>
      </c>
      <c r="V558">
        <v>30</v>
      </c>
      <c r="W558" t="s">
        <v>79</v>
      </c>
      <c r="X558" t="s">
        <v>171</v>
      </c>
      <c r="Y558" t="s">
        <v>2014</v>
      </c>
      <c r="AA558" t="s">
        <v>75</v>
      </c>
      <c r="AC558" t="s">
        <v>83</v>
      </c>
      <c r="AE558" t="s">
        <v>75</v>
      </c>
      <c r="AF558" t="s">
        <v>84</v>
      </c>
      <c r="AG558" t="s">
        <v>84</v>
      </c>
      <c r="AH558" s="33">
        <f t="shared" si="25"/>
      </c>
      <c r="AI558" s="33">
        <f t="shared" si="26"/>
      </c>
    </row>
    <row r="559" ht="27.6" customHeight="1" spans="1:35" x14ac:dyDescent="0.25">
      <c r="A559" s="27" t="s">
        <v>2016</v>
      </c>
      <c r="B559">
        <f t="shared" si="24"/>
        <v>0</v>
      </c>
      <c r="C559" t="s">
        <v>64</v>
      </c>
      <c r="D559" s="27" t="s">
        <v>102</v>
      </c>
      <c r="E559" t="s">
        <v>2017</v>
      </c>
      <c r="F559" s="28">
        <v>0</v>
      </c>
      <c r="G559" s="29">
        <v>1</v>
      </c>
      <c r="H559" s="30" t="s">
        <v>2018</v>
      </c>
      <c r="I559" t="s">
        <v>65</v>
      </c>
      <c r="J5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145</v>
      </c>
      <c r="L559" t="s">
        <v>146</v>
      </c>
      <c r="N559" s="29">
        <v>1</v>
      </c>
      <c r="P559" s="29">
        <v>1</v>
      </c>
      <c r="R559" s="29">
        <v>1</v>
      </c>
      <c r="S559" t="s">
        <v>70</v>
      </c>
      <c r="T559" t="s">
        <v>72</v>
      </c>
      <c r="U559" s="32">
        <v>30</v>
      </c>
      <c r="V559">
        <v>30</v>
      </c>
      <c r="W559" t="s">
        <v>79</v>
      </c>
      <c r="X559" t="s">
        <v>171</v>
      </c>
      <c r="Y559" t="s">
        <v>2019</v>
      </c>
      <c r="AA559" t="s">
        <v>75</v>
      </c>
      <c r="AC559" t="s">
        <v>83</v>
      </c>
      <c r="AE559" t="s">
        <v>75</v>
      </c>
      <c r="AF559" t="s">
        <v>84</v>
      </c>
      <c r="AG559" t="s">
        <v>84</v>
      </c>
      <c r="AH559" s="33">
        <f t="shared" si="25"/>
      </c>
      <c r="AI559" s="33">
        <f t="shared" si="26"/>
      </c>
    </row>
    <row r="560" ht="27.6" customHeight="1" spans="1:35" x14ac:dyDescent="0.25">
      <c r="A560" s="27" t="s">
        <v>2020</v>
      </c>
      <c r="B560">
        <f t="shared" si="24"/>
        <v>0</v>
      </c>
      <c r="C560" t="s">
        <v>64</v>
      </c>
      <c r="D560" s="27" t="s">
        <v>102</v>
      </c>
      <c r="E560" t="s">
        <v>2021</v>
      </c>
      <c r="F560" s="28">
        <v>0</v>
      </c>
      <c r="G560" s="29">
        <v>1</v>
      </c>
      <c r="H560" s="30" t="s">
        <v>2022</v>
      </c>
      <c r="I560" t="s">
        <v>65</v>
      </c>
      <c r="J5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145</v>
      </c>
      <c r="L560" t="s">
        <v>146</v>
      </c>
      <c r="N560" s="29">
        <v>1</v>
      </c>
      <c r="P560" s="29">
        <v>1</v>
      </c>
      <c r="R560" s="29">
        <v>1</v>
      </c>
      <c r="S560" t="s">
        <v>70</v>
      </c>
      <c r="T560" t="s">
        <v>72</v>
      </c>
      <c r="U560" s="32">
        <v>30</v>
      </c>
      <c r="V560">
        <v>30</v>
      </c>
      <c r="W560" t="s">
        <v>79</v>
      </c>
      <c r="X560" t="s">
        <v>171</v>
      </c>
      <c r="Y560" t="s">
        <v>2021</v>
      </c>
      <c r="AA560" t="s">
        <v>75</v>
      </c>
      <c r="AC560" t="s">
        <v>83</v>
      </c>
      <c r="AE560" t="s">
        <v>75</v>
      </c>
      <c r="AF560" t="s">
        <v>84</v>
      </c>
      <c r="AG560" t="s">
        <v>84</v>
      </c>
      <c r="AH560" s="33">
        <f t="shared" si="25"/>
      </c>
      <c r="AI560" s="33">
        <f t="shared" si="26"/>
      </c>
    </row>
    <row r="561" ht="27.6" customHeight="1" spans="1:35" x14ac:dyDescent="0.25">
      <c r="A561" s="27" t="s">
        <v>2023</v>
      </c>
      <c r="B561">
        <f t="shared" si="24"/>
        <v>0</v>
      </c>
      <c r="C561" t="s">
        <v>64</v>
      </c>
      <c r="D561" s="27" t="s">
        <v>2024</v>
      </c>
      <c r="E561" t="s">
        <v>2025</v>
      </c>
      <c r="F561" s="28">
        <v>0</v>
      </c>
      <c r="G561" s="29">
        <v>1</v>
      </c>
      <c r="H561" s="30" t="s">
        <v>2026</v>
      </c>
      <c r="I561" t="s">
        <v>65</v>
      </c>
      <c r="J5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145</v>
      </c>
      <c r="L561" t="s">
        <v>146</v>
      </c>
      <c r="N561" s="29">
        <v>1</v>
      </c>
      <c r="P561" s="29">
        <v>1</v>
      </c>
      <c r="R561" s="29">
        <v>1</v>
      </c>
      <c r="S561" t="s">
        <v>70</v>
      </c>
      <c r="T561" t="s">
        <v>72</v>
      </c>
      <c r="U561" s="32">
        <v>30</v>
      </c>
      <c r="V561">
        <v>30</v>
      </c>
      <c r="W561" t="s">
        <v>79</v>
      </c>
      <c r="X561" t="s">
        <v>171</v>
      </c>
      <c r="Y561" t="s">
        <v>2027</v>
      </c>
      <c r="AA561" t="s">
        <v>75</v>
      </c>
      <c r="AC561" t="s">
        <v>83</v>
      </c>
      <c r="AE561" t="s">
        <v>75</v>
      </c>
      <c r="AF561" t="s">
        <v>84</v>
      </c>
      <c r="AG561" t="s">
        <v>84</v>
      </c>
      <c r="AH561" s="33">
        <f t="shared" si="25"/>
      </c>
      <c r="AI561" s="33">
        <f t="shared" si="26"/>
      </c>
    </row>
    <row r="562" ht="27.6" customHeight="1" spans="1:35" x14ac:dyDescent="0.25">
      <c r="A562" s="27" t="s">
        <v>2028</v>
      </c>
      <c r="B562">
        <f t="shared" si="24"/>
        <v>0</v>
      </c>
      <c r="C562" t="s">
        <v>64</v>
      </c>
      <c r="D562" s="27" t="s">
        <v>102</v>
      </c>
      <c r="E562" t="s">
        <v>2029</v>
      </c>
      <c r="F562" s="28">
        <v>0</v>
      </c>
      <c r="G562" s="29">
        <v>1</v>
      </c>
      <c r="H562" s="30" t="s">
        <v>2030</v>
      </c>
      <c r="I562" t="s">
        <v>65</v>
      </c>
      <c r="J5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145</v>
      </c>
      <c r="L562" t="s">
        <v>146</v>
      </c>
      <c r="N562" s="29">
        <v>1</v>
      </c>
      <c r="P562" s="29">
        <v>1</v>
      </c>
      <c r="R562" s="29">
        <v>1</v>
      </c>
      <c r="S562" t="s">
        <v>70</v>
      </c>
      <c r="T562" t="s">
        <v>72</v>
      </c>
      <c r="U562" s="32">
        <v>30</v>
      </c>
      <c r="V562">
        <v>30</v>
      </c>
      <c r="W562" t="s">
        <v>79</v>
      </c>
      <c r="X562" t="s">
        <v>770</v>
      </c>
      <c r="Y562" t="s">
        <v>2029</v>
      </c>
      <c r="AA562" t="s">
        <v>75</v>
      </c>
      <c r="AC562" t="s">
        <v>83</v>
      </c>
      <c r="AE562" t="s">
        <v>75</v>
      </c>
      <c r="AF562" t="s">
        <v>84</v>
      </c>
      <c r="AG562" t="s">
        <v>84</v>
      </c>
      <c r="AH562" s="33">
        <f t="shared" si="25"/>
      </c>
      <c r="AI562" s="33">
        <f t="shared" si="26"/>
      </c>
    </row>
    <row r="563" ht="27.6" customHeight="1" spans="1:35" x14ac:dyDescent="0.25">
      <c r="A563" s="27" t="s">
        <v>2031</v>
      </c>
      <c r="B563">
        <f t="shared" si="24"/>
        <v>0</v>
      </c>
      <c r="C563" t="s">
        <v>64</v>
      </c>
      <c r="D563" s="27" t="s">
        <v>102</v>
      </c>
      <c r="E563" t="s">
        <v>2032</v>
      </c>
      <c r="F563" s="28">
        <v>0</v>
      </c>
      <c r="G563" s="29">
        <v>1</v>
      </c>
      <c r="H563" s="30" t="s">
        <v>2033</v>
      </c>
      <c r="I563" t="s">
        <v>65</v>
      </c>
      <c r="J5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145</v>
      </c>
      <c r="L563" t="s">
        <v>146</v>
      </c>
      <c r="N563" s="29">
        <v>1</v>
      </c>
      <c r="P563" s="29">
        <v>1</v>
      </c>
      <c r="R563" s="29">
        <v>1</v>
      </c>
      <c r="S563" t="s">
        <v>70</v>
      </c>
      <c r="T563" t="s">
        <v>72</v>
      </c>
      <c r="U563" s="32">
        <v>30</v>
      </c>
      <c r="V563">
        <v>30</v>
      </c>
      <c r="W563" t="s">
        <v>79</v>
      </c>
      <c r="X563" t="s">
        <v>770</v>
      </c>
      <c r="Y563" t="s">
        <v>2032</v>
      </c>
      <c r="AA563" t="s">
        <v>75</v>
      </c>
      <c r="AC563" t="s">
        <v>83</v>
      </c>
      <c r="AE563" t="s">
        <v>75</v>
      </c>
      <c r="AF563" t="s">
        <v>84</v>
      </c>
      <c r="AG563" t="s">
        <v>84</v>
      </c>
      <c r="AH563" s="33">
        <f t="shared" si="25"/>
      </c>
      <c r="AI563" s="33">
        <f t="shared" si="26"/>
      </c>
    </row>
    <row r="564" ht="27.6" customHeight="1" spans="1:35" x14ac:dyDescent="0.25">
      <c r="A564" s="27" t="s">
        <v>2034</v>
      </c>
      <c r="B564">
        <f t="shared" si="24"/>
        <v>0</v>
      </c>
      <c r="C564" t="s">
        <v>64</v>
      </c>
      <c r="D564" s="27" t="s">
        <v>102</v>
      </c>
      <c r="E564" t="s">
        <v>2035</v>
      </c>
      <c r="F564" s="28">
        <v>0</v>
      </c>
      <c r="G564" s="29">
        <v>1</v>
      </c>
      <c r="H564" s="30" t="s">
        <v>2036</v>
      </c>
      <c r="I564" t="s">
        <v>65</v>
      </c>
      <c r="J5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145</v>
      </c>
      <c r="L564" t="s">
        <v>146</v>
      </c>
      <c r="N564" s="29">
        <v>1</v>
      </c>
      <c r="P564" s="29">
        <v>1</v>
      </c>
      <c r="R564" s="29">
        <v>1</v>
      </c>
      <c r="S564" t="s">
        <v>70</v>
      </c>
      <c r="T564" t="s">
        <v>72</v>
      </c>
      <c r="U564" s="32">
        <v>30</v>
      </c>
      <c r="V564">
        <v>30</v>
      </c>
      <c r="W564" t="s">
        <v>79</v>
      </c>
      <c r="X564" t="s">
        <v>770</v>
      </c>
      <c r="Y564" t="s">
        <v>2035</v>
      </c>
      <c r="AA564" t="s">
        <v>75</v>
      </c>
      <c r="AC564" t="s">
        <v>83</v>
      </c>
      <c r="AE564" t="s">
        <v>75</v>
      </c>
      <c r="AF564" t="s">
        <v>84</v>
      </c>
      <c r="AG564" t="s">
        <v>84</v>
      </c>
      <c r="AH564" s="33">
        <f t="shared" si="25"/>
      </c>
      <c r="AI564" s="33">
        <f t="shared" si="26"/>
      </c>
    </row>
    <row r="565" ht="27.6" customHeight="1" spans="1:35" x14ac:dyDescent="0.25">
      <c r="A565" s="27" t="s">
        <v>869</v>
      </c>
      <c r="B565">
        <f t="shared" si="24"/>
        <v>0</v>
      </c>
      <c r="C565" t="s">
        <v>64</v>
      </c>
      <c r="D565" s="27" t="s">
        <v>2037</v>
      </c>
      <c r="E565" t="s">
        <v>2038</v>
      </c>
      <c r="F565" s="28">
        <v>0</v>
      </c>
      <c r="G565" s="29">
        <v>1</v>
      </c>
      <c r="H565" s="30" t="s">
        <v>2039</v>
      </c>
      <c r="I565" t="s">
        <v>65</v>
      </c>
      <c r="J5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145</v>
      </c>
      <c r="L565" t="s">
        <v>146</v>
      </c>
      <c r="N565" s="29">
        <v>1</v>
      </c>
      <c r="P565" s="29">
        <v>1</v>
      </c>
      <c r="R565" s="29">
        <v>1</v>
      </c>
      <c r="S565" t="s">
        <v>70</v>
      </c>
      <c r="T565" t="s">
        <v>72</v>
      </c>
      <c r="U565" s="32">
        <v>30</v>
      </c>
      <c r="V565">
        <v>30</v>
      </c>
      <c r="W565" t="s">
        <v>79</v>
      </c>
      <c r="X565" t="s">
        <v>171</v>
      </c>
      <c r="Y565" t="s">
        <v>2040</v>
      </c>
      <c r="AA565" t="s">
        <v>75</v>
      </c>
      <c r="AC565" t="s">
        <v>83</v>
      </c>
      <c r="AE565" t="s">
        <v>75</v>
      </c>
      <c r="AF565" t="s">
        <v>84</v>
      </c>
      <c r="AG565" t="s">
        <v>84</v>
      </c>
      <c r="AH565" s="33">
        <f t="shared" si="25"/>
      </c>
      <c r="AI565" s="33">
        <f t="shared" si="26"/>
      </c>
    </row>
    <row r="566" ht="27.6" customHeight="1" spans="1:35" x14ac:dyDescent="0.25">
      <c r="A566" s="27" t="s">
        <v>873</v>
      </c>
      <c r="B566">
        <f t="shared" si="24"/>
        <v>0</v>
      </c>
      <c r="C566" t="s">
        <v>64</v>
      </c>
      <c r="D566" s="27" t="s">
        <v>2037</v>
      </c>
      <c r="E566" t="s">
        <v>2038</v>
      </c>
      <c r="F566" s="28">
        <v>0</v>
      </c>
      <c r="G566" s="29">
        <v>1</v>
      </c>
      <c r="H566" s="30" t="s">
        <v>2041</v>
      </c>
      <c r="I566" t="s">
        <v>65</v>
      </c>
      <c r="J5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145</v>
      </c>
      <c r="L566" t="s">
        <v>146</v>
      </c>
      <c r="N566" s="29">
        <v>1</v>
      </c>
      <c r="P566" s="29">
        <v>1</v>
      </c>
      <c r="R566" s="29">
        <v>1</v>
      </c>
      <c r="S566" t="s">
        <v>70</v>
      </c>
      <c r="T566" t="s">
        <v>72</v>
      </c>
      <c r="U566" s="32">
        <v>30</v>
      </c>
      <c r="V566">
        <v>30</v>
      </c>
      <c r="W566" t="s">
        <v>79</v>
      </c>
      <c r="X566" t="s">
        <v>171</v>
      </c>
      <c r="Y566" t="s">
        <v>2040</v>
      </c>
      <c r="AA566" t="s">
        <v>75</v>
      </c>
      <c r="AC566" t="s">
        <v>83</v>
      </c>
      <c r="AE566" t="s">
        <v>75</v>
      </c>
      <c r="AF566" t="s">
        <v>84</v>
      </c>
      <c r="AG566" t="s">
        <v>84</v>
      </c>
      <c r="AH566" s="33">
        <f t="shared" si="25"/>
      </c>
      <c r="AI566" s="33">
        <f t="shared" si="26"/>
      </c>
    </row>
    <row r="567" ht="27.6" customHeight="1" spans="1:35" x14ac:dyDescent="0.25">
      <c r="A567" s="27" t="s">
        <v>2042</v>
      </c>
      <c r="B567">
        <f t="shared" si="24"/>
        <v>0</v>
      </c>
      <c r="C567" t="s">
        <v>64</v>
      </c>
      <c r="D567" s="27" t="s">
        <v>102</v>
      </c>
      <c r="E567" t="s">
        <v>2043</v>
      </c>
      <c r="F567" s="28">
        <v>0</v>
      </c>
      <c r="G567" s="29">
        <v>1</v>
      </c>
      <c r="H567" s="30" t="s">
        <v>2044</v>
      </c>
      <c r="I567" t="s">
        <v>65</v>
      </c>
      <c r="J5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145</v>
      </c>
      <c r="L567" t="s">
        <v>146</v>
      </c>
      <c r="N567" s="29">
        <v>1</v>
      </c>
      <c r="P567" s="29">
        <v>1</v>
      </c>
      <c r="R567" s="29">
        <v>1</v>
      </c>
      <c r="S567" t="s">
        <v>70</v>
      </c>
      <c r="T567" t="s">
        <v>72</v>
      </c>
      <c r="U567" s="32">
        <v>30</v>
      </c>
      <c r="V567">
        <v>30</v>
      </c>
      <c r="W567" t="s">
        <v>79</v>
      </c>
      <c r="X567" t="s">
        <v>171</v>
      </c>
      <c r="Y567" t="s">
        <v>2045</v>
      </c>
      <c r="AA567" t="s">
        <v>75</v>
      </c>
      <c r="AC567" t="s">
        <v>83</v>
      </c>
      <c r="AE567" t="s">
        <v>75</v>
      </c>
      <c r="AF567" t="s">
        <v>84</v>
      </c>
      <c r="AG567" t="s">
        <v>84</v>
      </c>
      <c r="AH567" s="33">
        <f t="shared" si="25"/>
      </c>
      <c r="AI567" s="33">
        <f t="shared" si="26"/>
      </c>
    </row>
    <row r="568" ht="27.6" customHeight="1" spans="1:35" x14ac:dyDescent="0.25">
      <c r="A568" s="27" t="s">
        <v>2046</v>
      </c>
      <c r="B568">
        <f t="shared" si="24"/>
        <v>0</v>
      </c>
      <c r="C568" t="s">
        <v>64</v>
      </c>
      <c r="D568" s="27" t="s">
        <v>102</v>
      </c>
      <c r="E568" t="s">
        <v>2047</v>
      </c>
      <c r="F568" s="28">
        <v>0</v>
      </c>
      <c r="G568" s="29">
        <v>1</v>
      </c>
      <c r="H568" s="30" t="s">
        <v>2048</v>
      </c>
      <c r="I568" t="s">
        <v>65</v>
      </c>
      <c r="J5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145</v>
      </c>
      <c r="L568" t="s">
        <v>146</v>
      </c>
      <c r="N568" s="29">
        <v>1</v>
      </c>
      <c r="P568" s="29">
        <v>1</v>
      </c>
      <c r="R568" s="29">
        <v>1</v>
      </c>
      <c r="S568" t="s">
        <v>70</v>
      </c>
      <c r="T568" t="s">
        <v>72</v>
      </c>
      <c r="U568" s="32">
        <v>30</v>
      </c>
      <c r="V568">
        <v>30</v>
      </c>
      <c r="W568" t="s">
        <v>79</v>
      </c>
      <c r="X568" t="s">
        <v>171</v>
      </c>
      <c r="Y568" t="s">
        <v>2047</v>
      </c>
      <c r="AA568" t="s">
        <v>75</v>
      </c>
      <c r="AC568" t="s">
        <v>83</v>
      </c>
      <c r="AE568" t="s">
        <v>75</v>
      </c>
      <c r="AF568" t="s">
        <v>84</v>
      </c>
      <c r="AG568" t="s">
        <v>84</v>
      </c>
      <c r="AH568" s="33">
        <f t="shared" si="25"/>
      </c>
      <c r="AI568" s="33">
        <f t="shared" si="26"/>
      </c>
    </row>
    <row r="569" ht="27.6" customHeight="1" spans="1:35" x14ac:dyDescent="0.25">
      <c r="A569" s="27" t="s">
        <v>2049</v>
      </c>
      <c r="B569">
        <f t="shared" si="24"/>
        <v>0</v>
      </c>
      <c r="C569" t="s">
        <v>64</v>
      </c>
      <c r="D569" s="27" t="s">
        <v>102</v>
      </c>
      <c r="E569" t="s">
        <v>2050</v>
      </c>
      <c r="F569" s="28">
        <v>0</v>
      </c>
      <c r="G569" s="29">
        <v>1</v>
      </c>
      <c r="H569" s="30" t="s">
        <v>2051</v>
      </c>
      <c r="I569" t="s">
        <v>65</v>
      </c>
      <c r="J5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145</v>
      </c>
      <c r="L569" t="s">
        <v>146</v>
      </c>
      <c r="N569" s="29">
        <v>1</v>
      </c>
      <c r="P569" s="29">
        <v>1</v>
      </c>
      <c r="R569" s="29">
        <v>1</v>
      </c>
      <c r="S569" t="s">
        <v>70</v>
      </c>
      <c r="T569" t="s">
        <v>72</v>
      </c>
      <c r="U569" s="32">
        <v>30</v>
      </c>
      <c r="V569">
        <v>30</v>
      </c>
      <c r="W569" t="s">
        <v>79</v>
      </c>
      <c r="X569" t="s">
        <v>770</v>
      </c>
      <c r="Y569" t="s">
        <v>2050</v>
      </c>
      <c r="AA569" t="s">
        <v>75</v>
      </c>
      <c r="AC569" t="s">
        <v>83</v>
      </c>
      <c r="AE569" t="s">
        <v>75</v>
      </c>
      <c r="AF569" t="s">
        <v>84</v>
      </c>
      <c r="AG569" t="s">
        <v>84</v>
      </c>
      <c r="AH569" s="33">
        <f t="shared" si="25"/>
      </c>
      <c r="AI569" s="33">
        <f t="shared" si="26"/>
      </c>
    </row>
    <row r="570" ht="27.6" customHeight="1" spans="1:35" x14ac:dyDescent="0.25">
      <c r="A570" s="27" t="s">
        <v>2052</v>
      </c>
      <c r="B570">
        <f t="shared" si="24"/>
        <v>0</v>
      </c>
      <c r="C570" t="s">
        <v>64</v>
      </c>
      <c r="D570" s="27" t="s">
        <v>2053</v>
      </c>
      <c r="E570" t="s">
        <v>2054</v>
      </c>
      <c r="F570" s="28">
        <v>0</v>
      </c>
      <c r="G570" s="29">
        <v>1</v>
      </c>
      <c r="H570" s="30" t="s">
        <v>2055</v>
      </c>
      <c r="I570" t="s">
        <v>65</v>
      </c>
      <c r="J5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145</v>
      </c>
      <c r="L570" t="s">
        <v>146</v>
      </c>
      <c r="N570" s="29">
        <v>1</v>
      </c>
      <c r="P570" s="29">
        <v>1</v>
      </c>
      <c r="R570" s="29">
        <v>1</v>
      </c>
      <c r="S570" t="s">
        <v>70</v>
      </c>
      <c r="T570" t="s">
        <v>72</v>
      </c>
      <c r="U570" s="32">
        <v>30</v>
      </c>
      <c r="V570">
        <v>30</v>
      </c>
      <c r="W570" t="s">
        <v>79</v>
      </c>
      <c r="X570" t="s">
        <v>770</v>
      </c>
      <c r="Y570" t="s">
        <v>2054</v>
      </c>
      <c r="AA570" t="s">
        <v>75</v>
      </c>
      <c r="AC570" t="s">
        <v>83</v>
      </c>
      <c r="AE570" t="s">
        <v>75</v>
      </c>
      <c r="AF570" t="s">
        <v>84</v>
      </c>
      <c r="AG570" t="s">
        <v>84</v>
      </c>
      <c r="AH570" s="33">
        <f t="shared" si="25"/>
      </c>
      <c r="AI570" s="33">
        <f t="shared" si="26"/>
      </c>
    </row>
    <row r="571" ht="27.6" customHeight="1" spans="1:35" x14ac:dyDescent="0.25">
      <c r="A571" s="27" t="s">
        <v>2056</v>
      </c>
      <c r="B571">
        <f t="shared" si="24"/>
        <v>0</v>
      </c>
      <c r="C571" t="s">
        <v>64</v>
      </c>
      <c r="D571" s="27" t="s">
        <v>102</v>
      </c>
      <c r="E571" t="s">
        <v>2057</v>
      </c>
      <c r="F571" s="28">
        <v>0</v>
      </c>
      <c r="G571" s="29">
        <v>1</v>
      </c>
      <c r="H571" s="30" t="s">
        <v>2058</v>
      </c>
      <c r="I571" t="s">
        <v>65</v>
      </c>
      <c r="J5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145</v>
      </c>
      <c r="L571" t="s">
        <v>146</v>
      </c>
      <c r="N571" s="29">
        <v>1</v>
      </c>
      <c r="P571" s="29">
        <v>1</v>
      </c>
      <c r="R571" s="29">
        <v>1</v>
      </c>
      <c r="S571" t="s">
        <v>70</v>
      </c>
      <c r="T571" t="s">
        <v>72</v>
      </c>
      <c r="U571" s="32">
        <v>30</v>
      </c>
      <c r="V571">
        <v>30</v>
      </c>
      <c r="W571" t="s">
        <v>79</v>
      </c>
      <c r="X571" t="s">
        <v>171</v>
      </c>
      <c r="Y571" t="s">
        <v>2057</v>
      </c>
      <c r="AA571" t="s">
        <v>75</v>
      </c>
      <c r="AC571" t="s">
        <v>83</v>
      </c>
      <c r="AE571" t="s">
        <v>75</v>
      </c>
      <c r="AF571" t="s">
        <v>84</v>
      </c>
      <c r="AG571" t="s">
        <v>84</v>
      </c>
      <c r="AH571" s="33">
        <f t="shared" si="25"/>
      </c>
      <c r="AI571" s="33">
        <f t="shared" si="26"/>
      </c>
    </row>
    <row r="572" ht="27.6" customHeight="1" spans="1:35" x14ac:dyDescent="0.25">
      <c r="A572" s="27" t="s">
        <v>2059</v>
      </c>
      <c r="B572">
        <f t="shared" si="24"/>
        <v>0</v>
      </c>
      <c r="C572" t="s">
        <v>64</v>
      </c>
      <c r="D572" s="27" t="s">
        <v>102</v>
      </c>
      <c r="E572" t="s">
        <v>2060</v>
      </c>
      <c r="F572" s="28">
        <v>0</v>
      </c>
      <c r="G572" s="29">
        <v>1</v>
      </c>
      <c r="H572" s="30" t="s">
        <v>2061</v>
      </c>
      <c r="I572" t="s">
        <v>65</v>
      </c>
      <c r="J5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145</v>
      </c>
      <c r="L572" t="s">
        <v>146</v>
      </c>
      <c r="N572" s="29">
        <v>1</v>
      </c>
      <c r="P572" s="29">
        <v>1</v>
      </c>
      <c r="R572" s="29">
        <v>1</v>
      </c>
      <c r="S572" t="s">
        <v>70</v>
      </c>
      <c r="T572" t="s">
        <v>72</v>
      </c>
      <c r="U572" s="32">
        <v>30</v>
      </c>
      <c r="V572">
        <v>30</v>
      </c>
      <c r="W572" t="s">
        <v>79</v>
      </c>
      <c r="X572" t="s">
        <v>171</v>
      </c>
      <c r="Y572" t="s">
        <v>2060</v>
      </c>
      <c r="AA572" t="s">
        <v>75</v>
      </c>
      <c r="AC572" t="s">
        <v>83</v>
      </c>
      <c r="AE572" t="s">
        <v>75</v>
      </c>
      <c r="AF572" t="s">
        <v>84</v>
      </c>
      <c r="AG572" t="s">
        <v>84</v>
      </c>
      <c r="AH572" s="33">
        <f t="shared" si="25"/>
      </c>
      <c r="AI572" s="33">
        <f t="shared" si="26"/>
      </c>
    </row>
    <row r="573" ht="27.6" customHeight="1" spans="1:35" x14ac:dyDescent="0.25">
      <c r="A573" s="27" t="s">
        <v>2062</v>
      </c>
      <c r="B573">
        <f t="shared" si="24"/>
        <v>0</v>
      </c>
      <c r="C573" t="s">
        <v>64</v>
      </c>
      <c r="D573" s="27" t="s">
        <v>102</v>
      </c>
      <c r="E573" t="s">
        <v>2060</v>
      </c>
      <c r="F573" s="28">
        <v>0</v>
      </c>
      <c r="G573" s="29">
        <v>1</v>
      </c>
      <c r="H573" s="30" t="s">
        <v>2063</v>
      </c>
      <c r="I573" t="s">
        <v>65</v>
      </c>
      <c r="J5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145</v>
      </c>
      <c r="L573" t="s">
        <v>146</v>
      </c>
      <c r="N573" s="29">
        <v>1</v>
      </c>
      <c r="P573" s="29">
        <v>1</v>
      </c>
      <c r="R573" s="29">
        <v>1</v>
      </c>
      <c r="S573" t="s">
        <v>70</v>
      </c>
      <c r="T573" t="s">
        <v>72</v>
      </c>
      <c r="U573" s="32">
        <v>30</v>
      </c>
      <c r="V573">
        <v>30</v>
      </c>
      <c r="W573" t="s">
        <v>79</v>
      </c>
      <c r="X573" t="s">
        <v>171</v>
      </c>
      <c r="Y573" t="s">
        <v>2060</v>
      </c>
      <c r="AA573" t="s">
        <v>75</v>
      </c>
      <c r="AC573" t="s">
        <v>83</v>
      </c>
      <c r="AE573" t="s">
        <v>75</v>
      </c>
      <c r="AF573" t="s">
        <v>84</v>
      </c>
      <c r="AG573" t="s">
        <v>84</v>
      </c>
      <c r="AH573" s="33">
        <f t="shared" si="25"/>
      </c>
      <c r="AI573" s="33">
        <f t="shared" si="26"/>
      </c>
    </row>
    <row r="574" ht="27.6" customHeight="1" spans="1:35" x14ac:dyDescent="0.25">
      <c r="A574" s="27" t="s">
        <v>2064</v>
      </c>
      <c r="B574">
        <f t="shared" si="24"/>
        <v>0</v>
      </c>
      <c r="C574" t="s">
        <v>64</v>
      </c>
      <c r="D574" s="27" t="s">
        <v>102</v>
      </c>
      <c r="E574" t="s">
        <v>2065</v>
      </c>
      <c r="F574" s="28">
        <v>0</v>
      </c>
      <c r="G574" s="29">
        <v>1</v>
      </c>
      <c r="H574" s="30" t="s">
        <v>2066</v>
      </c>
      <c r="I574" t="s">
        <v>65</v>
      </c>
      <c r="J5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145</v>
      </c>
      <c r="L574" t="s">
        <v>146</v>
      </c>
      <c r="N574" s="29">
        <v>1</v>
      </c>
      <c r="P574" s="29">
        <v>1</v>
      </c>
      <c r="R574" s="29">
        <v>1</v>
      </c>
      <c r="S574" t="s">
        <v>70</v>
      </c>
      <c r="T574" t="s">
        <v>72</v>
      </c>
      <c r="U574" s="32">
        <v>30</v>
      </c>
      <c r="V574">
        <v>30</v>
      </c>
      <c r="W574" t="s">
        <v>79</v>
      </c>
      <c r="X574" t="s">
        <v>770</v>
      </c>
      <c r="Y574" t="s">
        <v>2065</v>
      </c>
      <c r="AA574" t="s">
        <v>75</v>
      </c>
      <c r="AC574" t="s">
        <v>83</v>
      </c>
      <c r="AE574" t="s">
        <v>75</v>
      </c>
      <c r="AF574" t="s">
        <v>84</v>
      </c>
      <c r="AG574" t="s">
        <v>84</v>
      </c>
      <c r="AH574" s="33">
        <f t="shared" si="25"/>
      </c>
      <c r="AI574" s="33">
        <f t="shared" si="26"/>
      </c>
    </row>
    <row r="575" ht="27.6" customHeight="1" spans="1:35" x14ac:dyDescent="0.25">
      <c r="A575" s="27" t="s">
        <v>2067</v>
      </c>
      <c r="B575">
        <f t="shared" si="24"/>
        <v>0</v>
      </c>
      <c r="C575" t="s">
        <v>64</v>
      </c>
      <c r="D575" s="27" t="s">
        <v>102</v>
      </c>
      <c r="E575" t="s">
        <v>2068</v>
      </c>
      <c r="F575" s="28">
        <v>0</v>
      </c>
      <c r="G575" s="29">
        <v>1</v>
      </c>
      <c r="H575" s="30" t="s">
        <v>2069</v>
      </c>
      <c r="I575" t="s">
        <v>65</v>
      </c>
      <c r="J5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145</v>
      </c>
      <c r="L575" t="s">
        <v>146</v>
      </c>
      <c r="N575" s="29">
        <v>1</v>
      </c>
      <c r="P575" s="29">
        <v>1</v>
      </c>
      <c r="R575" s="29">
        <v>1</v>
      </c>
      <c r="S575" t="s">
        <v>70</v>
      </c>
      <c r="T575" t="s">
        <v>72</v>
      </c>
      <c r="U575" s="32">
        <v>30</v>
      </c>
      <c r="V575">
        <v>30</v>
      </c>
      <c r="W575" t="s">
        <v>79</v>
      </c>
      <c r="X575" t="s">
        <v>770</v>
      </c>
      <c r="Y575" t="s">
        <v>2068</v>
      </c>
      <c r="AA575" t="s">
        <v>75</v>
      </c>
      <c r="AC575" t="s">
        <v>83</v>
      </c>
      <c r="AE575" t="s">
        <v>75</v>
      </c>
      <c r="AF575" t="s">
        <v>84</v>
      </c>
      <c r="AG575" t="s">
        <v>84</v>
      </c>
      <c r="AH575" s="33">
        <f t="shared" si="25"/>
      </c>
      <c r="AI575" s="33">
        <f t="shared" si="26"/>
      </c>
    </row>
    <row r="576" ht="27.6" customHeight="1" spans="1:35" x14ac:dyDescent="0.25">
      <c r="A576" s="27" t="s">
        <v>691</v>
      </c>
      <c r="B576">
        <f t="shared" si="24"/>
        <v>0</v>
      </c>
      <c r="C576" t="s">
        <v>64</v>
      </c>
      <c r="D576" s="27" t="s">
        <v>102</v>
      </c>
      <c r="E576" t="s">
        <v>2070</v>
      </c>
      <c r="F576" s="28">
        <v>2</v>
      </c>
      <c r="G576" s="29">
        <v>1</v>
      </c>
      <c r="H576" s="30" t="s">
        <v>2071</v>
      </c>
      <c r="I576" t="s">
        <v>65</v>
      </c>
      <c r="J5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145</v>
      </c>
      <c r="L576" t="s">
        <v>146</v>
      </c>
      <c r="N576" s="29">
        <v>1</v>
      </c>
      <c r="P576" s="29">
        <v>1</v>
      </c>
      <c r="R576" s="29">
        <v>1</v>
      </c>
      <c r="S576" t="s">
        <v>70</v>
      </c>
      <c r="T576" t="s">
        <v>72</v>
      </c>
      <c r="U576" s="32">
        <v>30</v>
      </c>
      <c r="V576">
        <v>30</v>
      </c>
      <c r="W576" t="s">
        <v>79</v>
      </c>
      <c r="X576" t="s">
        <v>171</v>
      </c>
      <c r="Y576" t="s">
        <v>2072</v>
      </c>
      <c r="AA576" t="s">
        <v>75</v>
      </c>
      <c r="AC576" t="s">
        <v>83</v>
      </c>
      <c r="AE576" t="s">
        <v>75</v>
      </c>
      <c r="AF576" t="s">
        <v>84</v>
      </c>
      <c r="AG576" t="s">
        <v>84</v>
      </c>
      <c r="AH576" s="33">
        <f t="shared" si="25"/>
      </c>
      <c r="AI576" s="33">
        <f t="shared" si="26"/>
      </c>
    </row>
    <row r="577" ht="27.6" customHeight="1" spans="1:35" x14ac:dyDescent="0.25">
      <c r="A577" s="27" t="s">
        <v>2073</v>
      </c>
      <c r="B577">
        <f t="shared" si="24"/>
        <v>0</v>
      </c>
      <c r="C577" t="s">
        <v>64</v>
      </c>
      <c r="D577" s="27" t="s">
        <v>102</v>
      </c>
      <c r="E577" t="s">
        <v>2074</v>
      </c>
      <c r="F577" s="28">
        <v>0</v>
      </c>
      <c r="G577" s="29">
        <v>1</v>
      </c>
      <c r="H577" s="30" t="s">
        <v>2075</v>
      </c>
      <c r="I577" t="s">
        <v>65</v>
      </c>
      <c r="J5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145</v>
      </c>
      <c r="L577" t="s">
        <v>146</v>
      </c>
      <c r="N577" s="29">
        <v>1</v>
      </c>
      <c r="P577" s="29">
        <v>1</v>
      </c>
      <c r="R577" s="29">
        <v>1</v>
      </c>
      <c r="S577" t="s">
        <v>70</v>
      </c>
      <c r="T577" t="s">
        <v>72</v>
      </c>
      <c r="U577" s="32">
        <v>30</v>
      </c>
      <c r="V577">
        <v>30</v>
      </c>
      <c r="W577" t="s">
        <v>79</v>
      </c>
      <c r="X577" t="s">
        <v>166</v>
      </c>
      <c r="Y577" t="s">
        <v>486</v>
      </c>
      <c r="AA577" t="s">
        <v>75</v>
      </c>
      <c r="AC577" t="s">
        <v>83</v>
      </c>
      <c r="AE577" t="s">
        <v>75</v>
      </c>
      <c r="AF577" t="s">
        <v>84</v>
      </c>
      <c r="AG577" t="s">
        <v>84</v>
      </c>
      <c r="AH577" s="33">
        <f t="shared" si="25"/>
      </c>
      <c r="AI577" s="33">
        <f t="shared" si="26"/>
      </c>
    </row>
    <row r="578" ht="27.6" customHeight="1" spans="1:35" x14ac:dyDescent="0.25">
      <c r="A578" s="27" t="s">
        <v>2076</v>
      </c>
      <c r="B578">
        <f t="shared" si="24"/>
        <v>0</v>
      </c>
      <c r="C578" t="s">
        <v>64</v>
      </c>
      <c r="D578" s="27" t="s">
        <v>102</v>
      </c>
      <c r="E578" t="s">
        <v>2077</v>
      </c>
      <c r="F578" s="28">
        <v>0</v>
      </c>
      <c r="G578" s="29">
        <v>1</v>
      </c>
      <c r="H578" s="30" t="s">
        <v>2078</v>
      </c>
      <c r="I578" t="s">
        <v>65</v>
      </c>
      <c r="J5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145</v>
      </c>
      <c r="L578" t="s">
        <v>146</v>
      </c>
      <c r="N578" s="29">
        <v>1</v>
      </c>
      <c r="P578" s="29">
        <v>1</v>
      </c>
      <c r="R578" s="29">
        <v>1</v>
      </c>
      <c r="S578" t="s">
        <v>70</v>
      </c>
      <c r="T578" t="s">
        <v>72</v>
      </c>
      <c r="U578" s="32">
        <v>30</v>
      </c>
      <c r="V578">
        <v>30</v>
      </c>
      <c r="W578" t="s">
        <v>79</v>
      </c>
      <c r="X578" t="s">
        <v>599</v>
      </c>
      <c r="Y578" t="s">
        <v>2079</v>
      </c>
      <c r="AA578" t="s">
        <v>75</v>
      </c>
      <c r="AC578" t="s">
        <v>83</v>
      </c>
      <c r="AE578" t="s">
        <v>75</v>
      </c>
      <c r="AF578" t="s">
        <v>84</v>
      </c>
      <c r="AG578" t="s">
        <v>84</v>
      </c>
      <c r="AH578" s="33">
        <f t="shared" si="25"/>
      </c>
      <c r="AI578" s="33">
        <f t="shared" si="26"/>
      </c>
    </row>
    <row r="579" ht="27.6" customHeight="1" spans="1:35" x14ac:dyDescent="0.25">
      <c r="A579" s="27" t="s">
        <v>2080</v>
      </c>
      <c r="B579">
        <f t="shared" si="24"/>
        <v>0</v>
      </c>
      <c r="C579" t="s">
        <v>64</v>
      </c>
      <c r="D579" s="27" t="s">
        <v>102</v>
      </c>
      <c r="E579" t="s">
        <v>2081</v>
      </c>
      <c r="F579" s="28">
        <v>0</v>
      </c>
      <c r="G579" s="29">
        <v>1</v>
      </c>
      <c r="H579" s="30" t="s">
        <v>2082</v>
      </c>
      <c r="I579" t="s">
        <v>65</v>
      </c>
      <c r="J5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145</v>
      </c>
      <c r="L579" t="s">
        <v>146</v>
      </c>
      <c r="N579" s="29">
        <v>1</v>
      </c>
      <c r="P579" s="29">
        <v>1</v>
      </c>
      <c r="R579" s="29">
        <v>1</v>
      </c>
      <c r="S579" t="s">
        <v>70</v>
      </c>
      <c r="T579" t="s">
        <v>72</v>
      </c>
      <c r="U579" s="32">
        <v>30</v>
      </c>
      <c r="V579">
        <v>30</v>
      </c>
      <c r="W579" t="s">
        <v>79</v>
      </c>
      <c r="X579" t="s">
        <v>599</v>
      </c>
      <c r="Y579" t="s">
        <v>2083</v>
      </c>
      <c r="AA579" t="s">
        <v>75</v>
      </c>
      <c r="AC579" t="s">
        <v>83</v>
      </c>
      <c r="AE579" t="s">
        <v>75</v>
      </c>
      <c r="AF579" t="s">
        <v>84</v>
      </c>
      <c r="AG579" t="s">
        <v>84</v>
      </c>
      <c r="AH579" s="33">
        <f t="shared" si="25"/>
      </c>
      <c r="AI579" s="33">
        <f t="shared" si="26"/>
      </c>
    </row>
    <row r="580" ht="27.6" customHeight="1" spans="1:35" x14ac:dyDescent="0.25">
      <c r="A580" s="27" t="s">
        <v>2052</v>
      </c>
      <c r="B580">
        <f t="shared" si="24"/>
        <v>0</v>
      </c>
      <c r="C580" t="s">
        <v>64</v>
      </c>
      <c r="D580" s="27" t="s">
        <v>2084</v>
      </c>
      <c r="E580" t="s">
        <v>2085</v>
      </c>
      <c r="F580" s="28">
        <v>0</v>
      </c>
      <c r="G580" s="29">
        <v>1</v>
      </c>
      <c r="H580" s="30" t="s">
        <v>2086</v>
      </c>
      <c r="I580" t="s">
        <v>65</v>
      </c>
      <c r="J5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145</v>
      </c>
      <c r="L580" t="s">
        <v>146</v>
      </c>
      <c r="N580" s="29">
        <v>1</v>
      </c>
      <c r="P580" s="29">
        <v>1</v>
      </c>
      <c r="R580" s="29">
        <v>1</v>
      </c>
      <c r="S580" t="s">
        <v>70</v>
      </c>
      <c r="T580" t="s">
        <v>72</v>
      </c>
      <c r="U580" s="32">
        <v>30</v>
      </c>
      <c r="V580">
        <v>30</v>
      </c>
      <c r="W580" t="s">
        <v>79</v>
      </c>
      <c r="X580" t="s">
        <v>2087</v>
      </c>
      <c r="Y580" t="s">
        <v>2088</v>
      </c>
      <c r="AA580" t="s">
        <v>75</v>
      </c>
      <c r="AC580" t="s">
        <v>83</v>
      </c>
      <c r="AE580" t="s">
        <v>75</v>
      </c>
      <c r="AF580" t="s">
        <v>84</v>
      </c>
      <c r="AG580" t="s">
        <v>84</v>
      </c>
      <c r="AH580" s="33">
        <f t="shared" si="25"/>
      </c>
      <c r="AI580" s="33">
        <f t="shared" si="26"/>
      </c>
    </row>
    <row r="581" ht="27.6" customHeight="1" spans="1:35" x14ac:dyDescent="0.25">
      <c r="A581" s="27" t="s">
        <v>1123</v>
      </c>
      <c r="B581">
        <f t="shared" si="24"/>
        <v>0</v>
      </c>
      <c r="C581" t="s">
        <v>64</v>
      </c>
      <c r="D581" s="27" t="s">
        <v>2089</v>
      </c>
      <c r="E581" t="s">
        <v>2090</v>
      </c>
      <c r="F581" s="28">
        <v>0</v>
      </c>
      <c r="G581" s="29">
        <v>1</v>
      </c>
      <c r="H581" s="30" t="s">
        <v>2091</v>
      </c>
      <c r="I581" t="s">
        <v>65</v>
      </c>
      <c r="J5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145</v>
      </c>
      <c r="L581" t="s">
        <v>146</v>
      </c>
      <c r="N581" s="29">
        <v>1</v>
      </c>
      <c r="P581" s="29">
        <v>1</v>
      </c>
      <c r="R581" s="29">
        <v>1</v>
      </c>
      <c r="S581" t="s">
        <v>70</v>
      </c>
      <c r="T581" t="s">
        <v>72</v>
      </c>
      <c r="U581" s="32">
        <v>30</v>
      </c>
      <c r="V581">
        <v>30</v>
      </c>
      <c r="W581" t="s">
        <v>79</v>
      </c>
      <c r="X581" t="s">
        <v>687</v>
      </c>
      <c r="Y581" t="s">
        <v>2092</v>
      </c>
      <c r="AA581" t="s">
        <v>75</v>
      </c>
      <c r="AC581" t="s">
        <v>83</v>
      </c>
      <c r="AE581" t="s">
        <v>75</v>
      </c>
      <c r="AF581" t="s">
        <v>84</v>
      </c>
      <c r="AG581" t="s">
        <v>84</v>
      </c>
      <c r="AH581" s="33">
        <f t="shared" si="25"/>
      </c>
      <c r="AI581" s="33">
        <f t="shared" si="26"/>
      </c>
    </row>
    <row r="582" ht="27.6" customHeight="1" spans="1:35" x14ac:dyDescent="0.25">
      <c r="A582" s="27" t="s">
        <v>1123</v>
      </c>
      <c r="B582">
        <f t="shared" si="24"/>
        <v>0</v>
      </c>
      <c r="C582" t="s">
        <v>64</v>
      </c>
      <c r="D582" s="27" t="s">
        <v>102</v>
      </c>
      <c r="E582" t="s">
        <v>2093</v>
      </c>
      <c r="F582" s="28">
        <v>0</v>
      </c>
      <c r="G582" s="29">
        <v>1</v>
      </c>
      <c r="H582" s="30" t="s">
        <v>2094</v>
      </c>
      <c r="I582" t="s">
        <v>65</v>
      </c>
      <c r="J5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145</v>
      </c>
      <c r="L582" t="s">
        <v>146</v>
      </c>
      <c r="N582" s="29">
        <v>1</v>
      </c>
      <c r="P582" s="29">
        <v>1</v>
      </c>
      <c r="R582" s="29">
        <v>1</v>
      </c>
      <c r="S582" t="s">
        <v>70</v>
      </c>
      <c r="T582" t="s">
        <v>72</v>
      </c>
      <c r="U582" s="32">
        <v>30</v>
      </c>
      <c r="V582">
        <v>30</v>
      </c>
      <c r="W582" t="s">
        <v>79</v>
      </c>
      <c r="X582" t="s">
        <v>687</v>
      </c>
      <c r="Y582" t="s">
        <v>2093</v>
      </c>
      <c r="AA582" t="s">
        <v>75</v>
      </c>
      <c r="AC582" t="s">
        <v>83</v>
      </c>
      <c r="AE582" t="s">
        <v>75</v>
      </c>
      <c r="AF582" t="s">
        <v>84</v>
      </c>
      <c r="AG582" t="s">
        <v>84</v>
      </c>
      <c r="AH582" s="33">
        <f t="shared" si="25"/>
      </c>
      <c r="AI582" s="33">
        <f t="shared" si="26"/>
      </c>
    </row>
    <row r="583" ht="27.6" customHeight="1" spans="1:35" x14ac:dyDescent="0.25">
      <c r="A583" s="27" t="s">
        <v>2095</v>
      </c>
      <c r="B583">
        <f t="shared" si="24"/>
        <v>0</v>
      </c>
      <c r="C583" t="s">
        <v>64</v>
      </c>
      <c r="D583" s="27" t="s">
        <v>2096</v>
      </c>
      <c r="E583" t="s">
        <v>2097</v>
      </c>
      <c r="F583" s="28">
        <v>0</v>
      </c>
      <c r="G583" s="29">
        <v>1</v>
      </c>
      <c r="H583" s="30" t="s">
        <v>2098</v>
      </c>
      <c r="I583" t="s">
        <v>65</v>
      </c>
      <c r="J5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145</v>
      </c>
      <c r="L583" t="s">
        <v>146</v>
      </c>
      <c r="N583" s="29">
        <v>1</v>
      </c>
      <c r="P583" s="29">
        <v>1</v>
      </c>
      <c r="R583" s="29">
        <v>1</v>
      </c>
      <c r="S583" t="s">
        <v>70</v>
      </c>
      <c r="T583" t="s">
        <v>72</v>
      </c>
      <c r="U583" s="32">
        <v>30</v>
      </c>
      <c r="V583">
        <v>30</v>
      </c>
      <c r="W583" t="s">
        <v>79</v>
      </c>
      <c r="X583" t="s">
        <v>770</v>
      </c>
      <c r="Y583" t="s">
        <v>2099</v>
      </c>
      <c r="AA583" t="s">
        <v>75</v>
      </c>
      <c r="AC583" t="s">
        <v>83</v>
      </c>
      <c r="AE583" t="s">
        <v>75</v>
      </c>
      <c r="AF583" t="s">
        <v>84</v>
      </c>
      <c r="AG583" t="s">
        <v>84</v>
      </c>
      <c r="AH583" s="33">
        <f t="shared" si="25"/>
      </c>
      <c r="AI583" s="33">
        <f t="shared" si="26"/>
      </c>
    </row>
    <row r="584" ht="27.6" customHeight="1" spans="1:35" x14ac:dyDescent="0.25">
      <c r="A584" s="27" t="s">
        <v>2100</v>
      </c>
      <c r="B584">
        <f t="shared" ref="B584:B647" si="27">LEN(INDIRECT(ADDRESS(ROW() + (0),COLUMN() + (-1))))</f>
        <v>0</v>
      </c>
      <c r="C584" t="s">
        <v>64</v>
      </c>
      <c r="D584" s="27" t="s">
        <v>102</v>
      </c>
      <c r="E584" t="s">
        <v>2101</v>
      </c>
      <c r="F584" s="28">
        <v>0</v>
      </c>
      <c r="G584" s="29">
        <v>1</v>
      </c>
      <c r="H584" s="30" t="s">
        <v>2102</v>
      </c>
      <c r="I584" t="s">
        <v>65</v>
      </c>
      <c r="J5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145</v>
      </c>
      <c r="L584" t="s">
        <v>146</v>
      </c>
      <c r="N584" s="29">
        <v>1</v>
      </c>
      <c r="P584" s="29">
        <v>1</v>
      </c>
      <c r="R584" s="29">
        <v>1</v>
      </c>
      <c r="S584" t="s">
        <v>70</v>
      </c>
      <c r="T584" t="s">
        <v>72</v>
      </c>
      <c r="U584" s="32">
        <v>30</v>
      </c>
      <c r="V584">
        <v>30</v>
      </c>
      <c r="W584" t="s">
        <v>79</v>
      </c>
      <c r="X584" t="s">
        <v>240</v>
      </c>
      <c r="Y584" t="s">
        <v>2103</v>
      </c>
      <c r="AA584" t="s">
        <v>75</v>
      </c>
      <c r="AC584" t="s">
        <v>83</v>
      </c>
      <c r="AE584" t="s">
        <v>75</v>
      </c>
      <c r="AF584" t="s">
        <v>84</v>
      </c>
      <c r="AG584" t="s">
        <v>84</v>
      </c>
      <c r="AH584" s="33">
        <f t="shared" ref="AH584:AH647" si="28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584" s="33">
        <f t="shared" ref="AI584:AI647" si="29">IF(TRIM(INDIRECT("A"&amp;ROW())) &lt;&gt; "",FALSE,"")</f>
      </c>
    </row>
    <row r="585" ht="27.6" customHeight="1" spans="1:35" x14ac:dyDescent="0.25">
      <c r="A585" s="27" t="s">
        <v>2104</v>
      </c>
      <c r="B585">
        <f t="shared" si="27"/>
        <v>0</v>
      </c>
      <c r="C585" t="s">
        <v>64</v>
      </c>
      <c r="D585" s="27" t="s">
        <v>2105</v>
      </c>
      <c r="E585" t="s">
        <v>2106</v>
      </c>
      <c r="F585" s="28">
        <v>2</v>
      </c>
      <c r="G585" s="29">
        <v>1</v>
      </c>
      <c r="H585" s="30" t="s">
        <v>2107</v>
      </c>
      <c r="I585" t="s">
        <v>65</v>
      </c>
      <c r="J5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145</v>
      </c>
      <c r="L585" t="s">
        <v>146</v>
      </c>
      <c r="N585" s="29">
        <v>1</v>
      </c>
      <c r="P585" s="29">
        <v>1</v>
      </c>
      <c r="R585" s="29">
        <v>1</v>
      </c>
      <c r="S585" t="s">
        <v>70</v>
      </c>
      <c r="T585" t="s">
        <v>72</v>
      </c>
      <c r="U585" s="32">
        <v>30</v>
      </c>
      <c r="V585">
        <v>30</v>
      </c>
      <c r="W585" t="s">
        <v>79</v>
      </c>
      <c r="X585" t="s">
        <v>240</v>
      </c>
      <c r="Y585" t="s">
        <v>2106</v>
      </c>
      <c r="AA585" t="s">
        <v>75</v>
      </c>
      <c r="AC585" t="s">
        <v>83</v>
      </c>
      <c r="AE585" t="s">
        <v>75</v>
      </c>
      <c r="AF585" t="s">
        <v>84</v>
      </c>
      <c r="AG585" t="s">
        <v>84</v>
      </c>
      <c r="AH585" s="33">
        <f t="shared" si="28"/>
      </c>
      <c r="AI585" s="33">
        <f t="shared" si="29"/>
      </c>
    </row>
    <row r="586" ht="27.6" customHeight="1" spans="1:35" x14ac:dyDescent="0.25">
      <c r="A586" s="27" t="s">
        <v>2108</v>
      </c>
      <c r="B586">
        <f t="shared" si="27"/>
        <v>0</v>
      </c>
      <c r="C586" t="s">
        <v>64</v>
      </c>
      <c r="D586" s="27" t="s">
        <v>2109</v>
      </c>
      <c r="E586" t="s">
        <v>2110</v>
      </c>
      <c r="F586" s="28">
        <v>0</v>
      </c>
      <c r="G586" s="29">
        <v>1</v>
      </c>
      <c r="H586" s="30" t="s">
        <v>2111</v>
      </c>
      <c r="I586" t="s">
        <v>65</v>
      </c>
      <c r="J5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145</v>
      </c>
      <c r="L586" t="s">
        <v>146</v>
      </c>
      <c r="N586" s="29">
        <v>1</v>
      </c>
      <c r="P586" s="29">
        <v>1</v>
      </c>
      <c r="R586" s="29">
        <v>1</v>
      </c>
      <c r="S586" t="s">
        <v>70</v>
      </c>
      <c r="T586" t="s">
        <v>72</v>
      </c>
      <c r="U586" s="32">
        <v>30</v>
      </c>
      <c r="V586">
        <v>30</v>
      </c>
      <c r="W586" t="s">
        <v>79</v>
      </c>
      <c r="X586" t="s">
        <v>240</v>
      </c>
      <c r="Y586" t="s">
        <v>2112</v>
      </c>
      <c r="AA586" t="s">
        <v>75</v>
      </c>
      <c r="AC586" t="s">
        <v>83</v>
      </c>
      <c r="AE586" t="s">
        <v>75</v>
      </c>
      <c r="AF586" t="s">
        <v>84</v>
      </c>
      <c r="AG586" t="s">
        <v>84</v>
      </c>
      <c r="AH586" s="33">
        <f t="shared" si="28"/>
      </c>
      <c r="AI586" s="33">
        <f t="shared" si="29"/>
      </c>
    </row>
    <row r="587" ht="27.6" customHeight="1" spans="1:35" x14ac:dyDescent="0.25">
      <c r="A587" s="27" t="s">
        <v>2113</v>
      </c>
      <c r="B587">
        <f t="shared" si="27"/>
        <v>0</v>
      </c>
      <c r="C587" t="s">
        <v>64</v>
      </c>
      <c r="D587" s="27" t="s">
        <v>102</v>
      </c>
      <c r="E587" t="s">
        <v>2114</v>
      </c>
      <c r="F587" s="28">
        <v>0</v>
      </c>
      <c r="G587" s="29">
        <v>1</v>
      </c>
      <c r="H587" s="30" t="s">
        <v>2115</v>
      </c>
      <c r="I587" t="s">
        <v>65</v>
      </c>
      <c r="J5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145</v>
      </c>
      <c r="L587" t="s">
        <v>146</v>
      </c>
      <c r="N587" s="29">
        <v>1</v>
      </c>
      <c r="P587" s="29">
        <v>1</v>
      </c>
      <c r="R587" s="29">
        <v>1</v>
      </c>
      <c r="S587" t="s">
        <v>70</v>
      </c>
      <c r="T587" t="s">
        <v>72</v>
      </c>
      <c r="U587" s="32">
        <v>30</v>
      </c>
      <c r="V587">
        <v>30</v>
      </c>
      <c r="W587" t="s">
        <v>79</v>
      </c>
      <c r="X587" t="s">
        <v>240</v>
      </c>
      <c r="Y587" t="s">
        <v>2114</v>
      </c>
      <c r="AA587" t="s">
        <v>75</v>
      </c>
      <c r="AC587" t="s">
        <v>83</v>
      </c>
      <c r="AE587" t="s">
        <v>75</v>
      </c>
      <c r="AF587" t="s">
        <v>84</v>
      </c>
      <c r="AG587" t="s">
        <v>84</v>
      </c>
      <c r="AH587" s="33">
        <f t="shared" si="28"/>
      </c>
      <c r="AI587" s="33">
        <f t="shared" si="29"/>
      </c>
    </row>
    <row r="588" ht="27.6" customHeight="1" spans="1:35" x14ac:dyDescent="0.25">
      <c r="A588" s="27" t="s">
        <v>2116</v>
      </c>
      <c r="B588">
        <f t="shared" si="27"/>
        <v>0</v>
      </c>
      <c r="C588" t="s">
        <v>64</v>
      </c>
      <c r="D588" s="27" t="s">
        <v>2117</v>
      </c>
      <c r="E588" t="s">
        <v>2118</v>
      </c>
      <c r="F588" s="28">
        <v>0</v>
      </c>
      <c r="G588" s="29">
        <v>1</v>
      </c>
      <c r="H588" s="30" t="s">
        <v>2119</v>
      </c>
      <c r="I588" t="s">
        <v>65</v>
      </c>
      <c r="J5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145</v>
      </c>
      <c r="L588" t="s">
        <v>146</v>
      </c>
      <c r="N588" s="29">
        <v>1</v>
      </c>
      <c r="P588" s="29">
        <v>1</v>
      </c>
      <c r="R588" s="29">
        <v>1</v>
      </c>
      <c r="S588" t="s">
        <v>70</v>
      </c>
      <c r="T588" t="s">
        <v>72</v>
      </c>
      <c r="U588" s="32">
        <v>30</v>
      </c>
      <c r="V588">
        <v>30</v>
      </c>
      <c r="W588" t="s">
        <v>79</v>
      </c>
      <c r="X588" t="s">
        <v>980</v>
      </c>
      <c r="Y588" t="s">
        <v>2118</v>
      </c>
      <c r="AA588" t="s">
        <v>75</v>
      </c>
      <c r="AC588" t="s">
        <v>83</v>
      </c>
      <c r="AE588" t="s">
        <v>75</v>
      </c>
      <c r="AF588" t="s">
        <v>84</v>
      </c>
      <c r="AG588" t="s">
        <v>84</v>
      </c>
      <c r="AH588" s="33">
        <f t="shared" si="28"/>
      </c>
      <c r="AI588" s="33">
        <f t="shared" si="29"/>
      </c>
    </row>
    <row r="589" ht="27.6" customHeight="1" spans="1:35" x14ac:dyDescent="0.25">
      <c r="A589" s="27" t="s">
        <v>2120</v>
      </c>
      <c r="B589">
        <f t="shared" si="27"/>
        <v>0</v>
      </c>
      <c r="C589" t="s">
        <v>64</v>
      </c>
      <c r="D589" s="27" t="s">
        <v>102</v>
      </c>
      <c r="E589" t="s">
        <v>2121</v>
      </c>
      <c r="F589" s="28">
        <v>0</v>
      </c>
      <c r="G589" s="29">
        <v>1</v>
      </c>
      <c r="H589" s="30" t="s">
        <v>2122</v>
      </c>
      <c r="I589" t="s">
        <v>65</v>
      </c>
      <c r="J5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145</v>
      </c>
      <c r="L589" t="s">
        <v>146</v>
      </c>
      <c r="N589" s="29">
        <v>1</v>
      </c>
      <c r="P589" s="29">
        <v>1</v>
      </c>
      <c r="R589" s="29">
        <v>1</v>
      </c>
      <c r="S589" t="s">
        <v>70</v>
      </c>
      <c r="T589" t="s">
        <v>72</v>
      </c>
      <c r="U589" s="32">
        <v>30</v>
      </c>
      <c r="V589">
        <v>30</v>
      </c>
      <c r="W589" t="s">
        <v>79</v>
      </c>
      <c r="X589" t="s">
        <v>980</v>
      </c>
      <c r="Y589" t="s">
        <v>2123</v>
      </c>
      <c r="AA589" t="s">
        <v>75</v>
      </c>
      <c r="AC589" t="s">
        <v>83</v>
      </c>
      <c r="AE589" t="s">
        <v>75</v>
      </c>
      <c r="AF589" t="s">
        <v>84</v>
      </c>
      <c r="AG589" t="s">
        <v>84</v>
      </c>
      <c r="AH589" s="33">
        <f t="shared" si="28"/>
      </c>
      <c r="AI589" s="33">
        <f t="shared" si="29"/>
      </c>
    </row>
    <row r="590" ht="27.6" customHeight="1" spans="1:35" x14ac:dyDescent="0.25">
      <c r="A590" s="27" t="s">
        <v>2124</v>
      </c>
      <c r="B590">
        <f t="shared" si="27"/>
        <v>0</v>
      </c>
      <c r="C590" t="s">
        <v>64</v>
      </c>
      <c r="D590" s="27" t="s">
        <v>2125</v>
      </c>
      <c r="E590" t="s">
        <v>2126</v>
      </c>
      <c r="F590" s="28">
        <v>0</v>
      </c>
      <c r="G590" s="29">
        <v>1</v>
      </c>
      <c r="H590" s="30" t="s">
        <v>2127</v>
      </c>
      <c r="I590" t="s">
        <v>65</v>
      </c>
      <c r="J5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145</v>
      </c>
      <c r="L590" t="s">
        <v>146</v>
      </c>
      <c r="N590" s="29">
        <v>1</v>
      </c>
      <c r="P590" s="29">
        <v>1</v>
      </c>
      <c r="R590" s="29">
        <v>1</v>
      </c>
      <c r="S590" t="s">
        <v>70</v>
      </c>
      <c r="T590" t="s">
        <v>72</v>
      </c>
      <c r="U590" s="32">
        <v>30</v>
      </c>
      <c r="V590">
        <v>30</v>
      </c>
      <c r="W590" t="s">
        <v>79</v>
      </c>
      <c r="X590" t="s">
        <v>980</v>
      </c>
      <c r="Y590" t="s">
        <v>2126</v>
      </c>
      <c r="AA590" t="s">
        <v>75</v>
      </c>
      <c r="AC590" t="s">
        <v>83</v>
      </c>
      <c r="AE590" t="s">
        <v>75</v>
      </c>
      <c r="AF590" t="s">
        <v>84</v>
      </c>
      <c r="AG590" t="s">
        <v>84</v>
      </c>
      <c r="AH590" s="33">
        <f t="shared" si="28"/>
      </c>
      <c r="AI590" s="33">
        <f t="shared" si="29"/>
      </c>
    </row>
    <row r="591" ht="27.6" customHeight="1" spans="1:35" x14ac:dyDescent="0.25">
      <c r="A591" s="27" t="s">
        <v>2128</v>
      </c>
      <c r="B591">
        <f t="shared" si="27"/>
        <v>0</v>
      </c>
      <c r="C591" t="s">
        <v>64</v>
      </c>
      <c r="D591" s="27" t="s">
        <v>102</v>
      </c>
      <c r="E591" t="s">
        <v>2129</v>
      </c>
      <c r="F591" s="28">
        <v>0</v>
      </c>
      <c r="G591" s="29">
        <v>1</v>
      </c>
      <c r="H591" s="30" t="s">
        <v>2130</v>
      </c>
      <c r="I591" t="s">
        <v>65</v>
      </c>
      <c r="J5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145</v>
      </c>
      <c r="L591" t="s">
        <v>146</v>
      </c>
      <c r="N591" s="29">
        <v>1</v>
      </c>
      <c r="P591" s="29">
        <v>1</v>
      </c>
      <c r="R591" s="29">
        <v>1</v>
      </c>
      <c r="S591" t="s">
        <v>70</v>
      </c>
      <c r="T591" t="s">
        <v>72</v>
      </c>
      <c r="U591" s="32">
        <v>30</v>
      </c>
      <c r="V591">
        <v>30</v>
      </c>
      <c r="W591" t="s">
        <v>79</v>
      </c>
      <c r="X591" t="s">
        <v>980</v>
      </c>
      <c r="Y591" t="s">
        <v>2129</v>
      </c>
      <c r="AA591" t="s">
        <v>75</v>
      </c>
      <c r="AC591" t="s">
        <v>83</v>
      </c>
      <c r="AE591" t="s">
        <v>75</v>
      </c>
      <c r="AF591" t="s">
        <v>84</v>
      </c>
      <c r="AG591" t="s">
        <v>84</v>
      </c>
      <c r="AH591" s="33">
        <f t="shared" si="28"/>
      </c>
      <c r="AI591" s="33">
        <f t="shared" si="29"/>
      </c>
    </row>
    <row r="592" ht="27.6" customHeight="1" spans="1:35" x14ac:dyDescent="0.25">
      <c r="A592" s="27" t="s">
        <v>781</v>
      </c>
      <c r="B592">
        <f t="shared" si="27"/>
        <v>0</v>
      </c>
      <c r="C592" t="s">
        <v>64</v>
      </c>
      <c r="D592" s="27" t="s">
        <v>102</v>
      </c>
      <c r="E592" t="s">
        <v>2131</v>
      </c>
      <c r="F592" s="28">
        <v>0</v>
      </c>
      <c r="G592" s="29">
        <v>1</v>
      </c>
      <c r="H592" s="30" t="s">
        <v>2132</v>
      </c>
      <c r="I592" t="s">
        <v>65</v>
      </c>
      <c r="J5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145</v>
      </c>
      <c r="L592" t="s">
        <v>146</v>
      </c>
      <c r="N592" s="29">
        <v>1</v>
      </c>
      <c r="P592" s="29">
        <v>1</v>
      </c>
      <c r="R592" s="29">
        <v>1</v>
      </c>
      <c r="S592" t="s">
        <v>70</v>
      </c>
      <c r="T592" t="s">
        <v>72</v>
      </c>
      <c r="U592" s="32">
        <v>30</v>
      </c>
      <c r="V592">
        <v>30</v>
      </c>
      <c r="W592" t="s">
        <v>79</v>
      </c>
      <c r="X592" t="s">
        <v>980</v>
      </c>
      <c r="Y592" t="s">
        <v>2133</v>
      </c>
      <c r="AA592" t="s">
        <v>75</v>
      </c>
      <c r="AC592" t="s">
        <v>83</v>
      </c>
      <c r="AE592" t="s">
        <v>75</v>
      </c>
      <c r="AF592" t="s">
        <v>84</v>
      </c>
      <c r="AG592" t="s">
        <v>84</v>
      </c>
      <c r="AH592" s="33">
        <f t="shared" si="28"/>
      </c>
      <c r="AI592" s="33">
        <f t="shared" si="29"/>
      </c>
    </row>
    <row r="593" ht="27.6" customHeight="1" spans="1:35" x14ac:dyDescent="0.25">
      <c r="A593" s="27" t="s">
        <v>2134</v>
      </c>
      <c r="B593">
        <f t="shared" si="27"/>
        <v>0</v>
      </c>
      <c r="C593" t="s">
        <v>64</v>
      </c>
      <c r="D593" s="27" t="s">
        <v>102</v>
      </c>
      <c r="E593" t="s">
        <v>2135</v>
      </c>
      <c r="F593" s="28">
        <v>0</v>
      </c>
      <c r="G593" s="29">
        <v>1</v>
      </c>
      <c r="H593" s="30" t="s">
        <v>2136</v>
      </c>
      <c r="I593" t="s">
        <v>65</v>
      </c>
      <c r="J5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145</v>
      </c>
      <c r="L593" t="s">
        <v>146</v>
      </c>
      <c r="N593" s="29">
        <v>1</v>
      </c>
      <c r="P593" s="29">
        <v>1</v>
      </c>
      <c r="R593" s="29">
        <v>1</v>
      </c>
      <c r="S593" t="s">
        <v>70</v>
      </c>
      <c r="T593" t="s">
        <v>72</v>
      </c>
      <c r="U593" s="32">
        <v>30</v>
      </c>
      <c r="V593">
        <v>30</v>
      </c>
      <c r="W593" t="s">
        <v>79</v>
      </c>
      <c r="X593" t="s">
        <v>980</v>
      </c>
      <c r="Y593" t="s">
        <v>2135</v>
      </c>
      <c r="AA593" t="s">
        <v>75</v>
      </c>
      <c r="AC593" t="s">
        <v>83</v>
      </c>
      <c r="AE593" t="s">
        <v>75</v>
      </c>
      <c r="AF593" t="s">
        <v>84</v>
      </c>
      <c r="AG593" t="s">
        <v>84</v>
      </c>
      <c r="AH593" s="33">
        <f t="shared" si="28"/>
      </c>
      <c r="AI593" s="33">
        <f t="shared" si="29"/>
      </c>
    </row>
    <row r="594" ht="27.6" customHeight="1" spans="1:35" x14ac:dyDescent="0.25">
      <c r="A594" s="27" t="s">
        <v>2137</v>
      </c>
      <c r="B594">
        <f t="shared" si="27"/>
        <v>0</v>
      </c>
      <c r="C594" t="s">
        <v>64</v>
      </c>
      <c r="D594" s="27" t="s">
        <v>2138</v>
      </c>
      <c r="E594" t="s">
        <v>2139</v>
      </c>
      <c r="F594" s="28">
        <v>0</v>
      </c>
      <c r="G594" s="29">
        <v>1</v>
      </c>
      <c r="H594" s="30" t="s">
        <v>2140</v>
      </c>
      <c r="I594" t="s">
        <v>65</v>
      </c>
      <c r="J5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145</v>
      </c>
      <c r="L594" t="s">
        <v>146</v>
      </c>
      <c r="N594" s="29">
        <v>1</v>
      </c>
      <c r="P594" s="29">
        <v>1</v>
      </c>
      <c r="R594" s="29">
        <v>1</v>
      </c>
      <c r="S594" t="s">
        <v>70</v>
      </c>
      <c r="T594" t="s">
        <v>72</v>
      </c>
      <c r="U594" s="32">
        <v>30</v>
      </c>
      <c r="V594">
        <v>30</v>
      </c>
      <c r="W594" t="s">
        <v>79</v>
      </c>
      <c r="X594" t="s">
        <v>240</v>
      </c>
      <c r="Y594" t="s">
        <v>652</v>
      </c>
      <c r="AA594" t="s">
        <v>75</v>
      </c>
      <c r="AC594" t="s">
        <v>83</v>
      </c>
      <c r="AE594" t="s">
        <v>75</v>
      </c>
      <c r="AF594" t="s">
        <v>84</v>
      </c>
      <c r="AG594" t="s">
        <v>84</v>
      </c>
      <c r="AH594" s="33">
        <f t="shared" si="28"/>
      </c>
      <c r="AI594" s="33">
        <f t="shared" si="29"/>
      </c>
    </row>
    <row r="595" ht="27.6" customHeight="1" spans="1:35" x14ac:dyDescent="0.25">
      <c r="A595" s="27" t="s">
        <v>2141</v>
      </c>
      <c r="B595">
        <f t="shared" si="27"/>
        <v>0</v>
      </c>
      <c r="C595" t="s">
        <v>64</v>
      </c>
      <c r="D595" s="27" t="s">
        <v>102</v>
      </c>
      <c r="E595" t="s">
        <v>2142</v>
      </c>
      <c r="F595" s="28">
        <v>0</v>
      </c>
      <c r="G595" s="29">
        <v>1</v>
      </c>
      <c r="H595" s="30" t="s">
        <v>2143</v>
      </c>
      <c r="I595" t="s">
        <v>65</v>
      </c>
      <c r="J5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145</v>
      </c>
      <c r="L595" t="s">
        <v>146</v>
      </c>
      <c r="N595" s="29">
        <v>1</v>
      </c>
      <c r="P595" s="29">
        <v>1</v>
      </c>
      <c r="R595" s="29">
        <v>1</v>
      </c>
      <c r="S595" t="s">
        <v>70</v>
      </c>
      <c r="T595" t="s">
        <v>72</v>
      </c>
      <c r="U595" s="32">
        <v>30</v>
      </c>
      <c r="V595">
        <v>30</v>
      </c>
      <c r="W595" t="s">
        <v>79</v>
      </c>
      <c r="X595" t="s">
        <v>240</v>
      </c>
      <c r="Y595" t="s">
        <v>2142</v>
      </c>
      <c r="AA595" t="s">
        <v>75</v>
      </c>
      <c r="AC595" t="s">
        <v>83</v>
      </c>
      <c r="AE595" t="s">
        <v>75</v>
      </c>
      <c r="AF595" t="s">
        <v>84</v>
      </c>
      <c r="AG595" t="s">
        <v>84</v>
      </c>
      <c r="AH595" s="33">
        <f t="shared" si="28"/>
      </c>
      <c r="AI595" s="33">
        <f t="shared" si="29"/>
      </c>
    </row>
    <row r="596" ht="27.6" customHeight="1" spans="1:35" x14ac:dyDescent="0.25">
      <c r="A596" s="27" t="s">
        <v>2144</v>
      </c>
      <c r="B596">
        <f t="shared" si="27"/>
        <v>0</v>
      </c>
      <c r="C596" t="s">
        <v>64</v>
      </c>
      <c r="D596" s="27" t="s">
        <v>102</v>
      </c>
      <c r="E596" t="s">
        <v>665</v>
      </c>
      <c r="F596" s="28">
        <v>0</v>
      </c>
      <c r="G596" s="29">
        <v>2</v>
      </c>
      <c r="H596" s="30" t="s">
        <v>2145</v>
      </c>
      <c r="I596" t="s">
        <v>65</v>
      </c>
      <c r="J5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145</v>
      </c>
      <c r="L596" t="s">
        <v>146</v>
      </c>
      <c r="N596" s="29">
        <v>2</v>
      </c>
      <c r="P596" s="29">
        <v>2</v>
      </c>
      <c r="R596" s="29">
        <v>2</v>
      </c>
      <c r="S596" t="s">
        <v>70</v>
      </c>
      <c r="T596" t="s">
        <v>72</v>
      </c>
      <c r="U596" s="32">
        <v>30</v>
      </c>
      <c r="V596">
        <v>30</v>
      </c>
      <c r="W596" t="s">
        <v>79</v>
      </c>
      <c r="X596" t="s">
        <v>240</v>
      </c>
      <c r="Y596" t="s">
        <v>663</v>
      </c>
      <c r="AA596" t="s">
        <v>75</v>
      </c>
      <c r="AC596" t="s">
        <v>83</v>
      </c>
      <c r="AE596" t="s">
        <v>75</v>
      </c>
      <c r="AF596" t="s">
        <v>84</v>
      </c>
      <c r="AG596" t="s">
        <v>84</v>
      </c>
      <c r="AH596" s="33">
        <f t="shared" si="28"/>
      </c>
      <c r="AI596" s="33">
        <f t="shared" si="29"/>
      </c>
    </row>
    <row r="597" ht="27.6" customHeight="1" spans="1:35" x14ac:dyDescent="0.25">
      <c r="A597" s="27" t="s">
        <v>2146</v>
      </c>
      <c r="B597">
        <f t="shared" si="27"/>
        <v>0</v>
      </c>
      <c r="C597" t="s">
        <v>64</v>
      </c>
      <c r="D597" s="27" t="s">
        <v>102</v>
      </c>
      <c r="E597" t="s">
        <v>2147</v>
      </c>
      <c r="F597" s="28">
        <v>0</v>
      </c>
      <c r="G597" s="29">
        <v>1</v>
      </c>
      <c r="H597" s="30" t="s">
        <v>2148</v>
      </c>
      <c r="I597" t="s">
        <v>65</v>
      </c>
      <c r="J5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145</v>
      </c>
      <c r="L597" t="s">
        <v>146</v>
      </c>
      <c r="N597" s="29">
        <v>1</v>
      </c>
      <c r="P597" s="29">
        <v>1</v>
      </c>
      <c r="R597" s="29">
        <v>1</v>
      </c>
      <c r="S597" t="s">
        <v>70</v>
      </c>
      <c r="T597" t="s">
        <v>72</v>
      </c>
      <c r="U597" s="32">
        <v>30</v>
      </c>
      <c r="V597">
        <v>30</v>
      </c>
      <c r="W597" t="s">
        <v>79</v>
      </c>
      <c r="X597" t="s">
        <v>240</v>
      </c>
      <c r="Y597" t="s">
        <v>2147</v>
      </c>
      <c r="AA597" t="s">
        <v>75</v>
      </c>
      <c r="AC597" t="s">
        <v>83</v>
      </c>
      <c r="AE597" t="s">
        <v>75</v>
      </c>
      <c r="AF597" t="s">
        <v>84</v>
      </c>
      <c r="AG597" t="s">
        <v>84</v>
      </c>
      <c r="AH597" s="33">
        <f t="shared" si="28"/>
      </c>
      <c r="AI597" s="33">
        <f t="shared" si="29"/>
      </c>
    </row>
    <row r="598" ht="27.6" customHeight="1" spans="1:35" x14ac:dyDescent="0.25">
      <c r="A598" s="27" t="s">
        <v>2149</v>
      </c>
      <c r="B598">
        <f t="shared" si="27"/>
        <v>0</v>
      </c>
      <c r="C598" t="s">
        <v>64</v>
      </c>
      <c r="D598" s="27" t="s">
        <v>102</v>
      </c>
      <c r="E598" t="s">
        <v>2150</v>
      </c>
      <c r="F598" s="28">
        <v>0</v>
      </c>
      <c r="G598" s="29">
        <v>1</v>
      </c>
      <c r="H598" s="30" t="s">
        <v>2151</v>
      </c>
      <c r="I598" t="s">
        <v>65</v>
      </c>
      <c r="J5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145</v>
      </c>
      <c r="L598" t="s">
        <v>146</v>
      </c>
      <c r="N598" s="29">
        <v>1</v>
      </c>
      <c r="P598" s="29">
        <v>1</v>
      </c>
      <c r="R598" s="29">
        <v>1</v>
      </c>
      <c r="S598" t="s">
        <v>70</v>
      </c>
      <c r="T598" t="s">
        <v>72</v>
      </c>
      <c r="U598" s="32">
        <v>30</v>
      </c>
      <c r="V598">
        <v>30</v>
      </c>
      <c r="W598" t="s">
        <v>79</v>
      </c>
      <c r="X598" t="s">
        <v>240</v>
      </c>
      <c r="Y598" t="s">
        <v>2150</v>
      </c>
      <c r="AA598" t="s">
        <v>75</v>
      </c>
      <c r="AC598" t="s">
        <v>83</v>
      </c>
      <c r="AE598" t="s">
        <v>75</v>
      </c>
      <c r="AF598" t="s">
        <v>84</v>
      </c>
      <c r="AG598" t="s">
        <v>84</v>
      </c>
      <c r="AH598" s="33">
        <f t="shared" si="28"/>
      </c>
      <c r="AI598" s="33">
        <f t="shared" si="29"/>
      </c>
    </row>
    <row r="599" ht="27.6" customHeight="1" spans="1:35" x14ac:dyDescent="0.25">
      <c r="A599" s="27" t="s">
        <v>251</v>
      </c>
      <c r="B599">
        <f t="shared" si="27"/>
        <v>0</v>
      </c>
      <c r="C599" t="s">
        <v>64</v>
      </c>
      <c r="D599" s="27" t="s">
        <v>2152</v>
      </c>
      <c r="E599" t="s">
        <v>254</v>
      </c>
      <c r="F599" s="28">
        <v>2</v>
      </c>
      <c r="G599" s="29">
        <v>2</v>
      </c>
      <c r="H599" s="30" t="s">
        <v>2153</v>
      </c>
      <c r="I599" t="s">
        <v>65</v>
      </c>
      <c r="J5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145</v>
      </c>
      <c r="L599" t="s">
        <v>146</v>
      </c>
      <c r="N599" s="29">
        <v>2</v>
      </c>
      <c r="P599" s="29">
        <v>2</v>
      </c>
      <c r="R599" s="29">
        <v>2</v>
      </c>
      <c r="S599" t="s">
        <v>70</v>
      </c>
      <c r="T599" t="s">
        <v>72</v>
      </c>
      <c r="U599" s="32">
        <v>30</v>
      </c>
      <c r="V599">
        <v>30</v>
      </c>
      <c r="W599" t="s">
        <v>79</v>
      </c>
      <c r="X599" t="s">
        <v>240</v>
      </c>
      <c r="Y599" t="s">
        <v>252</v>
      </c>
      <c r="AA599" t="s">
        <v>75</v>
      </c>
      <c r="AC599" t="s">
        <v>83</v>
      </c>
      <c r="AE599" t="s">
        <v>75</v>
      </c>
      <c r="AF599" t="s">
        <v>84</v>
      </c>
      <c r="AG599" t="s">
        <v>84</v>
      </c>
      <c r="AH599" s="33">
        <f t="shared" si="28"/>
      </c>
      <c r="AI599" s="33">
        <f t="shared" si="29"/>
      </c>
    </row>
    <row r="600" ht="27.6" customHeight="1" spans="1:35" x14ac:dyDescent="0.25">
      <c r="A600" s="27" t="s">
        <v>2154</v>
      </c>
      <c r="B600">
        <f t="shared" si="27"/>
        <v>0</v>
      </c>
      <c r="C600" t="s">
        <v>64</v>
      </c>
      <c r="D600" s="27" t="s">
        <v>2155</v>
      </c>
      <c r="E600" t="s">
        <v>2156</v>
      </c>
      <c r="F600" s="28">
        <v>0</v>
      </c>
      <c r="G600" s="29">
        <v>2</v>
      </c>
      <c r="H600" s="30" t="s">
        <v>2157</v>
      </c>
      <c r="I600" t="s">
        <v>65</v>
      </c>
      <c r="J6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145</v>
      </c>
      <c r="L600" t="s">
        <v>146</v>
      </c>
      <c r="N600" s="29">
        <v>2</v>
      </c>
      <c r="P600" s="29">
        <v>2</v>
      </c>
      <c r="R600" s="29">
        <v>2</v>
      </c>
      <c r="S600" t="s">
        <v>70</v>
      </c>
      <c r="T600" t="s">
        <v>72</v>
      </c>
      <c r="U600" s="32">
        <v>30</v>
      </c>
      <c r="V600">
        <v>30</v>
      </c>
      <c r="W600" t="s">
        <v>79</v>
      </c>
      <c r="X600" t="s">
        <v>240</v>
      </c>
      <c r="Y600" t="s">
        <v>2158</v>
      </c>
      <c r="AA600" t="s">
        <v>75</v>
      </c>
      <c r="AC600" t="s">
        <v>83</v>
      </c>
      <c r="AE600" t="s">
        <v>75</v>
      </c>
      <c r="AF600" t="s">
        <v>84</v>
      </c>
      <c r="AG600" t="s">
        <v>84</v>
      </c>
      <c r="AH600" s="33">
        <f t="shared" si="28"/>
      </c>
      <c r="AI600" s="33">
        <f t="shared" si="29"/>
      </c>
    </row>
    <row r="601" ht="27.6" customHeight="1" spans="1:35" x14ac:dyDescent="0.25">
      <c r="A601" s="27" t="s">
        <v>2154</v>
      </c>
      <c r="B601">
        <f t="shared" si="27"/>
        <v>0</v>
      </c>
      <c r="C601" t="s">
        <v>64</v>
      </c>
      <c r="D601" s="27" t="s">
        <v>2155</v>
      </c>
      <c r="E601" t="s">
        <v>2156</v>
      </c>
      <c r="F601" s="28">
        <v>0</v>
      </c>
      <c r="G601" s="29">
        <v>2</v>
      </c>
      <c r="H601" s="30" t="s">
        <v>2159</v>
      </c>
      <c r="I601" t="s">
        <v>65</v>
      </c>
      <c r="J6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145</v>
      </c>
      <c r="L601" t="s">
        <v>146</v>
      </c>
      <c r="N601" s="29">
        <v>2</v>
      </c>
      <c r="P601" s="29">
        <v>2</v>
      </c>
      <c r="R601" s="29">
        <v>2</v>
      </c>
      <c r="S601" t="s">
        <v>70</v>
      </c>
      <c r="T601" t="s">
        <v>72</v>
      </c>
      <c r="U601" s="32">
        <v>30</v>
      </c>
      <c r="V601">
        <v>30</v>
      </c>
      <c r="W601" t="s">
        <v>79</v>
      </c>
      <c r="X601" t="s">
        <v>240</v>
      </c>
      <c r="Y601" t="s">
        <v>2158</v>
      </c>
      <c r="AA601" t="s">
        <v>75</v>
      </c>
      <c r="AC601" t="s">
        <v>83</v>
      </c>
      <c r="AE601" t="s">
        <v>75</v>
      </c>
      <c r="AF601" t="s">
        <v>84</v>
      </c>
      <c r="AG601" t="s">
        <v>84</v>
      </c>
      <c r="AH601" s="33">
        <f t="shared" si="28"/>
      </c>
      <c r="AI601" s="33">
        <f t="shared" si="29"/>
      </c>
    </row>
    <row r="602" ht="27.6" customHeight="1" spans="1:35" x14ac:dyDescent="0.25">
      <c r="A602" s="27" t="s">
        <v>2154</v>
      </c>
      <c r="B602">
        <f t="shared" si="27"/>
        <v>0</v>
      </c>
      <c r="C602" t="s">
        <v>64</v>
      </c>
      <c r="D602" s="27" t="s">
        <v>2155</v>
      </c>
      <c r="E602" t="s">
        <v>2156</v>
      </c>
      <c r="F602" s="28">
        <v>0</v>
      </c>
      <c r="G602" s="29">
        <v>2</v>
      </c>
      <c r="H602" s="30" t="s">
        <v>2160</v>
      </c>
      <c r="I602" t="s">
        <v>65</v>
      </c>
      <c r="J6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145</v>
      </c>
      <c r="L602" t="s">
        <v>146</v>
      </c>
      <c r="N602" s="29">
        <v>2</v>
      </c>
      <c r="P602" s="29">
        <v>2</v>
      </c>
      <c r="R602" s="29">
        <v>2</v>
      </c>
      <c r="S602" t="s">
        <v>70</v>
      </c>
      <c r="T602" t="s">
        <v>72</v>
      </c>
      <c r="U602" s="32">
        <v>30</v>
      </c>
      <c r="V602">
        <v>30</v>
      </c>
      <c r="W602" t="s">
        <v>79</v>
      </c>
      <c r="X602" t="s">
        <v>240</v>
      </c>
      <c r="Y602" t="s">
        <v>2158</v>
      </c>
      <c r="AA602" t="s">
        <v>75</v>
      </c>
      <c r="AC602" t="s">
        <v>83</v>
      </c>
      <c r="AE602" t="s">
        <v>75</v>
      </c>
      <c r="AF602" t="s">
        <v>84</v>
      </c>
      <c r="AG602" t="s">
        <v>84</v>
      </c>
      <c r="AH602" s="33">
        <f t="shared" si="28"/>
      </c>
      <c r="AI602" s="33">
        <f t="shared" si="29"/>
      </c>
    </row>
    <row r="603" ht="27.6" customHeight="1" spans="1:35" x14ac:dyDescent="0.25">
      <c r="A603" s="27" t="s">
        <v>163</v>
      </c>
      <c r="B603">
        <f t="shared" si="27"/>
        <v>0</v>
      </c>
      <c r="C603" t="s">
        <v>64</v>
      </c>
      <c r="D603" s="27" t="s">
        <v>102</v>
      </c>
      <c r="E603" t="s">
        <v>167</v>
      </c>
      <c r="F603" s="28">
        <v>0</v>
      </c>
      <c r="G603" s="29">
        <v>1</v>
      </c>
      <c r="H603" s="30" t="s">
        <v>2161</v>
      </c>
      <c r="I603" t="s">
        <v>65</v>
      </c>
      <c r="J6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145</v>
      </c>
      <c r="L603" t="s">
        <v>146</v>
      </c>
      <c r="N603" s="29">
        <v>1</v>
      </c>
      <c r="P603" s="29">
        <v>1</v>
      </c>
      <c r="R603" s="29">
        <v>1</v>
      </c>
      <c r="S603" t="s">
        <v>70</v>
      </c>
      <c r="T603" t="s">
        <v>72</v>
      </c>
      <c r="U603" s="32">
        <v>30</v>
      </c>
      <c r="V603">
        <v>30</v>
      </c>
      <c r="W603" t="s">
        <v>79</v>
      </c>
      <c r="X603" t="s">
        <v>240</v>
      </c>
      <c r="Y603" t="s">
        <v>167</v>
      </c>
      <c r="AA603" t="s">
        <v>75</v>
      </c>
      <c r="AC603" t="s">
        <v>83</v>
      </c>
      <c r="AE603" t="s">
        <v>75</v>
      </c>
      <c r="AF603" t="s">
        <v>84</v>
      </c>
      <c r="AG603" t="s">
        <v>84</v>
      </c>
      <c r="AH603" s="33">
        <f t="shared" si="28"/>
      </c>
      <c r="AI603" s="33">
        <f t="shared" si="29"/>
      </c>
    </row>
    <row r="604" ht="27.6" customHeight="1" spans="1:35" x14ac:dyDescent="0.25">
      <c r="A604" s="27" t="s">
        <v>2162</v>
      </c>
      <c r="B604">
        <f t="shared" si="27"/>
        <v>0</v>
      </c>
      <c r="C604" t="s">
        <v>64</v>
      </c>
      <c r="D604" s="27" t="s">
        <v>102</v>
      </c>
      <c r="E604" t="s">
        <v>2163</v>
      </c>
      <c r="F604" s="28">
        <v>0</v>
      </c>
      <c r="G604" s="29">
        <v>1</v>
      </c>
      <c r="H604" s="30" t="s">
        <v>2164</v>
      </c>
      <c r="I604" t="s">
        <v>65</v>
      </c>
      <c r="J6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145</v>
      </c>
      <c r="L604" t="s">
        <v>146</v>
      </c>
      <c r="N604" s="29">
        <v>1</v>
      </c>
      <c r="P604" s="29">
        <v>1</v>
      </c>
      <c r="R604" s="29">
        <v>1</v>
      </c>
      <c r="S604" t="s">
        <v>70</v>
      </c>
      <c r="T604" t="s">
        <v>72</v>
      </c>
      <c r="U604" s="32">
        <v>30</v>
      </c>
      <c r="V604">
        <v>30</v>
      </c>
      <c r="W604" t="s">
        <v>79</v>
      </c>
      <c r="X604" t="s">
        <v>240</v>
      </c>
      <c r="Y604" t="s">
        <v>2163</v>
      </c>
      <c r="AA604" t="s">
        <v>75</v>
      </c>
      <c r="AC604" t="s">
        <v>83</v>
      </c>
      <c r="AE604" t="s">
        <v>75</v>
      </c>
      <c r="AF604" t="s">
        <v>84</v>
      </c>
      <c r="AG604" t="s">
        <v>84</v>
      </c>
      <c r="AH604" s="33">
        <f t="shared" si="28"/>
      </c>
      <c r="AI604" s="33">
        <f t="shared" si="29"/>
      </c>
    </row>
    <row r="605" ht="27.6" customHeight="1" spans="1:35" x14ac:dyDescent="0.25">
      <c r="A605" s="27" t="s">
        <v>2165</v>
      </c>
      <c r="B605">
        <f t="shared" si="27"/>
        <v>0</v>
      </c>
      <c r="C605" t="s">
        <v>64</v>
      </c>
      <c r="D605" s="27" t="s">
        <v>2166</v>
      </c>
      <c r="E605" t="s">
        <v>2167</v>
      </c>
      <c r="F605" s="28">
        <v>0</v>
      </c>
      <c r="G605" s="29">
        <v>1</v>
      </c>
      <c r="H605" s="30" t="s">
        <v>2168</v>
      </c>
      <c r="I605" t="s">
        <v>65</v>
      </c>
      <c r="J6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145</v>
      </c>
      <c r="L605" t="s">
        <v>146</v>
      </c>
      <c r="N605" s="29">
        <v>1</v>
      </c>
      <c r="P605" s="29">
        <v>1</v>
      </c>
      <c r="R605" s="29">
        <v>1</v>
      </c>
      <c r="S605" t="s">
        <v>70</v>
      </c>
      <c r="T605" t="s">
        <v>72</v>
      </c>
      <c r="U605" s="32">
        <v>30</v>
      </c>
      <c r="V605">
        <v>30</v>
      </c>
      <c r="W605" t="s">
        <v>79</v>
      </c>
      <c r="X605" t="s">
        <v>240</v>
      </c>
      <c r="Y605" t="s">
        <v>2169</v>
      </c>
      <c r="AA605" t="s">
        <v>75</v>
      </c>
      <c r="AC605" t="s">
        <v>83</v>
      </c>
      <c r="AE605" t="s">
        <v>75</v>
      </c>
      <c r="AF605" t="s">
        <v>84</v>
      </c>
      <c r="AG605" t="s">
        <v>84</v>
      </c>
      <c r="AH605" s="33">
        <f t="shared" si="28"/>
      </c>
      <c r="AI605" s="33">
        <f t="shared" si="29"/>
      </c>
    </row>
    <row r="606" ht="27.6" customHeight="1" spans="1:35" x14ac:dyDescent="0.25">
      <c r="A606" s="27" t="s">
        <v>624</v>
      </c>
      <c r="B606">
        <f t="shared" si="27"/>
        <v>0</v>
      </c>
      <c r="C606" t="s">
        <v>64</v>
      </c>
      <c r="D606" s="27" t="s">
        <v>2170</v>
      </c>
      <c r="E606" t="s">
        <v>627</v>
      </c>
      <c r="F606" s="28">
        <v>4</v>
      </c>
      <c r="G606" s="29">
        <v>2</v>
      </c>
      <c r="H606" s="30" t="s">
        <v>2171</v>
      </c>
      <c r="I606" t="s">
        <v>65</v>
      </c>
      <c r="J6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145</v>
      </c>
      <c r="L606" t="s">
        <v>146</v>
      </c>
      <c r="N606" s="29">
        <v>2</v>
      </c>
      <c r="P606" s="29">
        <v>2</v>
      </c>
      <c r="R606" s="29">
        <v>2</v>
      </c>
      <c r="S606" t="s">
        <v>70</v>
      </c>
      <c r="T606" t="s">
        <v>72</v>
      </c>
      <c r="U606" s="32">
        <v>30</v>
      </c>
      <c r="V606">
        <v>30</v>
      </c>
      <c r="W606" t="s">
        <v>79</v>
      </c>
      <c r="X606" t="s">
        <v>240</v>
      </c>
      <c r="Y606" t="s">
        <v>2172</v>
      </c>
      <c r="AA606" t="s">
        <v>75</v>
      </c>
      <c r="AC606" t="s">
        <v>83</v>
      </c>
      <c r="AE606" t="s">
        <v>75</v>
      </c>
      <c r="AF606" t="s">
        <v>84</v>
      </c>
      <c r="AG606" t="s">
        <v>84</v>
      </c>
      <c r="AH606" s="33">
        <f t="shared" si="28"/>
      </c>
      <c r="AI606" s="33">
        <f t="shared" si="29"/>
      </c>
    </row>
    <row r="607" ht="27.6" customHeight="1" spans="1:35" x14ac:dyDescent="0.25">
      <c r="A607" s="27" t="s">
        <v>628</v>
      </c>
      <c r="B607">
        <f t="shared" si="27"/>
        <v>0</v>
      </c>
      <c r="C607" t="s">
        <v>64</v>
      </c>
      <c r="D607" s="27" t="s">
        <v>2170</v>
      </c>
      <c r="E607" t="s">
        <v>627</v>
      </c>
      <c r="F607" s="28">
        <v>4</v>
      </c>
      <c r="G607" s="29">
        <v>2</v>
      </c>
      <c r="H607" s="30" t="s">
        <v>2173</v>
      </c>
      <c r="I607" t="s">
        <v>65</v>
      </c>
      <c r="J6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145</v>
      </c>
      <c r="L607" t="s">
        <v>146</v>
      </c>
      <c r="N607" s="29">
        <v>2</v>
      </c>
      <c r="P607" s="29">
        <v>2</v>
      </c>
      <c r="R607" s="29">
        <v>2</v>
      </c>
      <c r="S607" t="s">
        <v>70</v>
      </c>
      <c r="T607" t="s">
        <v>72</v>
      </c>
      <c r="U607" s="32">
        <v>30</v>
      </c>
      <c r="V607">
        <v>30</v>
      </c>
      <c r="W607" t="s">
        <v>79</v>
      </c>
      <c r="X607" t="s">
        <v>240</v>
      </c>
      <c r="Y607" t="s">
        <v>2172</v>
      </c>
      <c r="AA607" t="s">
        <v>75</v>
      </c>
      <c r="AC607" t="s">
        <v>83</v>
      </c>
      <c r="AE607" t="s">
        <v>75</v>
      </c>
      <c r="AF607" t="s">
        <v>84</v>
      </c>
      <c r="AG607" t="s">
        <v>84</v>
      </c>
      <c r="AH607" s="33">
        <f t="shared" si="28"/>
      </c>
      <c r="AI607" s="33">
        <f t="shared" si="29"/>
      </c>
    </row>
    <row r="608" ht="27.6" customHeight="1" spans="1:35" x14ac:dyDescent="0.25">
      <c r="A608" s="27" t="s">
        <v>630</v>
      </c>
      <c r="B608">
        <f t="shared" si="27"/>
        <v>0</v>
      </c>
      <c r="C608" t="s">
        <v>64</v>
      </c>
      <c r="D608" s="27" t="s">
        <v>2170</v>
      </c>
      <c r="E608" t="s">
        <v>627</v>
      </c>
      <c r="F608" s="28">
        <v>4</v>
      </c>
      <c r="G608" s="29">
        <v>2</v>
      </c>
      <c r="H608" s="30" t="s">
        <v>2174</v>
      </c>
      <c r="I608" t="s">
        <v>65</v>
      </c>
      <c r="J6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145</v>
      </c>
      <c r="L608" t="s">
        <v>146</v>
      </c>
      <c r="N608" s="29">
        <v>2</v>
      </c>
      <c r="P608" s="29">
        <v>2</v>
      </c>
      <c r="R608" s="29">
        <v>2</v>
      </c>
      <c r="S608" t="s">
        <v>70</v>
      </c>
      <c r="T608" t="s">
        <v>72</v>
      </c>
      <c r="U608" s="32">
        <v>30</v>
      </c>
      <c r="V608">
        <v>30</v>
      </c>
      <c r="W608" t="s">
        <v>79</v>
      </c>
      <c r="X608" t="s">
        <v>240</v>
      </c>
      <c r="Y608" t="s">
        <v>2172</v>
      </c>
      <c r="AA608" t="s">
        <v>75</v>
      </c>
      <c r="AC608" t="s">
        <v>83</v>
      </c>
      <c r="AE608" t="s">
        <v>75</v>
      </c>
      <c r="AF608" t="s">
        <v>84</v>
      </c>
      <c r="AG608" t="s">
        <v>84</v>
      </c>
      <c r="AH608" s="33">
        <f t="shared" si="28"/>
      </c>
      <c r="AI608" s="33">
        <f t="shared" si="29"/>
      </c>
    </row>
    <row r="609" ht="27.6" customHeight="1" spans="1:35" x14ac:dyDescent="0.25">
      <c r="A609" s="27" t="s">
        <v>632</v>
      </c>
      <c r="B609">
        <f t="shared" si="27"/>
        <v>0</v>
      </c>
      <c r="C609" t="s">
        <v>64</v>
      </c>
      <c r="D609" s="27" t="s">
        <v>2175</v>
      </c>
      <c r="E609" t="s">
        <v>635</v>
      </c>
      <c r="F609" s="28">
        <v>4</v>
      </c>
      <c r="G609" s="29">
        <v>2</v>
      </c>
      <c r="H609" s="30" t="s">
        <v>2176</v>
      </c>
      <c r="I609" t="s">
        <v>65</v>
      </c>
      <c r="J6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145</v>
      </c>
      <c r="L609" t="s">
        <v>146</v>
      </c>
      <c r="N609" s="29">
        <v>2</v>
      </c>
      <c r="P609" s="29">
        <v>2</v>
      </c>
      <c r="R609" s="29">
        <v>2</v>
      </c>
      <c r="S609" t="s">
        <v>70</v>
      </c>
      <c r="T609" t="s">
        <v>72</v>
      </c>
      <c r="U609" s="32">
        <v>30</v>
      </c>
      <c r="V609">
        <v>30</v>
      </c>
      <c r="W609" t="s">
        <v>79</v>
      </c>
      <c r="X609" t="s">
        <v>240</v>
      </c>
      <c r="Y609" t="s">
        <v>2177</v>
      </c>
      <c r="AA609" t="s">
        <v>75</v>
      </c>
      <c r="AC609" t="s">
        <v>83</v>
      </c>
      <c r="AE609" t="s">
        <v>75</v>
      </c>
      <c r="AF609" t="s">
        <v>84</v>
      </c>
      <c r="AG609" t="s">
        <v>84</v>
      </c>
      <c r="AH609" s="33">
        <f t="shared" si="28"/>
      </c>
      <c r="AI609" s="33">
        <f t="shared" si="29"/>
      </c>
    </row>
    <row r="610" ht="27.6" customHeight="1" spans="1:35" x14ac:dyDescent="0.25">
      <c r="A610" s="27" t="s">
        <v>2178</v>
      </c>
      <c r="B610">
        <f t="shared" si="27"/>
        <v>0</v>
      </c>
      <c r="C610" t="s">
        <v>64</v>
      </c>
      <c r="D610" s="27" t="s">
        <v>102</v>
      </c>
      <c r="E610" t="s">
        <v>2179</v>
      </c>
      <c r="F610" s="28">
        <v>0</v>
      </c>
      <c r="G610" s="29">
        <v>1</v>
      </c>
      <c r="H610" s="30" t="s">
        <v>2180</v>
      </c>
      <c r="I610" t="s">
        <v>65</v>
      </c>
      <c r="J6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145</v>
      </c>
      <c r="L610" t="s">
        <v>146</v>
      </c>
      <c r="N610" s="29">
        <v>1</v>
      </c>
      <c r="P610" s="29">
        <v>1</v>
      </c>
      <c r="R610" s="29">
        <v>1</v>
      </c>
      <c r="S610" t="s">
        <v>70</v>
      </c>
      <c r="T610" t="s">
        <v>72</v>
      </c>
      <c r="U610" s="32">
        <v>30</v>
      </c>
      <c r="V610">
        <v>30</v>
      </c>
      <c r="W610" t="s">
        <v>79</v>
      </c>
      <c r="X610" t="s">
        <v>240</v>
      </c>
      <c r="Y610" t="s">
        <v>2179</v>
      </c>
      <c r="AA610" t="s">
        <v>75</v>
      </c>
      <c r="AC610" t="s">
        <v>83</v>
      </c>
      <c r="AE610" t="s">
        <v>75</v>
      </c>
      <c r="AF610" t="s">
        <v>84</v>
      </c>
      <c r="AG610" t="s">
        <v>84</v>
      </c>
      <c r="AH610" s="33">
        <f t="shared" si="28"/>
      </c>
      <c r="AI610" s="33">
        <f t="shared" si="29"/>
      </c>
    </row>
    <row r="611" ht="27.6" customHeight="1" spans="1:35" x14ac:dyDescent="0.25">
      <c r="A611" s="27" t="s">
        <v>2181</v>
      </c>
      <c r="B611">
        <f t="shared" si="27"/>
        <v>0</v>
      </c>
      <c r="C611" t="s">
        <v>64</v>
      </c>
      <c r="D611" s="27" t="s">
        <v>102</v>
      </c>
      <c r="E611" t="s">
        <v>320</v>
      </c>
      <c r="F611" s="28">
        <v>0</v>
      </c>
      <c r="G611" s="29">
        <v>1</v>
      </c>
      <c r="H611" s="30" t="s">
        <v>2182</v>
      </c>
      <c r="I611" t="s">
        <v>65</v>
      </c>
      <c r="J6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145</v>
      </c>
      <c r="L611" t="s">
        <v>146</v>
      </c>
      <c r="N611" s="29">
        <v>1</v>
      </c>
      <c r="P611" s="29">
        <v>1</v>
      </c>
      <c r="R611" s="29">
        <v>1</v>
      </c>
      <c r="S611" t="s">
        <v>70</v>
      </c>
      <c r="T611" t="s">
        <v>72</v>
      </c>
      <c r="U611" s="32">
        <v>30</v>
      </c>
      <c r="V611">
        <v>30</v>
      </c>
      <c r="W611" t="s">
        <v>79</v>
      </c>
      <c r="X611" t="s">
        <v>240</v>
      </c>
      <c r="Y611" t="s">
        <v>320</v>
      </c>
      <c r="AA611" t="s">
        <v>75</v>
      </c>
      <c r="AC611" t="s">
        <v>83</v>
      </c>
      <c r="AE611" t="s">
        <v>75</v>
      </c>
      <c r="AF611" t="s">
        <v>84</v>
      </c>
      <c r="AG611" t="s">
        <v>84</v>
      </c>
      <c r="AH611" s="33">
        <f t="shared" si="28"/>
      </c>
      <c r="AI611" s="33">
        <f t="shared" si="29"/>
      </c>
    </row>
    <row r="612" ht="27.6" customHeight="1" spans="1:35" x14ac:dyDescent="0.25">
      <c r="A612" s="27" t="s">
        <v>1790</v>
      </c>
      <c r="B612">
        <f t="shared" si="27"/>
        <v>0</v>
      </c>
      <c r="C612" t="s">
        <v>64</v>
      </c>
      <c r="D612" s="27" t="s">
        <v>2183</v>
      </c>
      <c r="E612" t="s">
        <v>2184</v>
      </c>
      <c r="F612" s="28">
        <v>2</v>
      </c>
      <c r="G612" s="29">
        <v>2</v>
      </c>
      <c r="H612" s="30" t="s">
        <v>2185</v>
      </c>
      <c r="I612" t="s">
        <v>65</v>
      </c>
      <c r="J6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145</v>
      </c>
      <c r="L612" t="s">
        <v>146</v>
      </c>
      <c r="N612" s="29">
        <v>2</v>
      </c>
      <c r="P612" s="29">
        <v>2</v>
      </c>
      <c r="R612" s="29">
        <v>2</v>
      </c>
      <c r="S612" t="s">
        <v>70</v>
      </c>
      <c r="T612" t="s">
        <v>72</v>
      </c>
      <c r="U612" s="32">
        <v>30</v>
      </c>
      <c r="V612">
        <v>30</v>
      </c>
      <c r="W612" t="s">
        <v>79</v>
      </c>
      <c r="X612" t="s">
        <v>240</v>
      </c>
      <c r="Y612" t="s">
        <v>2186</v>
      </c>
      <c r="AA612" t="s">
        <v>75</v>
      </c>
      <c r="AC612" t="s">
        <v>83</v>
      </c>
      <c r="AE612" t="s">
        <v>75</v>
      </c>
      <c r="AF612" t="s">
        <v>84</v>
      </c>
      <c r="AG612" t="s">
        <v>84</v>
      </c>
      <c r="AH612" s="33">
        <f t="shared" si="28"/>
      </c>
      <c r="AI612" s="33">
        <f t="shared" si="29"/>
      </c>
    </row>
    <row r="613" ht="27.6" customHeight="1" spans="1:35" x14ac:dyDescent="0.25">
      <c r="A613" s="27" t="s">
        <v>2187</v>
      </c>
      <c r="B613">
        <f t="shared" si="27"/>
        <v>0</v>
      </c>
      <c r="C613" t="s">
        <v>64</v>
      </c>
      <c r="D613" s="27" t="s">
        <v>102</v>
      </c>
      <c r="E613" t="s">
        <v>2188</v>
      </c>
      <c r="F613" s="28">
        <v>0</v>
      </c>
      <c r="G613" s="29">
        <v>1</v>
      </c>
      <c r="H613" s="30" t="s">
        <v>2189</v>
      </c>
      <c r="I613" t="s">
        <v>65</v>
      </c>
      <c r="J6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145</v>
      </c>
      <c r="L613" t="s">
        <v>146</v>
      </c>
      <c r="N613" s="29">
        <v>1</v>
      </c>
      <c r="P613" s="29">
        <v>1</v>
      </c>
      <c r="R613" s="29">
        <v>1</v>
      </c>
      <c r="S613" t="s">
        <v>70</v>
      </c>
      <c r="T613" t="s">
        <v>72</v>
      </c>
      <c r="U613" s="32">
        <v>30</v>
      </c>
      <c r="V613">
        <v>30</v>
      </c>
      <c r="W613" t="s">
        <v>79</v>
      </c>
      <c r="X613" t="s">
        <v>240</v>
      </c>
      <c r="Y613" t="s">
        <v>2188</v>
      </c>
      <c r="AA613" t="s">
        <v>75</v>
      </c>
      <c r="AC613" t="s">
        <v>83</v>
      </c>
      <c r="AE613" t="s">
        <v>75</v>
      </c>
      <c r="AF613" t="s">
        <v>84</v>
      </c>
      <c r="AG613" t="s">
        <v>84</v>
      </c>
      <c r="AH613" s="33">
        <f t="shared" si="28"/>
      </c>
      <c r="AI613" s="33">
        <f t="shared" si="29"/>
      </c>
    </row>
    <row r="614" ht="27.6" customHeight="1" spans="1:35" x14ac:dyDescent="0.25">
      <c r="A614" s="27" t="s">
        <v>2190</v>
      </c>
      <c r="B614">
        <f t="shared" si="27"/>
        <v>0</v>
      </c>
      <c r="C614" t="s">
        <v>64</v>
      </c>
      <c r="D614" s="27" t="s">
        <v>102</v>
      </c>
      <c r="E614" t="s">
        <v>2191</v>
      </c>
      <c r="F614" s="28">
        <v>0</v>
      </c>
      <c r="G614" s="29">
        <v>1</v>
      </c>
      <c r="H614" s="30" t="s">
        <v>2192</v>
      </c>
      <c r="I614" t="s">
        <v>65</v>
      </c>
      <c r="J6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145</v>
      </c>
      <c r="L614" t="s">
        <v>146</v>
      </c>
      <c r="N614" s="29">
        <v>1</v>
      </c>
      <c r="P614" s="29">
        <v>1</v>
      </c>
      <c r="R614" s="29">
        <v>1</v>
      </c>
      <c r="S614" t="s">
        <v>70</v>
      </c>
      <c r="T614" t="s">
        <v>72</v>
      </c>
      <c r="U614" s="32">
        <v>30</v>
      </c>
      <c r="V614">
        <v>30</v>
      </c>
      <c r="W614" t="s">
        <v>79</v>
      </c>
      <c r="X614" t="s">
        <v>240</v>
      </c>
      <c r="Y614" t="s">
        <v>238</v>
      </c>
      <c r="AA614" t="s">
        <v>75</v>
      </c>
      <c r="AC614" t="s">
        <v>83</v>
      </c>
      <c r="AE614" t="s">
        <v>75</v>
      </c>
      <c r="AF614" t="s">
        <v>84</v>
      </c>
      <c r="AG614" t="s">
        <v>84</v>
      </c>
      <c r="AH614" s="33">
        <f t="shared" si="28"/>
      </c>
      <c r="AI614" s="33">
        <f t="shared" si="29"/>
      </c>
    </row>
    <row r="615" ht="27.6" customHeight="1" spans="1:35" x14ac:dyDescent="0.25">
      <c r="A615" s="27" t="s">
        <v>2193</v>
      </c>
      <c r="B615">
        <f t="shared" si="27"/>
        <v>0</v>
      </c>
      <c r="C615" t="s">
        <v>64</v>
      </c>
      <c r="D615" s="27" t="s">
        <v>102</v>
      </c>
      <c r="E615" t="s">
        <v>2194</v>
      </c>
      <c r="F615" s="28">
        <v>0</v>
      </c>
      <c r="G615" s="29">
        <v>1</v>
      </c>
      <c r="H615" s="30" t="s">
        <v>2195</v>
      </c>
      <c r="I615" t="s">
        <v>65</v>
      </c>
      <c r="J6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145</v>
      </c>
      <c r="L615" t="s">
        <v>146</v>
      </c>
      <c r="N615" s="29">
        <v>1</v>
      </c>
      <c r="P615" s="29">
        <v>1</v>
      </c>
      <c r="R615" s="29">
        <v>1</v>
      </c>
      <c r="S615" t="s">
        <v>70</v>
      </c>
      <c r="T615" t="s">
        <v>72</v>
      </c>
      <c r="U615" s="32">
        <v>30</v>
      </c>
      <c r="V615">
        <v>30</v>
      </c>
      <c r="W615" t="s">
        <v>79</v>
      </c>
      <c r="X615" t="s">
        <v>240</v>
      </c>
      <c r="Y615" t="s">
        <v>250</v>
      </c>
      <c r="AA615" t="s">
        <v>75</v>
      </c>
      <c r="AC615" t="s">
        <v>83</v>
      </c>
      <c r="AE615" t="s">
        <v>75</v>
      </c>
      <c r="AF615" t="s">
        <v>84</v>
      </c>
      <c r="AG615" t="s">
        <v>84</v>
      </c>
      <c r="AH615" s="33">
        <f t="shared" si="28"/>
      </c>
      <c r="AI615" s="33">
        <f t="shared" si="29"/>
      </c>
    </row>
    <row r="616" ht="27.6" customHeight="1" spans="1:35" x14ac:dyDescent="0.25">
      <c r="A616" s="27" t="s">
        <v>2196</v>
      </c>
      <c r="B616">
        <f t="shared" si="27"/>
        <v>0</v>
      </c>
      <c r="C616" t="s">
        <v>64</v>
      </c>
      <c r="D616" s="27" t="s">
        <v>2197</v>
      </c>
      <c r="E616" t="s">
        <v>2198</v>
      </c>
      <c r="F616" s="28">
        <v>0</v>
      </c>
      <c r="G616" s="29">
        <v>1</v>
      </c>
      <c r="H616" s="30" t="s">
        <v>2199</v>
      </c>
      <c r="I616" t="s">
        <v>65</v>
      </c>
      <c r="J6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145</v>
      </c>
      <c r="L616" t="s">
        <v>146</v>
      </c>
      <c r="N616" s="29">
        <v>1</v>
      </c>
      <c r="P616" s="29">
        <v>1</v>
      </c>
      <c r="R616" s="29">
        <v>1</v>
      </c>
      <c r="S616" t="s">
        <v>70</v>
      </c>
      <c r="T616" t="s">
        <v>72</v>
      </c>
      <c r="U616" s="32">
        <v>30</v>
      </c>
      <c r="V616">
        <v>30</v>
      </c>
      <c r="W616" t="s">
        <v>79</v>
      </c>
      <c r="X616" t="s">
        <v>240</v>
      </c>
      <c r="Y616" t="s">
        <v>2200</v>
      </c>
      <c r="AA616" t="s">
        <v>75</v>
      </c>
      <c r="AC616" t="s">
        <v>83</v>
      </c>
      <c r="AE616" t="s">
        <v>75</v>
      </c>
      <c r="AF616" t="s">
        <v>84</v>
      </c>
      <c r="AG616" t="s">
        <v>84</v>
      </c>
      <c r="AH616" s="33">
        <f t="shared" si="28"/>
      </c>
      <c r="AI616" s="33">
        <f t="shared" si="29"/>
      </c>
    </row>
    <row r="617" ht="27.6" customHeight="1" spans="1:35" x14ac:dyDescent="0.25">
      <c r="A617" s="27" t="s">
        <v>2201</v>
      </c>
      <c r="B617">
        <f t="shared" si="27"/>
        <v>0</v>
      </c>
      <c r="C617" t="s">
        <v>64</v>
      </c>
      <c r="D617" s="27" t="s">
        <v>102</v>
      </c>
      <c r="E617" t="s">
        <v>2202</v>
      </c>
      <c r="F617" s="28">
        <v>2</v>
      </c>
      <c r="G617" s="29">
        <v>2</v>
      </c>
      <c r="H617" s="30" t="s">
        <v>2203</v>
      </c>
      <c r="I617" t="s">
        <v>65</v>
      </c>
      <c r="J6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145</v>
      </c>
      <c r="L617" t="s">
        <v>146</v>
      </c>
      <c r="N617" s="29">
        <v>2</v>
      </c>
      <c r="P617" s="29">
        <v>2</v>
      </c>
      <c r="R617" s="29">
        <v>2</v>
      </c>
      <c r="S617" t="s">
        <v>70</v>
      </c>
      <c r="T617" t="s">
        <v>72</v>
      </c>
      <c r="U617" s="32">
        <v>30</v>
      </c>
      <c r="V617">
        <v>30</v>
      </c>
      <c r="W617" t="s">
        <v>79</v>
      </c>
      <c r="X617" t="s">
        <v>240</v>
      </c>
      <c r="Y617" t="s">
        <v>2202</v>
      </c>
      <c r="AA617" t="s">
        <v>75</v>
      </c>
      <c r="AC617" t="s">
        <v>83</v>
      </c>
      <c r="AE617" t="s">
        <v>75</v>
      </c>
      <c r="AF617" t="s">
        <v>84</v>
      </c>
      <c r="AG617" t="s">
        <v>84</v>
      </c>
      <c r="AH617" s="33">
        <f t="shared" si="28"/>
      </c>
      <c r="AI617" s="33">
        <f t="shared" si="29"/>
      </c>
    </row>
    <row r="618" ht="27.6" customHeight="1" spans="1:35" x14ac:dyDescent="0.25">
      <c r="A618" s="27" t="s">
        <v>2204</v>
      </c>
      <c r="B618">
        <f t="shared" si="27"/>
        <v>0</v>
      </c>
      <c r="C618" t="s">
        <v>64</v>
      </c>
      <c r="D618" s="27" t="s">
        <v>2205</v>
      </c>
      <c r="E618" t="s">
        <v>2206</v>
      </c>
      <c r="F618" s="28">
        <v>2</v>
      </c>
      <c r="G618" s="29">
        <v>2</v>
      </c>
      <c r="H618" s="30" t="s">
        <v>2207</v>
      </c>
      <c r="I618" t="s">
        <v>65</v>
      </c>
      <c r="J6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145</v>
      </c>
      <c r="L618" t="s">
        <v>146</v>
      </c>
      <c r="N618" s="29">
        <v>2</v>
      </c>
      <c r="P618" s="29">
        <v>2</v>
      </c>
      <c r="R618" s="29">
        <v>2</v>
      </c>
      <c r="S618" t="s">
        <v>70</v>
      </c>
      <c r="T618" t="s">
        <v>72</v>
      </c>
      <c r="U618" s="32">
        <v>30</v>
      </c>
      <c r="V618">
        <v>30</v>
      </c>
      <c r="W618" t="s">
        <v>79</v>
      </c>
      <c r="X618" t="s">
        <v>240</v>
      </c>
      <c r="Y618" t="s">
        <v>2206</v>
      </c>
      <c r="AA618" t="s">
        <v>75</v>
      </c>
      <c r="AC618" t="s">
        <v>83</v>
      </c>
      <c r="AE618" t="s">
        <v>75</v>
      </c>
      <c r="AF618" t="s">
        <v>84</v>
      </c>
      <c r="AG618" t="s">
        <v>84</v>
      </c>
      <c r="AH618" s="33">
        <f t="shared" si="28"/>
      </c>
      <c r="AI618" s="33">
        <f t="shared" si="29"/>
      </c>
    </row>
    <row r="619" ht="27.6" customHeight="1" spans="1:35" x14ac:dyDescent="0.25">
      <c r="A619" s="27" t="s">
        <v>2208</v>
      </c>
      <c r="B619">
        <f t="shared" si="27"/>
        <v>0</v>
      </c>
      <c r="C619" t="s">
        <v>64</v>
      </c>
      <c r="D619" s="27" t="s">
        <v>102</v>
      </c>
      <c r="E619" t="s">
        <v>2209</v>
      </c>
      <c r="F619" s="28">
        <v>0</v>
      </c>
      <c r="G619" s="29">
        <v>1</v>
      </c>
      <c r="H619" s="30" t="s">
        <v>2210</v>
      </c>
      <c r="I619" t="s">
        <v>65</v>
      </c>
      <c r="J6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145</v>
      </c>
      <c r="L619" t="s">
        <v>146</v>
      </c>
      <c r="N619" s="29">
        <v>1</v>
      </c>
      <c r="P619" s="29">
        <v>1</v>
      </c>
      <c r="R619" s="29">
        <v>1</v>
      </c>
      <c r="S619" t="s">
        <v>70</v>
      </c>
      <c r="T619" t="s">
        <v>72</v>
      </c>
      <c r="U619" s="32">
        <v>30</v>
      </c>
      <c r="V619">
        <v>30</v>
      </c>
      <c r="W619" t="s">
        <v>79</v>
      </c>
      <c r="X619" t="s">
        <v>240</v>
      </c>
      <c r="Y619" t="s">
        <v>2209</v>
      </c>
      <c r="AA619" t="s">
        <v>75</v>
      </c>
      <c r="AC619" t="s">
        <v>83</v>
      </c>
      <c r="AE619" t="s">
        <v>75</v>
      </c>
      <c r="AF619" t="s">
        <v>84</v>
      </c>
      <c r="AG619" t="s">
        <v>84</v>
      </c>
      <c r="AH619" s="33">
        <f t="shared" si="28"/>
      </c>
      <c r="AI619" s="33">
        <f t="shared" si="29"/>
      </c>
    </row>
    <row r="620" ht="27.6" customHeight="1" spans="1:35" x14ac:dyDescent="0.25">
      <c r="A620" s="27" t="s">
        <v>2211</v>
      </c>
      <c r="B620">
        <f t="shared" si="27"/>
        <v>0</v>
      </c>
      <c r="C620" t="s">
        <v>64</v>
      </c>
      <c r="D620" s="27" t="s">
        <v>102</v>
      </c>
      <c r="E620" t="s">
        <v>2212</v>
      </c>
      <c r="F620" s="28">
        <v>0</v>
      </c>
      <c r="G620" s="29">
        <v>1</v>
      </c>
      <c r="H620" s="30" t="s">
        <v>2213</v>
      </c>
      <c r="I620" t="s">
        <v>65</v>
      </c>
      <c r="J6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145</v>
      </c>
      <c r="L620" t="s">
        <v>146</v>
      </c>
      <c r="N620" s="29">
        <v>1</v>
      </c>
      <c r="P620" s="29">
        <v>1</v>
      </c>
      <c r="R620" s="29">
        <v>1</v>
      </c>
      <c r="S620" t="s">
        <v>70</v>
      </c>
      <c r="T620" t="s">
        <v>72</v>
      </c>
      <c r="U620" s="32">
        <v>30</v>
      </c>
      <c r="V620">
        <v>30</v>
      </c>
      <c r="W620" t="s">
        <v>79</v>
      </c>
      <c r="X620" t="s">
        <v>240</v>
      </c>
      <c r="Y620" t="s">
        <v>2212</v>
      </c>
      <c r="AA620" t="s">
        <v>75</v>
      </c>
      <c r="AC620" t="s">
        <v>83</v>
      </c>
      <c r="AE620" t="s">
        <v>75</v>
      </c>
      <c r="AF620" t="s">
        <v>84</v>
      </c>
      <c r="AG620" t="s">
        <v>84</v>
      </c>
      <c r="AH620" s="33">
        <f t="shared" si="28"/>
      </c>
      <c r="AI620" s="33">
        <f t="shared" si="29"/>
      </c>
    </row>
    <row r="621" ht="27.6" customHeight="1" spans="1:35" x14ac:dyDescent="0.25">
      <c r="A621" s="27" t="s">
        <v>2214</v>
      </c>
      <c r="B621">
        <f t="shared" si="27"/>
        <v>0</v>
      </c>
      <c r="C621" t="s">
        <v>64</v>
      </c>
      <c r="D621" s="27" t="s">
        <v>102</v>
      </c>
      <c r="E621" t="s">
        <v>2215</v>
      </c>
      <c r="F621" s="28">
        <v>0</v>
      </c>
      <c r="G621" s="29">
        <v>1</v>
      </c>
      <c r="H621" s="30" t="s">
        <v>2216</v>
      </c>
      <c r="I621" t="s">
        <v>65</v>
      </c>
      <c r="J6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145</v>
      </c>
      <c r="L621" t="s">
        <v>146</v>
      </c>
      <c r="N621" s="29">
        <v>1</v>
      </c>
      <c r="P621" s="29">
        <v>1</v>
      </c>
      <c r="R621" s="29">
        <v>1</v>
      </c>
      <c r="S621" t="s">
        <v>70</v>
      </c>
      <c r="T621" t="s">
        <v>72</v>
      </c>
      <c r="U621" s="32">
        <v>30</v>
      </c>
      <c r="V621">
        <v>30</v>
      </c>
      <c r="W621" t="s">
        <v>79</v>
      </c>
      <c r="X621" t="s">
        <v>240</v>
      </c>
      <c r="Y621" t="s">
        <v>2217</v>
      </c>
      <c r="AA621" t="s">
        <v>75</v>
      </c>
      <c r="AC621" t="s">
        <v>83</v>
      </c>
      <c r="AE621" t="s">
        <v>75</v>
      </c>
      <c r="AF621" t="s">
        <v>84</v>
      </c>
      <c r="AG621" t="s">
        <v>84</v>
      </c>
      <c r="AH621" s="33">
        <f t="shared" si="28"/>
      </c>
      <c r="AI621" s="33">
        <f t="shared" si="29"/>
      </c>
    </row>
    <row r="622" ht="27.6" customHeight="1" spans="1:35" x14ac:dyDescent="0.25">
      <c r="A622" s="27" t="s">
        <v>297</v>
      </c>
      <c r="B622">
        <f t="shared" si="27"/>
        <v>0</v>
      </c>
      <c r="C622" t="s">
        <v>64</v>
      </c>
      <c r="D622" s="27" t="s">
        <v>102</v>
      </c>
      <c r="E622" t="s">
        <v>300</v>
      </c>
      <c r="F622" s="28">
        <v>0</v>
      </c>
      <c r="G622" s="29">
        <v>1</v>
      </c>
      <c r="H622" s="30" t="s">
        <v>2218</v>
      </c>
      <c r="I622" t="s">
        <v>65</v>
      </c>
      <c r="J6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145</v>
      </c>
      <c r="L622" t="s">
        <v>146</v>
      </c>
      <c r="N622" s="29">
        <v>1</v>
      </c>
      <c r="P622" s="29">
        <v>1</v>
      </c>
      <c r="R622" s="29">
        <v>1</v>
      </c>
      <c r="S622" t="s">
        <v>70</v>
      </c>
      <c r="T622" t="s">
        <v>72</v>
      </c>
      <c r="U622" s="32">
        <v>30</v>
      </c>
      <c r="V622">
        <v>30</v>
      </c>
      <c r="W622" t="s">
        <v>79</v>
      </c>
      <c r="X622" t="s">
        <v>240</v>
      </c>
      <c r="Y622" t="s">
        <v>298</v>
      </c>
      <c r="AA622" t="s">
        <v>75</v>
      </c>
      <c r="AC622" t="s">
        <v>83</v>
      </c>
      <c r="AE622" t="s">
        <v>75</v>
      </c>
      <c r="AF622" t="s">
        <v>84</v>
      </c>
      <c r="AG622" t="s">
        <v>84</v>
      </c>
      <c r="AH622" s="33">
        <f t="shared" si="28"/>
      </c>
      <c r="AI622" s="33">
        <f t="shared" si="29"/>
      </c>
    </row>
    <row r="623" ht="27.6" customHeight="1" spans="1:35" x14ac:dyDescent="0.25">
      <c r="A623" s="27" t="s">
        <v>644</v>
      </c>
      <c r="B623">
        <f t="shared" si="27"/>
        <v>0</v>
      </c>
      <c r="C623" t="s">
        <v>64</v>
      </c>
      <c r="D623" s="27" t="s">
        <v>2219</v>
      </c>
      <c r="E623" t="s">
        <v>2220</v>
      </c>
      <c r="F623" s="28">
        <v>4</v>
      </c>
      <c r="G623" s="29">
        <v>2</v>
      </c>
      <c r="H623" s="30" t="s">
        <v>2221</v>
      </c>
      <c r="I623" t="s">
        <v>65</v>
      </c>
      <c r="J6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145</v>
      </c>
      <c r="L623" t="s">
        <v>146</v>
      </c>
      <c r="N623" s="29">
        <v>2</v>
      </c>
      <c r="P623" s="29">
        <v>2</v>
      </c>
      <c r="R623" s="29">
        <v>2</v>
      </c>
      <c r="S623" t="s">
        <v>70</v>
      </c>
      <c r="T623" t="s">
        <v>72</v>
      </c>
      <c r="U623" s="32">
        <v>30</v>
      </c>
      <c r="V623">
        <v>30</v>
      </c>
      <c r="W623" t="s">
        <v>79</v>
      </c>
      <c r="X623" t="s">
        <v>240</v>
      </c>
      <c r="Y623" t="s">
        <v>2222</v>
      </c>
      <c r="AA623" t="s">
        <v>75</v>
      </c>
      <c r="AC623" t="s">
        <v>83</v>
      </c>
      <c r="AE623" t="s">
        <v>75</v>
      </c>
      <c r="AF623" t="s">
        <v>84</v>
      </c>
      <c r="AG623" t="s">
        <v>84</v>
      </c>
      <c r="AH623" s="33">
        <f t="shared" si="28"/>
      </c>
      <c r="AI623" s="33">
        <f t="shared" si="29"/>
      </c>
    </row>
    <row r="624" ht="27.6" customHeight="1" spans="1:35" x14ac:dyDescent="0.25">
      <c r="A624" s="27" t="s">
        <v>1852</v>
      </c>
      <c r="B624">
        <f t="shared" si="27"/>
        <v>0</v>
      </c>
      <c r="C624" t="s">
        <v>64</v>
      </c>
      <c r="D624" s="27" t="s">
        <v>2223</v>
      </c>
      <c r="E624" t="s">
        <v>2224</v>
      </c>
      <c r="F624" s="28">
        <v>2</v>
      </c>
      <c r="G624" s="29">
        <v>2</v>
      </c>
      <c r="H624" s="30" t="s">
        <v>2225</v>
      </c>
      <c r="I624" t="s">
        <v>65</v>
      </c>
      <c r="J6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145</v>
      </c>
      <c r="L624" t="s">
        <v>146</v>
      </c>
      <c r="N624" s="29">
        <v>2</v>
      </c>
      <c r="P624" s="29">
        <v>2</v>
      </c>
      <c r="R624" s="29">
        <v>2</v>
      </c>
      <c r="S624" t="s">
        <v>70</v>
      </c>
      <c r="T624" t="s">
        <v>72</v>
      </c>
      <c r="U624" s="32">
        <v>30</v>
      </c>
      <c r="V624">
        <v>30</v>
      </c>
      <c r="W624" t="s">
        <v>79</v>
      </c>
      <c r="X624" t="s">
        <v>240</v>
      </c>
      <c r="Y624" t="s">
        <v>2226</v>
      </c>
      <c r="AA624" t="s">
        <v>75</v>
      </c>
      <c r="AC624" t="s">
        <v>83</v>
      </c>
      <c r="AE624" t="s">
        <v>75</v>
      </c>
      <c r="AF624" t="s">
        <v>84</v>
      </c>
      <c r="AG624" t="s">
        <v>84</v>
      </c>
      <c r="AH624" s="33">
        <f t="shared" si="28"/>
      </c>
      <c r="AI624" s="33">
        <f t="shared" si="29"/>
      </c>
    </row>
    <row r="625" ht="27.6" customHeight="1" spans="1:35" x14ac:dyDescent="0.25">
      <c r="A625" s="27" t="s">
        <v>2227</v>
      </c>
      <c r="B625">
        <f t="shared" si="27"/>
        <v>0</v>
      </c>
      <c r="C625" t="s">
        <v>64</v>
      </c>
      <c r="D625" s="27" t="s">
        <v>102</v>
      </c>
      <c r="E625" t="s">
        <v>639</v>
      </c>
      <c r="F625" s="28">
        <v>0</v>
      </c>
      <c r="G625" s="29">
        <v>1</v>
      </c>
      <c r="H625" s="30" t="s">
        <v>2228</v>
      </c>
      <c r="I625" t="s">
        <v>65</v>
      </c>
      <c r="J6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145</v>
      </c>
      <c r="L625" t="s">
        <v>146</v>
      </c>
      <c r="N625" s="29">
        <v>1</v>
      </c>
      <c r="P625" s="29">
        <v>1</v>
      </c>
      <c r="R625" s="29">
        <v>1</v>
      </c>
      <c r="S625" t="s">
        <v>70</v>
      </c>
      <c r="T625" t="s">
        <v>72</v>
      </c>
      <c r="U625" s="32">
        <v>30</v>
      </c>
      <c r="V625">
        <v>30</v>
      </c>
      <c r="W625" t="s">
        <v>79</v>
      </c>
      <c r="X625" t="s">
        <v>240</v>
      </c>
      <c r="Y625" t="s">
        <v>2229</v>
      </c>
      <c r="AA625" t="s">
        <v>75</v>
      </c>
      <c r="AC625" t="s">
        <v>83</v>
      </c>
      <c r="AE625" t="s">
        <v>75</v>
      </c>
      <c r="AF625" t="s">
        <v>84</v>
      </c>
      <c r="AG625" t="s">
        <v>84</v>
      </c>
      <c r="AH625" s="33">
        <f t="shared" si="28"/>
      </c>
      <c r="AI625" s="33">
        <f t="shared" si="29"/>
      </c>
    </row>
    <row r="626" ht="27.6" customHeight="1" spans="1:35" x14ac:dyDescent="0.25">
      <c r="A626" s="27" t="s">
        <v>2230</v>
      </c>
      <c r="B626">
        <f t="shared" si="27"/>
        <v>0</v>
      </c>
      <c r="C626" t="s">
        <v>64</v>
      </c>
      <c r="D626" s="27" t="s">
        <v>102</v>
      </c>
      <c r="E626" t="s">
        <v>2231</v>
      </c>
      <c r="F626" s="28">
        <v>0</v>
      </c>
      <c r="G626" s="29">
        <v>1</v>
      </c>
      <c r="H626" s="30" t="s">
        <v>2232</v>
      </c>
      <c r="I626" t="s">
        <v>65</v>
      </c>
      <c r="J6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145</v>
      </c>
      <c r="L626" t="s">
        <v>146</v>
      </c>
      <c r="N626" s="29">
        <v>1</v>
      </c>
      <c r="P626" s="29">
        <v>1</v>
      </c>
      <c r="R626" s="29">
        <v>1</v>
      </c>
      <c r="S626" t="s">
        <v>70</v>
      </c>
      <c r="T626" t="s">
        <v>72</v>
      </c>
      <c r="U626" s="32">
        <v>30</v>
      </c>
      <c r="V626">
        <v>30</v>
      </c>
      <c r="W626" t="s">
        <v>79</v>
      </c>
      <c r="X626" t="s">
        <v>240</v>
      </c>
      <c r="Y626" t="s">
        <v>2233</v>
      </c>
      <c r="AA626" t="s">
        <v>75</v>
      </c>
      <c r="AC626" t="s">
        <v>83</v>
      </c>
      <c r="AE626" t="s">
        <v>75</v>
      </c>
      <c r="AF626" t="s">
        <v>84</v>
      </c>
      <c r="AG626" t="s">
        <v>84</v>
      </c>
      <c r="AH626" s="33">
        <f t="shared" si="28"/>
      </c>
      <c r="AI626" s="33">
        <f t="shared" si="29"/>
      </c>
    </row>
    <row r="627" ht="27.6" customHeight="1" spans="1:35" x14ac:dyDescent="0.25">
      <c r="A627" s="27" t="s">
        <v>2234</v>
      </c>
      <c r="B627">
        <f t="shared" si="27"/>
        <v>0</v>
      </c>
      <c r="C627" t="s">
        <v>64</v>
      </c>
      <c r="D627" s="27" t="s">
        <v>2235</v>
      </c>
      <c r="E627" t="s">
        <v>2236</v>
      </c>
      <c r="F627" s="28">
        <v>0</v>
      </c>
      <c r="G627" s="29">
        <v>2</v>
      </c>
      <c r="H627" s="30" t="s">
        <v>2237</v>
      </c>
      <c r="I627" t="s">
        <v>65</v>
      </c>
      <c r="J6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145</v>
      </c>
      <c r="L627" t="s">
        <v>146</v>
      </c>
      <c r="N627" s="29">
        <v>2</v>
      </c>
      <c r="P627" s="29">
        <v>2</v>
      </c>
      <c r="R627" s="29">
        <v>2</v>
      </c>
      <c r="S627" t="s">
        <v>70</v>
      </c>
      <c r="T627" t="s">
        <v>72</v>
      </c>
      <c r="U627" s="32">
        <v>30</v>
      </c>
      <c r="V627">
        <v>30</v>
      </c>
      <c r="W627" t="s">
        <v>79</v>
      </c>
      <c r="X627" t="s">
        <v>240</v>
      </c>
      <c r="Y627" t="s">
        <v>445</v>
      </c>
      <c r="AA627" t="s">
        <v>75</v>
      </c>
      <c r="AC627" t="s">
        <v>83</v>
      </c>
      <c r="AE627" t="s">
        <v>75</v>
      </c>
      <c r="AF627" t="s">
        <v>84</v>
      </c>
      <c r="AG627" t="s">
        <v>84</v>
      </c>
      <c r="AH627" s="33">
        <f t="shared" si="28"/>
      </c>
      <c r="AI627" s="33">
        <f t="shared" si="29"/>
      </c>
    </row>
    <row r="628" ht="27.6" customHeight="1" spans="1:35" x14ac:dyDescent="0.25">
      <c r="A628" s="27" t="s">
        <v>2238</v>
      </c>
      <c r="B628">
        <f t="shared" si="27"/>
        <v>0</v>
      </c>
      <c r="C628" t="s">
        <v>64</v>
      </c>
      <c r="D628" s="27" t="s">
        <v>2239</v>
      </c>
      <c r="E628" t="s">
        <v>2240</v>
      </c>
      <c r="F628" s="28">
        <v>0</v>
      </c>
      <c r="G628" s="29">
        <v>1</v>
      </c>
      <c r="H628" s="30" t="s">
        <v>2241</v>
      </c>
      <c r="I628" t="s">
        <v>65</v>
      </c>
      <c r="J6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145</v>
      </c>
      <c r="L628" t="s">
        <v>146</v>
      </c>
      <c r="N628" s="29">
        <v>1</v>
      </c>
      <c r="P628" s="29">
        <v>1</v>
      </c>
      <c r="R628" s="29">
        <v>1</v>
      </c>
      <c r="S628" t="s">
        <v>70</v>
      </c>
      <c r="T628" t="s">
        <v>72</v>
      </c>
      <c r="U628" s="32">
        <v>30</v>
      </c>
      <c r="V628">
        <v>30</v>
      </c>
      <c r="W628" t="s">
        <v>79</v>
      </c>
      <c r="X628" t="s">
        <v>240</v>
      </c>
      <c r="Y628" t="s">
        <v>2240</v>
      </c>
      <c r="AA628" t="s">
        <v>75</v>
      </c>
      <c r="AC628" t="s">
        <v>83</v>
      </c>
      <c r="AE628" t="s">
        <v>75</v>
      </c>
      <c r="AF628" t="s">
        <v>84</v>
      </c>
      <c r="AG628" t="s">
        <v>84</v>
      </c>
      <c r="AH628" s="33">
        <f t="shared" si="28"/>
      </c>
      <c r="AI628" s="33">
        <f t="shared" si="29"/>
      </c>
    </row>
    <row r="629" ht="27.6" customHeight="1" spans="1:35" x14ac:dyDescent="0.25">
      <c r="A629" s="27" t="s">
        <v>2242</v>
      </c>
      <c r="B629">
        <f t="shared" si="27"/>
        <v>0</v>
      </c>
      <c r="C629" t="s">
        <v>64</v>
      </c>
      <c r="D629" s="27" t="s">
        <v>2243</v>
      </c>
      <c r="E629" t="s">
        <v>2244</v>
      </c>
      <c r="F629" s="28">
        <v>0</v>
      </c>
      <c r="G629" s="29">
        <v>2</v>
      </c>
      <c r="H629" s="30" t="s">
        <v>2245</v>
      </c>
      <c r="I629" t="s">
        <v>65</v>
      </c>
      <c r="J6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145</v>
      </c>
      <c r="L629" t="s">
        <v>146</v>
      </c>
      <c r="N629" s="29">
        <v>2</v>
      </c>
      <c r="P629" s="29">
        <v>2</v>
      </c>
      <c r="R629" s="29">
        <v>2</v>
      </c>
      <c r="S629" t="s">
        <v>70</v>
      </c>
      <c r="T629" t="s">
        <v>72</v>
      </c>
      <c r="U629" s="32">
        <v>30</v>
      </c>
      <c r="V629">
        <v>30</v>
      </c>
      <c r="W629" t="s">
        <v>79</v>
      </c>
      <c r="X629" t="s">
        <v>240</v>
      </c>
      <c r="Y629" t="s">
        <v>2244</v>
      </c>
      <c r="AA629" t="s">
        <v>75</v>
      </c>
      <c r="AC629" t="s">
        <v>83</v>
      </c>
      <c r="AE629" t="s">
        <v>75</v>
      </c>
      <c r="AF629" t="s">
        <v>84</v>
      </c>
      <c r="AG629" t="s">
        <v>84</v>
      </c>
      <c r="AH629" s="33">
        <f t="shared" si="28"/>
      </c>
      <c r="AI629" s="33">
        <f t="shared" si="29"/>
      </c>
    </row>
    <row r="630" ht="27.6" customHeight="1" spans="1:35" x14ac:dyDescent="0.25">
      <c r="A630" s="27" t="s">
        <v>2246</v>
      </c>
      <c r="B630">
        <f t="shared" si="27"/>
        <v>0</v>
      </c>
      <c r="C630" t="s">
        <v>64</v>
      </c>
      <c r="D630" s="27" t="s">
        <v>2247</v>
      </c>
      <c r="E630" t="s">
        <v>2248</v>
      </c>
      <c r="F630" s="28">
        <v>0</v>
      </c>
      <c r="G630" s="29">
        <v>1</v>
      </c>
      <c r="H630" s="30" t="s">
        <v>2249</v>
      </c>
      <c r="I630" t="s">
        <v>65</v>
      </c>
      <c r="J6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145</v>
      </c>
      <c r="L630" t="s">
        <v>146</v>
      </c>
      <c r="N630" s="29">
        <v>1</v>
      </c>
      <c r="P630" s="29">
        <v>1</v>
      </c>
      <c r="R630" s="29">
        <v>1</v>
      </c>
      <c r="S630" t="s">
        <v>70</v>
      </c>
      <c r="T630" t="s">
        <v>72</v>
      </c>
      <c r="U630" s="32">
        <v>30</v>
      </c>
      <c r="V630">
        <v>30</v>
      </c>
      <c r="W630" t="s">
        <v>79</v>
      </c>
      <c r="X630" t="s">
        <v>240</v>
      </c>
      <c r="Y630" t="s">
        <v>445</v>
      </c>
      <c r="AA630" t="s">
        <v>75</v>
      </c>
      <c r="AC630" t="s">
        <v>83</v>
      </c>
      <c r="AE630" t="s">
        <v>75</v>
      </c>
      <c r="AF630" t="s">
        <v>84</v>
      </c>
      <c r="AG630" t="s">
        <v>84</v>
      </c>
      <c r="AH630" s="33">
        <f t="shared" si="28"/>
      </c>
      <c r="AI630" s="33">
        <f t="shared" si="29"/>
      </c>
    </row>
    <row r="631" ht="27.6" customHeight="1" spans="1:35" x14ac:dyDescent="0.25">
      <c r="A631" s="27" t="s">
        <v>2250</v>
      </c>
      <c r="B631">
        <f t="shared" si="27"/>
        <v>0</v>
      </c>
      <c r="C631" t="s">
        <v>64</v>
      </c>
      <c r="D631" s="27" t="s">
        <v>102</v>
      </c>
      <c r="E631" t="s">
        <v>2251</v>
      </c>
      <c r="F631" s="28">
        <v>0</v>
      </c>
      <c r="G631" s="29">
        <v>1</v>
      </c>
      <c r="H631" s="30" t="s">
        <v>2252</v>
      </c>
      <c r="I631" t="s">
        <v>65</v>
      </c>
      <c r="J6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145</v>
      </c>
      <c r="L631" t="s">
        <v>146</v>
      </c>
      <c r="N631" s="29">
        <v>1</v>
      </c>
      <c r="P631" s="29">
        <v>1</v>
      </c>
      <c r="R631" s="29">
        <v>1</v>
      </c>
      <c r="S631" t="s">
        <v>70</v>
      </c>
      <c r="T631" t="s">
        <v>72</v>
      </c>
      <c r="U631" s="32">
        <v>30</v>
      </c>
      <c r="V631">
        <v>30</v>
      </c>
      <c r="W631" t="s">
        <v>79</v>
      </c>
      <c r="X631" t="s">
        <v>240</v>
      </c>
      <c r="Y631" t="s">
        <v>2251</v>
      </c>
      <c r="AA631" t="s">
        <v>75</v>
      </c>
      <c r="AC631" t="s">
        <v>83</v>
      </c>
      <c r="AE631" t="s">
        <v>75</v>
      </c>
      <c r="AF631" t="s">
        <v>84</v>
      </c>
      <c r="AG631" t="s">
        <v>84</v>
      </c>
      <c r="AH631" s="33">
        <f t="shared" si="28"/>
      </c>
      <c r="AI631" s="33">
        <f t="shared" si="29"/>
      </c>
    </row>
    <row r="632" ht="27.6" customHeight="1" spans="1:35" x14ac:dyDescent="0.25">
      <c r="A632" s="27" t="s">
        <v>2120</v>
      </c>
      <c r="B632">
        <f t="shared" si="27"/>
        <v>0</v>
      </c>
      <c r="C632" t="s">
        <v>64</v>
      </c>
      <c r="D632" s="27" t="s">
        <v>102</v>
      </c>
      <c r="E632" t="s">
        <v>2253</v>
      </c>
      <c r="F632" s="28">
        <v>0</v>
      </c>
      <c r="G632" s="29">
        <v>1</v>
      </c>
      <c r="H632" s="30" t="s">
        <v>2254</v>
      </c>
      <c r="I632" t="s">
        <v>65</v>
      </c>
      <c r="J6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145</v>
      </c>
      <c r="L632" t="s">
        <v>146</v>
      </c>
      <c r="N632" s="29">
        <v>1</v>
      </c>
      <c r="P632" s="29">
        <v>1</v>
      </c>
      <c r="R632" s="29">
        <v>1</v>
      </c>
      <c r="S632" t="s">
        <v>70</v>
      </c>
      <c r="T632" t="s">
        <v>72</v>
      </c>
      <c r="U632" s="32">
        <v>30</v>
      </c>
      <c r="V632">
        <v>30</v>
      </c>
      <c r="W632" t="s">
        <v>79</v>
      </c>
      <c r="X632" t="s">
        <v>240</v>
      </c>
      <c r="Y632" t="s">
        <v>2121</v>
      </c>
      <c r="AA632" t="s">
        <v>75</v>
      </c>
      <c r="AC632" t="s">
        <v>83</v>
      </c>
      <c r="AE632" t="s">
        <v>75</v>
      </c>
      <c r="AF632" t="s">
        <v>84</v>
      </c>
      <c r="AG632" t="s">
        <v>84</v>
      </c>
      <c r="AH632" s="33">
        <f t="shared" si="28"/>
      </c>
      <c r="AI632" s="33">
        <f t="shared" si="29"/>
      </c>
    </row>
    <row r="633" ht="27.6" customHeight="1" spans="1:35" x14ac:dyDescent="0.25">
      <c r="A633" s="27" t="s">
        <v>2255</v>
      </c>
      <c r="B633">
        <f t="shared" si="27"/>
        <v>0</v>
      </c>
      <c r="C633" t="s">
        <v>64</v>
      </c>
      <c r="D633" s="27" t="s">
        <v>102</v>
      </c>
      <c r="E633" t="s">
        <v>2256</v>
      </c>
      <c r="F633" s="28">
        <v>2</v>
      </c>
      <c r="G633" s="29">
        <v>1</v>
      </c>
      <c r="H633" s="30" t="s">
        <v>2257</v>
      </c>
      <c r="I633" t="s">
        <v>65</v>
      </c>
      <c r="J6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145</v>
      </c>
      <c r="L633" t="s">
        <v>146</v>
      </c>
      <c r="N633" s="29">
        <v>1</v>
      </c>
      <c r="P633" s="29">
        <v>1</v>
      </c>
      <c r="R633" s="29">
        <v>1</v>
      </c>
      <c r="S633" t="s">
        <v>70</v>
      </c>
      <c r="T633" t="s">
        <v>72</v>
      </c>
      <c r="U633" s="32">
        <v>30</v>
      </c>
      <c r="V633">
        <v>30</v>
      </c>
      <c r="W633" t="s">
        <v>79</v>
      </c>
      <c r="X633" t="s">
        <v>240</v>
      </c>
      <c r="Y633" t="s">
        <v>2256</v>
      </c>
      <c r="AA633" t="s">
        <v>75</v>
      </c>
      <c r="AC633" t="s">
        <v>83</v>
      </c>
      <c r="AE633" t="s">
        <v>75</v>
      </c>
      <c r="AF633" t="s">
        <v>84</v>
      </c>
      <c r="AG633" t="s">
        <v>84</v>
      </c>
      <c r="AH633" s="33">
        <f t="shared" si="28"/>
      </c>
      <c r="AI633" s="33">
        <f t="shared" si="29"/>
      </c>
    </row>
    <row r="634" ht="27.6" customHeight="1" spans="1:35" x14ac:dyDescent="0.25">
      <c r="A634" s="27" t="s">
        <v>1546</v>
      </c>
      <c r="B634">
        <f t="shared" si="27"/>
        <v>0</v>
      </c>
      <c r="C634" t="s">
        <v>64</v>
      </c>
      <c r="D634" s="27" t="s">
        <v>2258</v>
      </c>
      <c r="E634" t="s">
        <v>2259</v>
      </c>
      <c r="F634" s="28">
        <v>0</v>
      </c>
      <c r="G634" s="29">
        <v>2</v>
      </c>
      <c r="H634" s="30" t="s">
        <v>2260</v>
      </c>
      <c r="I634" t="s">
        <v>65</v>
      </c>
      <c r="J6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145</v>
      </c>
      <c r="L634" t="s">
        <v>146</v>
      </c>
      <c r="N634" s="29">
        <v>2</v>
      </c>
      <c r="P634" s="29">
        <v>2</v>
      </c>
      <c r="R634" s="29">
        <v>2</v>
      </c>
      <c r="S634" t="s">
        <v>70</v>
      </c>
      <c r="T634" t="s">
        <v>72</v>
      </c>
      <c r="U634" s="32">
        <v>30</v>
      </c>
      <c r="V634">
        <v>30</v>
      </c>
      <c r="W634" t="s">
        <v>79</v>
      </c>
      <c r="X634" t="s">
        <v>240</v>
      </c>
      <c r="Y634" t="s">
        <v>2261</v>
      </c>
      <c r="AA634" t="s">
        <v>75</v>
      </c>
      <c r="AC634" t="s">
        <v>83</v>
      </c>
      <c r="AE634" t="s">
        <v>75</v>
      </c>
      <c r="AF634" t="s">
        <v>84</v>
      </c>
      <c r="AG634" t="s">
        <v>84</v>
      </c>
      <c r="AH634" s="33">
        <f t="shared" si="28"/>
      </c>
      <c r="AI634" s="33">
        <f t="shared" si="29"/>
      </c>
    </row>
    <row r="635" ht="27.6" customHeight="1" spans="1:35" x14ac:dyDescent="0.25">
      <c r="A635" s="27" t="s">
        <v>2262</v>
      </c>
      <c r="B635">
        <f t="shared" si="27"/>
        <v>0</v>
      </c>
      <c r="C635" t="s">
        <v>64</v>
      </c>
      <c r="D635" s="27" t="s">
        <v>2258</v>
      </c>
      <c r="E635" t="s">
        <v>2259</v>
      </c>
      <c r="F635" s="28">
        <v>0</v>
      </c>
      <c r="G635" s="29">
        <v>2</v>
      </c>
      <c r="H635" s="30" t="s">
        <v>2263</v>
      </c>
      <c r="I635" t="s">
        <v>65</v>
      </c>
      <c r="J6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145</v>
      </c>
      <c r="L635" t="s">
        <v>146</v>
      </c>
      <c r="N635" s="29">
        <v>2</v>
      </c>
      <c r="P635" s="29">
        <v>2</v>
      </c>
      <c r="R635" s="29">
        <v>2</v>
      </c>
      <c r="S635" t="s">
        <v>70</v>
      </c>
      <c r="T635" t="s">
        <v>72</v>
      </c>
      <c r="U635" s="32">
        <v>30</v>
      </c>
      <c r="V635">
        <v>30</v>
      </c>
      <c r="W635" t="s">
        <v>79</v>
      </c>
      <c r="X635" t="s">
        <v>240</v>
      </c>
      <c r="Y635" t="s">
        <v>2261</v>
      </c>
      <c r="AA635" t="s">
        <v>75</v>
      </c>
      <c r="AC635" t="s">
        <v>83</v>
      </c>
      <c r="AE635" t="s">
        <v>75</v>
      </c>
      <c r="AF635" t="s">
        <v>84</v>
      </c>
      <c r="AG635" t="s">
        <v>84</v>
      </c>
      <c r="AH635" s="33">
        <f t="shared" si="28"/>
      </c>
      <c r="AI635" s="33">
        <f t="shared" si="29"/>
      </c>
    </row>
    <row r="636" ht="27.6" customHeight="1" spans="1:35" x14ac:dyDescent="0.25">
      <c r="A636" s="27" t="s">
        <v>2264</v>
      </c>
      <c r="B636">
        <f t="shared" si="27"/>
        <v>0</v>
      </c>
      <c r="C636" t="s">
        <v>64</v>
      </c>
      <c r="D636" s="27" t="s">
        <v>102</v>
      </c>
      <c r="E636" t="s">
        <v>2265</v>
      </c>
      <c r="F636" s="28">
        <v>0</v>
      </c>
      <c r="G636" s="29">
        <v>2</v>
      </c>
      <c r="H636" s="30" t="s">
        <v>2266</v>
      </c>
      <c r="I636" t="s">
        <v>65</v>
      </c>
      <c r="J6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145</v>
      </c>
      <c r="L636" t="s">
        <v>146</v>
      </c>
      <c r="N636" s="29">
        <v>2</v>
      </c>
      <c r="P636" s="29">
        <v>2</v>
      </c>
      <c r="R636" s="29">
        <v>2</v>
      </c>
      <c r="S636" t="s">
        <v>70</v>
      </c>
      <c r="T636" t="s">
        <v>72</v>
      </c>
      <c r="U636" s="32">
        <v>30</v>
      </c>
      <c r="V636">
        <v>30</v>
      </c>
      <c r="W636" t="s">
        <v>79</v>
      </c>
      <c r="X636" t="s">
        <v>240</v>
      </c>
      <c r="Y636" t="s">
        <v>2267</v>
      </c>
      <c r="AA636" t="s">
        <v>75</v>
      </c>
      <c r="AC636" t="s">
        <v>83</v>
      </c>
      <c r="AE636" t="s">
        <v>75</v>
      </c>
      <c r="AF636" t="s">
        <v>84</v>
      </c>
      <c r="AG636" t="s">
        <v>84</v>
      </c>
      <c r="AH636" s="33">
        <f t="shared" si="28"/>
      </c>
      <c r="AI636" s="33">
        <f t="shared" si="29"/>
      </c>
    </row>
    <row r="637" ht="27.6" customHeight="1" spans="1:35" x14ac:dyDescent="0.25">
      <c r="A637" s="27" t="s">
        <v>2268</v>
      </c>
      <c r="B637">
        <f t="shared" si="27"/>
        <v>0</v>
      </c>
      <c r="C637" t="s">
        <v>64</v>
      </c>
      <c r="D637" s="27" t="s">
        <v>102</v>
      </c>
      <c r="E637" t="s">
        <v>2265</v>
      </c>
      <c r="F637" s="28">
        <v>0</v>
      </c>
      <c r="G637" s="29">
        <v>2</v>
      </c>
      <c r="H637" s="30" t="s">
        <v>2269</v>
      </c>
      <c r="I637" t="s">
        <v>65</v>
      </c>
      <c r="J6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145</v>
      </c>
      <c r="L637" t="s">
        <v>146</v>
      </c>
      <c r="N637" s="29">
        <v>2</v>
      </c>
      <c r="P637" s="29">
        <v>2</v>
      </c>
      <c r="R637" s="29">
        <v>2</v>
      </c>
      <c r="S637" t="s">
        <v>70</v>
      </c>
      <c r="T637" t="s">
        <v>72</v>
      </c>
      <c r="U637" s="32">
        <v>30</v>
      </c>
      <c r="V637">
        <v>30</v>
      </c>
      <c r="W637" t="s">
        <v>79</v>
      </c>
      <c r="X637" t="s">
        <v>240</v>
      </c>
      <c r="Y637" t="s">
        <v>2267</v>
      </c>
      <c r="AA637" t="s">
        <v>75</v>
      </c>
      <c r="AC637" t="s">
        <v>83</v>
      </c>
      <c r="AE637" t="s">
        <v>75</v>
      </c>
      <c r="AF637" t="s">
        <v>84</v>
      </c>
      <c r="AG637" t="s">
        <v>84</v>
      </c>
      <c r="AH637" s="33">
        <f t="shared" si="28"/>
      </c>
      <c r="AI637" s="33">
        <f t="shared" si="29"/>
      </c>
    </row>
    <row r="638" ht="27.6" customHeight="1" spans="1:35" x14ac:dyDescent="0.25">
      <c r="A638" s="27" t="s">
        <v>2270</v>
      </c>
      <c r="B638">
        <f t="shared" si="27"/>
        <v>0</v>
      </c>
      <c r="C638" t="s">
        <v>64</v>
      </c>
      <c r="D638" s="27" t="s">
        <v>102</v>
      </c>
      <c r="E638" t="s">
        <v>2271</v>
      </c>
      <c r="F638" s="28">
        <v>0</v>
      </c>
      <c r="G638" s="29">
        <v>1</v>
      </c>
      <c r="H638" s="30" t="s">
        <v>2272</v>
      </c>
      <c r="I638" t="s">
        <v>65</v>
      </c>
      <c r="J6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145</v>
      </c>
      <c r="L638" t="s">
        <v>146</v>
      </c>
      <c r="N638" s="29">
        <v>1</v>
      </c>
      <c r="P638" s="29">
        <v>1</v>
      </c>
      <c r="R638" s="29">
        <v>1</v>
      </c>
      <c r="S638" t="s">
        <v>70</v>
      </c>
      <c r="T638" t="s">
        <v>72</v>
      </c>
      <c r="U638" s="32">
        <v>30</v>
      </c>
      <c r="V638">
        <v>30</v>
      </c>
      <c r="W638" t="s">
        <v>79</v>
      </c>
      <c r="X638" t="s">
        <v>240</v>
      </c>
      <c r="Y638" t="s">
        <v>2273</v>
      </c>
      <c r="AA638" t="s">
        <v>75</v>
      </c>
      <c r="AC638" t="s">
        <v>83</v>
      </c>
      <c r="AE638" t="s">
        <v>75</v>
      </c>
      <c r="AF638" t="s">
        <v>84</v>
      </c>
      <c r="AG638" t="s">
        <v>84</v>
      </c>
      <c r="AH638" s="33">
        <f t="shared" si="28"/>
      </c>
      <c r="AI638" s="33">
        <f t="shared" si="29"/>
      </c>
    </row>
    <row r="639" ht="27.6" customHeight="1" spans="1:35" x14ac:dyDescent="0.25">
      <c r="A639" s="27" t="s">
        <v>464</v>
      </c>
      <c r="B639">
        <f t="shared" si="27"/>
        <v>0</v>
      </c>
      <c r="C639" t="s">
        <v>64</v>
      </c>
      <c r="D639" s="27" t="s">
        <v>102</v>
      </c>
      <c r="E639" t="s">
        <v>2274</v>
      </c>
      <c r="F639" s="28">
        <v>0</v>
      </c>
      <c r="G639" s="29">
        <v>1</v>
      </c>
      <c r="H639" s="30" t="s">
        <v>2275</v>
      </c>
      <c r="I639" t="s">
        <v>65</v>
      </c>
      <c r="J6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145</v>
      </c>
      <c r="L639" t="s">
        <v>146</v>
      </c>
      <c r="N639" s="29">
        <v>1</v>
      </c>
      <c r="P639" s="29">
        <v>1</v>
      </c>
      <c r="R639" s="29">
        <v>1</v>
      </c>
      <c r="S639" t="s">
        <v>70</v>
      </c>
      <c r="T639" t="s">
        <v>72</v>
      </c>
      <c r="U639" s="32">
        <v>30</v>
      </c>
      <c r="V639">
        <v>30</v>
      </c>
      <c r="W639" t="s">
        <v>79</v>
      </c>
      <c r="X639" t="s">
        <v>166</v>
      </c>
      <c r="Y639" t="s">
        <v>2276</v>
      </c>
      <c r="AA639" t="s">
        <v>75</v>
      </c>
      <c r="AC639" t="s">
        <v>83</v>
      </c>
      <c r="AE639" t="s">
        <v>75</v>
      </c>
      <c r="AF639" t="s">
        <v>84</v>
      </c>
      <c r="AG639" t="s">
        <v>84</v>
      </c>
      <c r="AH639" s="33">
        <f t="shared" si="28"/>
      </c>
      <c r="AI639" s="33">
        <f t="shared" si="29"/>
      </c>
    </row>
    <row r="640" ht="27.6" customHeight="1" spans="1:35" x14ac:dyDescent="0.25">
      <c r="A640" s="27" t="s">
        <v>760</v>
      </c>
      <c r="B640">
        <f t="shared" si="27"/>
        <v>0</v>
      </c>
      <c r="C640" t="s">
        <v>64</v>
      </c>
      <c r="D640" s="27" t="s">
        <v>102</v>
      </c>
      <c r="E640" t="s">
        <v>2277</v>
      </c>
      <c r="F640" s="28">
        <v>0</v>
      </c>
      <c r="G640" s="29">
        <v>1</v>
      </c>
      <c r="H640" s="30" t="s">
        <v>2278</v>
      </c>
      <c r="I640" t="s">
        <v>65</v>
      </c>
      <c r="J6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145</v>
      </c>
      <c r="L640" t="s">
        <v>146</v>
      </c>
      <c r="N640" s="29">
        <v>1</v>
      </c>
      <c r="P640" s="29">
        <v>1</v>
      </c>
      <c r="R640" s="29">
        <v>1</v>
      </c>
      <c r="S640" t="s">
        <v>70</v>
      </c>
      <c r="T640" t="s">
        <v>72</v>
      </c>
      <c r="U640" s="32">
        <v>30</v>
      </c>
      <c r="V640">
        <v>30</v>
      </c>
      <c r="W640" t="s">
        <v>79</v>
      </c>
      <c r="X640" t="s">
        <v>166</v>
      </c>
      <c r="Y640" t="s">
        <v>2277</v>
      </c>
      <c r="AA640" t="s">
        <v>75</v>
      </c>
      <c r="AC640" t="s">
        <v>83</v>
      </c>
      <c r="AE640" t="s">
        <v>75</v>
      </c>
      <c r="AF640" t="s">
        <v>84</v>
      </c>
      <c r="AG640" t="s">
        <v>84</v>
      </c>
      <c r="AH640" s="33">
        <f t="shared" si="28"/>
      </c>
      <c r="AI640" s="33">
        <f t="shared" si="29"/>
      </c>
    </row>
    <row r="641" ht="27.6" customHeight="1" spans="1:35" x14ac:dyDescent="0.25">
      <c r="A641" s="27" t="s">
        <v>587</v>
      </c>
      <c r="B641">
        <f t="shared" si="27"/>
        <v>0</v>
      </c>
      <c r="C641" t="s">
        <v>64</v>
      </c>
      <c r="D641" s="27" t="s">
        <v>102</v>
      </c>
      <c r="E641" t="s">
        <v>2279</v>
      </c>
      <c r="F641" s="28">
        <v>0</v>
      </c>
      <c r="G641" s="29">
        <v>1</v>
      </c>
      <c r="H641" s="30" t="s">
        <v>2280</v>
      </c>
      <c r="I641" t="s">
        <v>65</v>
      </c>
      <c r="J6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145</v>
      </c>
      <c r="L641" t="s">
        <v>146</v>
      </c>
      <c r="N641" s="29">
        <v>1</v>
      </c>
      <c r="P641" s="29">
        <v>1</v>
      </c>
      <c r="R641" s="29">
        <v>1</v>
      </c>
      <c r="S641" t="s">
        <v>70</v>
      </c>
      <c r="T641" t="s">
        <v>72</v>
      </c>
      <c r="U641" s="32">
        <v>30</v>
      </c>
      <c r="V641">
        <v>30</v>
      </c>
      <c r="W641" t="s">
        <v>79</v>
      </c>
      <c r="X641" t="s">
        <v>147</v>
      </c>
      <c r="Y641" t="s">
        <v>2281</v>
      </c>
      <c r="AA641" t="s">
        <v>75</v>
      </c>
      <c r="AC641" t="s">
        <v>83</v>
      </c>
      <c r="AE641" t="s">
        <v>75</v>
      </c>
      <c r="AF641" t="s">
        <v>84</v>
      </c>
      <c r="AG641" t="s">
        <v>84</v>
      </c>
      <c r="AH641" s="33">
        <f t="shared" si="28"/>
      </c>
      <c r="AI641" s="33">
        <f t="shared" si="29"/>
      </c>
    </row>
    <row r="642" ht="27.6" customHeight="1" spans="1:35" x14ac:dyDescent="0.25">
      <c r="A642" s="27" t="s">
        <v>689</v>
      </c>
      <c r="B642">
        <f t="shared" si="27"/>
        <v>0</v>
      </c>
      <c r="C642" t="s">
        <v>64</v>
      </c>
      <c r="D642" s="27" t="s">
        <v>102</v>
      </c>
      <c r="E642" t="s">
        <v>2279</v>
      </c>
      <c r="F642" s="28">
        <v>0</v>
      </c>
      <c r="G642" s="29">
        <v>1</v>
      </c>
      <c r="H642" s="30" t="s">
        <v>2282</v>
      </c>
      <c r="I642" t="s">
        <v>65</v>
      </c>
      <c r="J6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145</v>
      </c>
      <c r="L642" t="s">
        <v>146</v>
      </c>
      <c r="N642" s="29">
        <v>1</v>
      </c>
      <c r="P642" s="29">
        <v>1</v>
      </c>
      <c r="R642" s="29">
        <v>1</v>
      </c>
      <c r="S642" t="s">
        <v>70</v>
      </c>
      <c r="T642" t="s">
        <v>72</v>
      </c>
      <c r="U642" s="32">
        <v>30</v>
      </c>
      <c r="V642">
        <v>30</v>
      </c>
      <c r="W642" t="s">
        <v>79</v>
      </c>
      <c r="X642" t="s">
        <v>147</v>
      </c>
      <c r="Y642" t="s">
        <v>2281</v>
      </c>
      <c r="AA642" t="s">
        <v>75</v>
      </c>
      <c r="AC642" t="s">
        <v>83</v>
      </c>
      <c r="AE642" t="s">
        <v>75</v>
      </c>
      <c r="AF642" t="s">
        <v>84</v>
      </c>
      <c r="AG642" t="s">
        <v>84</v>
      </c>
      <c r="AH642" s="33">
        <f t="shared" si="28"/>
      </c>
      <c r="AI642" s="33">
        <f t="shared" si="29"/>
      </c>
    </row>
    <row r="643" ht="27.6" customHeight="1" spans="1:35" x14ac:dyDescent="0.25">
      <c r="A643" s="27" t="s">
        <v>785</v>
      </c>
      <c r="B643">
        <f t="shared" si="27"/>
        <v>0</v>
      </c>
      <c r="C643" t="s">
        <v>64</v>
      </c>
      <c r="D643" s="27" t="s">
        <v>102</v>
      </c>
      <c r="E643" t="s">
        <v>2283</v>
      </c>
      <c r="F643" s="28">
        <v>0</v>
      </c>
      <c r="G643" s="29">
        <v>1</v>
      </c>
      <c r="H643" s="30" t="s">
        <v>2284</v>
      </c>
      <c r="I643" t="s">
        <v>65</v>
      </c>
      <c r="J6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145</v>
      </c>
      <c r="L643" t="s">
        <v>146</v>
      </c>
      <c r="N643" s="29">
        <v>1</v>
      </c>
      <c r="P643" s="29">
        <v>1</v>
      </c>
      <c r="R643" s="29">
        <v>1</v>
      </c>
      <c r="S643" t="s">
        <v>70</v>
      </c>
      <c r="T643" t="s">
        <v>72</v>
      </c>
      <c r="U643" s="32">
        <v>30</v>
      </c>
      <c r="V643">
        <v>30</v>
      </c>
      <c r="W643" t="s">
        <v>79</v>
      </c>
      <c r="X643" t="s">
        <v>147</v>
      </c>
      <c r="Y643" t="s">
        <v>2285</v>
      </c>
      <c r="AA643" t="s">
        <v>75</v>
      </c>
      <c r="AC643" t="s">
        <v>83</v>
      </c>
      <c r="AE643" t="s">
        <v>75</v>
      </c>
      <c r="AF643" t="s">
        <v>84</v>
      </c>
      <c r="AG643" t="s">
        <v>84</v>
      </c>
      <c r="AH643" s="33">
        <f t="shared" si="28"/>
      </c>
      <c r="AI643" s="33">
        <f t="shared" si="29"/>
      </c>
    </row>
    <row r="644" ht="27.6" customHeight="1" spans="1:35" x14ac:dyDescent="0.25">
      <c r="A644" s="27" t="s">
        <v>790</v>
      </c>
      <c r="B644">
        <f t="shared" si="27"/>
        <v>0</v>
      </c>
      <c r="C644" t="s">
        <v>64</v>
      </c>
      <c r="D644" s="27" t="s">
        <v>102</v>
      </c>
      <c r="E644" t="s">
        <v>2283</v>
      </c>
      <c r="F644" s="28">
        <v>0</v>
      </c>
      <c r="G644" s="29">
        <v>1</v>
      </c>
      <c r="H644" s="30" t="s">
        <v>2286</v>
      </c>
      <c r="I644" t="s">
        <v>65</v>
      </c>
      <c r="J6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145</v>
      </c>
      <c r="L644" t="s">
        <v>146</v>
      </c>
      <c r="N644" s="29">
        <v>1</v>
      </c>
      <c r="P644" s="29">
        <v>1</v>
      </c>
      <c r="R644" s="29">
        <v>1</v>
      </c>
      <c r="S644" t="s">
        <v>70</v>
      </c>
      <c r="T644" t="s">
        <v>72</v>
      </c>
      <c r="U644" s="32">
        <v>30</v>
      </c>
      <c r="V644">
        <v>30</v>
      </c>
      <c r="W644" t="s">
        <v>79</v>
      </c>
      <c r="X644" t="s">
        <v>147</v>
      </c>
      <c r="Y644" t="s">
        <v>2285</v>
      </c>
      <c r="AA644" t="s">
        <v>75</v>
      </c>
      <c r="AC644" t="s">
        <v>83</v>
      </c>
      <c r="AE644" t="s">
        <v>75</v>
      </c>
      <c r="AF644" t="s">
        <v>84</v>
      </c>
      <c r="AG644" t="s">
        <v>84</v>
      </c>
      <c r="AH644" s="33">
        <f t="shared" si="28"/>
      </c>
      <c r="AI644" s="33">
        <f t="shared" si="29"/>
      </c>
    </row>
    <row r="645" ht="27.6" customHeight="1" spans="1:35" x14ac:dyDescent="0.25">
      <c r="A645" s="27" t="s">
        <v>1558</v>
      </c>
      <c r="B645">
        <f t="shared" si="27"/>
        <v>0</v>
      </c>
      <c r="C645" t="s">
        <v>64</v>
      </c>
      <c r="D645" s="27" t="s">
        <v>2287</v>
      </c>
      <c r="E645" t="s">
        <v>2288</v>
      </c>
      <c r="F645" s="28">
        <v>0</v>
      </c>
      <c r="G645" s="29">
        <v>1</v>
      </c>
      <c r="H645" s="30" t="s">
        <v>2289</v>
      </c>
      <c r="I645" t="s">
        <v>65</v>
      </c>
      <c r="J6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145</v>
      </c>
      <c r="L645" t="s">
        <v>146</v>
      </c>
      <c r="N645" s="29">
        <v>1</v>
      </c>
      <c r="P645" s="29">
        <v>1</v>
      </c>
      <c r="R645" s="29">
        <v>1</v>
      </c>
      <c r="S645" t="s">
        <v>70</v>
      </c>
      <c r="T645" t="s">
        <v>72</v>
      </c>
      <c r="U645" s="32">
        <v>30</v>
      </c>
      <c r="V645">
        <v>30</v>
      </c>
      <c r="W645" t="s">
        <v>79</v>
      </c>
      <c r="X645" t="s">
        <v>147</v>
      </c>
      <c r="Y645" t="s">
        <v>2290</v>
      </c>
      <c r="AA645" t="s">
        <v>75</v>
      </c>
      <c r="AC645" t="s">
        <v>83</v>
      </c>
      <c r="AE645" t="s">
        <v>75</v>
      </c>
      <c r="AF645" t="s">
        <v>84</v>
      </c>
      <c r="AG645" t="s">
        <v>84</v>
      </c>
      <c r="AH645" s="33">
        <f t="shared" si="28"/>
      </c>
      <c r="AI645" s="33">
        <f t="shared" si="29"/>
      </c>
    </row>
    <row r="646" ht="27.6" customHeight="1" spans="1:35" x14ac:dyDescent="0.25">
      <c r="A646" s="27" t="s">
        <v>717</v>
      </c>
      <c r="B646">
        <f t="shared" si="27"/>
        <v>0</v>
      </c>
      <c r="C646" t="s">
        <v>64</v>
      </c>
      <c r="D646" s="27" t="s">
        <v>102</v>
      </c>
      <c r="E646" t="s">
        <v>2291</v>
      </c>
      <c r="F646" s="28">
        <v>0</v>
      </c>
      <c r="G646" s="29">
        <v>1</v>
      </c>
      <c r="H646" s="30" t="s">
        <v>2292</v>
      </c>
      <c r="I646" t="s">
        <v>65</v>
      </c>
      <c r="J6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145</v>
      </c>
      <c r="L646" t="s">
        <v>146</v>
      </c>
      <c r="N646" s="29">
        <v>1</v>
      </c>
      <c r="P646" s="29">
        <v>1</v>
      </c>
      <c r="R646" s="29">
        <v>1</v>
      </c>
      <c r="S646" t="s">
        <v>70</v>
      </c>
      <c r="T646" t="s">
        <v>72</v>
      </c>
      <c r="U646" s="32">
        <v>30</v>
      </c>
      <c r="V646">
        <v>30</v>
      </c>
      <c r="W646" t="s">
        <v>79</v>
      </c>
      <c r="X646" t="s">
        <v>245</v>
      </c>
      <c r="Y646" t="s">
        <v>2293</v>
      </c>
      <c r="AA646" t="s">
        <v>75</v>
      </c>
      <c r="AC646" t="s">
        <v>83</v>
      </c>
      <c r="AE646" t="s">
        <v>75</v>
      </c>
      <c r="AF646" t="s">
        <v>84</v>
      </c>
      <c r="AG646" t="s">
        <v>84</v>
      </c>
      <c r="AH646" s="33">
        <f t="shared" si="28"/>
      </c>
      <c r="AI646" s="33">
        <f t="shared" si="29"/>
      </c>
    </row>
    <row r="647" ht="27.6" customHeight="1" spans="1:35" x14ac:dyDescent="0.25">
      <c r="A647" s="27" t="s">
        <v>752</v>
      </c>
      <c r="B647">
        <f t="shared" si="27"/>
        <v>0</v>
      </c>
      <c r="C647" t="s">
        <v>64</v>
      </c>
      <c r="D647" s="27" t="s">
        <v>2294</v>
      </c>
      <c r="E647" t="s">
        <v>2295</v>
      </c>
      <c r="F647" s="28">
        <v>0</v>
      </c>
      <c r="G647" s="29">
        <v>1</v>
      </c>
      <c r="H647" s="30" t="s">
        <v>2296</v>
      </c>
      <c r="I647" t="s">
        <v>65</v>
      </c>
      <c r="J6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145</v>
      </c>
      <c r="L647" t="s">
        <v>146</v>
      </c>
      <c r="N647" s="29">
        <v>1</v>
      </c>
      <c r="P647" s="29">
        <v>1</v>
      </c>
      <c r="R647" s="29">
        <v>1</v>
      </c>
      <c r="S647" t="s">
        <v>70</v>
      </c>
      <c r="T647" t="s">
        <v>72</v>
      </c>
      <c r="U647" s="32">
        <v>30</v>
      </c>
      <c r="V647">
        <v>30</v>
      </c>
      <c r="W647" t="s">
        <v>79</v>
      </c>
      <c r="X647" t="s">
        <v>245</v>
      </c>
      <c r="Y647" t="s">
        <v>2297</v>
      </c>
      <c r="AA647" t="s">
        <v>75</v>
      </c>
      <c r="AC647" t="s">
        <v>83</v>
      </c>
      <c r="AE647" t="s">
        <v>75</v>
      </c>
      <c r="AF647" t="s">
        <v>84</v>
      </c>
      <c r="AG647" t="s">
        <v>84</v>
      </c>
      <c r="AH647" s="33">
        <f t="shared" si="28"/>
      </c>
      <c r="AI647" s="33">
        <f t="shared" si="29"/>
      </c>
    </row>
    <row r="648" ht="27.6" customHeight="1" spans="1:35" x14ac:dyDescent="0.25">
      <c r="A648" s="27" t="s">
        <v>357</v>
      </c>
      <c r="B648">
        <f t="shared" ref="B648:B711" si="30">LEN(INDIRECT(ADDRESS(ROW() + (0),COLUMN() + (-1))))</f>
        <v>0</v>
      </c>
      <c r="C648" t="s">
        <v>64</v>
      </c>
      <c r="D648" s="27" t="s">
        <v>2298</v>
      </c>
      <c r="E648" t="s">
        <v>2299</v>
      </c>
      <c r="F648" s="28">
        <v>4</v>
      </c>
      <c r="G648" s="29">
        <v>2</v>
      </c>
      <c r="H648" s="30" t="s">
        <v>2300</v>
      </c>
      <c r="I648" t="s">
        <v>65</v>
      </c>
      <c r="J6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145</v>
      </c>
      <c r="L648" t="s">
        <v>146</v>
      </c>
      <c r="N648" s="29">
        <v>2</v>
      </c>
      <c r="P648" s="29">
        <v>2</v>
      </c>
      <c r="R648" s="29">
        <v>2</v>
      </c>
      <c r="S648" t="s">
        <v>70</v>
      </c>
      <c r="T648" t="s">
        <v>72</v>
      </c>
      <c r="U648" s="32">
        <v>30</v>
      </c>
      <c r="V648">
        <v>30</v>
      </c>
      <c r="W648" t="s">
        <v>79</v>
      </c>
      <c r="X648" t="s">
        <v>240</v>
      </c>
      <c r="Y648" t="s">
        <v>461</v>
      </c>
      <c r="AA648" t="s">
        <v>75</v>
      </c>
      <c r="AC648" t="s">
        <v>83</v>
      </c>
      <c r="AE648" t="s">
        <v>75</v>
      </c>
      <c r="AF648" t="s">
        <v>84</v>
      </c>
      <c r="AG648" t="s">
        <v>84</v>
      </c>
      <c r="AH648" s="33">
        <f t="shared" ref="AH648:AH711" si="31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648" s="33">
        <f t="shared" ref="AI648:AI711" si="32">IF(TRIM(INDIRECT("A"&amp;ROW())) &lt;&gt; "",FALSE,"")</f>
      </c>
    </row>
    <row r="649" ht="27.6" customHeight="1" spans="1:35" x14ac:dyDescent="0.25">
      <c r="A649" s="27" t="s">
        <v>2301</v>
      </c>
      <c r="B649">
        <f t="shared" si="30"/>
        <v>0</v>
      </c>
      <c r="C649" t="s">
        <v>64</v>
      </c>
      <c r="D649" s="27" t="s">
        <v>102</v>
      </c>
      <c r="E649" t="s">
        <v>2302</v>
      </c>
      <c r="F649" s="28">
        <v>0</v>
      </c>
      <c r="G649" s="29">
        <v>1</v>
      </c>
      <c r="H649" s="30" t="s">
        <v>2303</v>
      </c>
      <c r="I649" t="s">
        <v>65</v>
      </c>
      <c r="J6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145</v>
      </c>
      <c r="L649" t="s">
        <v>146</v>
      </c>
      <c r="N649" s="29">
        <v>1</v>
      </c>
      <c r="P649" s="29">
        <v>1</v>
      </c>
      <c r="R649" s="29">
        <v>1</v>
      </c>
      <c r="S649" t="s">
        <v>70</v>
      </c>
      <c r="T649" t="s">
        <v>72</v>
      </c>
      <c r="U649" s="32">
        <v>30</v>
      </c>
      <c r="V649">
        <v>30</v>
      </c>
      <c r="W649" t="s">
        <v>79</v>
      </c>
      <c r="X649" t="s">
        <v>240</v>
      </c>
      <c r="Y649" t="s">
        <v>2304</v>
      </c>
      <c r="AA649" t="s">
        <v>75</v>
      </c>
      <c r="AC649" t="s">
        <v>83</v>
      </c>
      <c r="AE649" t="s">
        <v>75</v>
      </c>
      <c r="AF649" t="s">
        <v>84</v>
      </c>
      <c r="AG649" t="s">
        <v>84</v>
      </c>
      <c r="AH649" s="33">
        <f t="shared" si="31"/>
      </c>
      <c r="AI649" s="33">
        <f t="shared" si="32"/>
      </c>
    </row>
    <row r="650" ht="27.6" customHeight="1" spans="1:35" x14ac:dyDescent="0.25">
      <c r="A650" s="27" t="s">
        <v>386</v>
      </c>
      <c r="B650">
        <f t="shared" si="30"/>
        <v>0</v>
      </c>
      <c r="C650" t="s">
        <v>64</v>
      </c>
      <c r="D650" s="27" t="s">
        <v>102</v>
      </c>
      <c r="E650" t="s">
        <v>2305</v>
      </c>
      <c r="F650" s="28">
        <v>2</v>
      </c>
      <c r="G650" s="29">
        <v>1</v>
      </c>
      <c r="H650" s="30" t="s">
        <v>2306</v>
      </c>
      <c r="I650" t="s">
        <v>65</v>
      </c>
      <c r="J6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145</v>
      </c>
      <c r="L650" t="s">
        <v>146</v>
      </c>
      <c r="N650" s="29">
        <v>1</v>
      </c>
      <c r="P650" s="29">
        <v>1</v>
      </c>
      <c r="R650" s="29">
        <v>1</v>
      </c>
      <c r="S650" t="s">
        <v>70</v>
      </c>
      <c r="T650" t="s">
        <v>72</v>
      </c>
      <c r="U650" s="32">
        <v>30</v>
      </c>
      <c r="V650">
        <v>30</v>
      </c>
      <c r="W650" t="s">
        <v>79</v>
      </c>
      <c r="X650" t="s">
        <v>240</v>
      </c>
      <c r="Y650" t="s">
        <v>2307</v>
      </c>
      <c r="AA650" t="s">
        <v>75</v>
      </c>
      <c r="AC650" t="s">
        <v>83</v>
      </c>
      <c r="AE650" t="s">
        <v>75</v>
      </c>
      <c r="AF650" t="s">
        <v>84</v>
      </c>
      <c r="AG650" t="s">
        <v>84</v>
      </c>
      <c r="AH650" s="33">
        <f t="shared" si="31"/>
      </c>
      <c r="AI650" s="33">
        <f t="shared" si="32"/>
      </c>
    </row>
    <row r="651" ht="27.6" customHeight="1" spans="1:35" x14ac:dyDescent="0.25">
      <c r="A651" s="27" t="s">
        <v>390</v>
      </c>
      <c r="B651">
        <f t="shared" si="30"/>
        <v>0</v>
      </c>
      <c r="C651" t="s">
        <v>64</v>
      </c>
      <c r="D651" s="27" t="s">
        <v>102</v>
      </c>
      <c r="E651" t="s">
        <v>2305</v>
      </c>
      <c r="F651" s="28">
        <v>2</v>
      </c>
      <c r="G651" s="29">
        <v>1</v>
      </c>
      <c r="H651" s="30" t="s">
        <v>2308</v>
      </c>
      <c r="I651" t="s">
        <v>65</v>
      </c>
      <c r="J6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145</v>
      </c>
      <c r="L651" t="s">
        <v>146</v>
      </c>
      <c r="N651" s="29">
        <v>1</v>
      </c>
      <c r="P651" s="29">
        <v>1</v>
      </c>
      <c r="R651" s="29">
        <v>1</v>
      </c>
      <c r="S651" t="s">
        <v>70</v>
      </c>
      <c r="T651" t="s">
        <v>72</v>
      </c>
      <c r="U651" s="32">
        <v>30</v>
      </c>
      <c r="V651">
        <v>30</v>
      </c>
      <c r="W651" t="s">
        <v>79</v>
      </c>
      <c r="X651" t="s">
        <v>240</v>
      </c>
      <c r="Y651" t="s">
        <v>2307</v>
      </c>
      <c r="AA651" t="s">
        <v>75</v>
      </c>
      <c r="AC651" t="s">
        <v>83</v>
      </c>
      <c r="AE651" t="s">
        <v>75</v>
      </c>
      <c r="AF651" t="s">
        <v>84</v>
      </c>
      <c r="AG651" t="s">
        <v>84</v>
      </c>
      <c r="AH651" s="33">
        <f t="shared" si="31"/>
      </c>
      <c r="AI651" s="33">
        <f t="shared" si="32"/>
      </c>
    </row>
    <row r="652" ht="27.6" customHeight="1" spans="1:35" x14ac:dyDescent="0.25">
      <c r="A652" s="27" t="s">
        <v>392</v>
      </c>
      <c r="B652">
        <f t="shared" si="30"/>
        <v>0</v>
      </c>
      <c r="C652" t="s">
        <v>64</v>
      </c>
      <c r="D652" s="27" t="s">
        <v>102</v>
      </c>
      <c r="E652" t="s">
        <v>2309</v>
      </c>
      <c r="F652" s="28">
        <v>2</v>
      </c>
      <c r="G652" s="29">
        <v>2</v>
      </c>
      <c r="H652" s="30" t="s">
        <v>2310</v>
      </c>
      <c r="I652" t="s">
        <v>65</v>
      </c>
      <c r="J6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145</v>
      </c>
      <c r="L652" t="s">
        <v>146</v>
      </c>
      <c r="N652" s="29">
        <v>2</v>
      </c>
      <c r="P652" s="29">
        <v>2</v>
      </c>
      <c r="R652" s="29">
        <v>2</v>
      </c>
      <c r="S652" t="s">
        <v>70</v>
      </c>
      <c r="T652" t="s">
        <v>72</v>
      </c>
      <c r="U652" s="32">
        <v>30</v>
      </c>
      <c r="V652">
        <v>30</v>
      </c>
      <c r="W652" t="s">
        <v>79</v>
      </c>
      <c r="X652" t="s">
        <v>240</v>
      </c>
      <c r="Y652" t="s">
        <v>396</v>
      </c>
      <c r="AA652" t="s">
        <v>75</v>
      </c>
      <c r="AC652" t="s">
        <v>83</v>
      </c>
      <c r="AE652" t="s">
        <v>75</v>
      </c>
      <c r="AF652" t="s">
        <v>84</v>
      </c>
      <c r="AG652" t="s">
        <v>84</v>
      </c>
      <c r="AH652" s="33">
        <f t="shared" si="31"/>
      </c>
      <c r="AI652" s="33">
        <f t="shared" si="32"/>
      </c>
    </row>
    <row r="653" ht="27.6" customHeight="1" spans="1:35" x14ac:dyDescent="0.25">
      <c r="A653" s="27" t="s">
        <v>497</v>
      </c>
      <c r="B653">
        <f t="shared" si="30"/>
        <v>0</v>
      </c>
      <c r="C653" t="s">
        <v>64</v>
      </c>
      <c r="D653" s="27" t="s">
        <v>102</v>
      </c>
      <c r="E653" t="s">
        <v>2311</v>
      </c>
      <c r="F653" s="28">
        <v>0</v>
      </c>
      <c r="G653" s="29">
        <v>1</v>
      </c>
      <c r="H653" s="30" t="s">
        <v>2312</v>
      </c>
      <c r="I653" t="s">
        <v>65</v>
      </c>
      <c r="J6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145</v>
      </c>
      <c r="L653" t="s">
        <v>146</v>
      </c>
      <c r="N653" s="29">
        <v>1</v>
      </c>
      <c r="P653" s="29">
        <v>1</v>
      </c>
      <c r="R653" s="29">
        <v>1</v>
      </c>
      <c r="S653" t="s">
        <v>70</v>
      </c>
      <c r="T653" t="s">
        <v>72</v>
      </c>
      <c r="U653" s="32">
        <v>30</v>
      </c>
      <c r="V653">
        <v>30</v>
      </c>
      <c r="W653" t="s">
        <v>79</v>
      </c>
      <c r="X653" t="s">
        <v>240</v>
      </c>
      <c r="Y653" t="s">
        <v>501</v>
      </c>
      <c r="AA653" t="s">
        <v>75</v>
      </c>
      <c r="AC653" t="s">
        <v>83</v>
      </c>
      <c r="AE653" t="s">
        <v>75</v>
      </c>
      <c r="AF653" t="s">
        <v>84</v>
      </c>
      <c r="AG653" t="s">
        <v>84</v>
      </c>
      <c r="AH653" s="33">
        <f t="shared" si="31"/>
      </c>
      <c r="AI653" s="33">
        <f t="shared" si="32"/>
      </c>
    </row>
    <row r="654" ht="27.6" customHeight="1" spans="1:35" x14ac:dyDescent="0.25">
      <c r="A654" s="27" t="s">
        <v>509</v>
      </c>
      <c r="B654">
        <f t="shared" si="30"/>
        <v>0</v>
      </c>
      <c r="C654" t="s">
        <v>64</v>
      </c>
      <c r="D654" s="27" t="s">
        <v>102</v>
      </c>
      <c r="E654" t="s">
        <v>2313</v>
      </c>
      <c r="F654" s="28">
        <v>2</v>
      </c>
      <c r="G654" s="29">
        <v>2</v>
      </c>
      <c r="H654" s="30" t="s">
        <v>2314</v>
      </c>
      <c r="I654" t="s">
        <v>65</v>
      </c>
      <c r="J6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145</v>
      </c>
      <c r="L654" t="s">
        <v>146</v>
      </c>
      <c r="N654" s="29">
        <v>2</v>
      </c>
      <c r="P654" s="29">
        <v>2</v>
      </c>
      <c r="R654" s="29">
        <v>2</v>
      </c>
      <c r="S654" t="s">
        <v>70</v>
      </c>
      <c r="T654" t="s">
        <v>72</v>
      </c>
      <c r="U654" s="32">
        <v>30</v>
      </c>
      <c r="V654">
        <v>30</v>
      </c>
      <c r="W654" t="s">
        <v>79</v>
      </c>
      <c r="X654" t="s">
        <v>240</v>
      </c>
      <c r="Y654" t="s">
        <v>512</v>
      </c>
      <c r="AA654" t="s">
        <v>75</v>
      </c>
      <c r="AC654" t="s">
        <v>83</v>
      </c>
      <c r="AE654" t="s">
        <v>75</v>
      </c>
      <c r="AF654" t="s">
        <v>84</v>
      </c>
      <c r="AG654" t="s">
        <v>84</v>
      </c>
      <c r="AH654" s="33">
        <f t="shared" si="31"/>
      </c>
      <c r="AI654" s="33">
        <f t="shared" si="32"/>
      </c>
    </row>
    <row r="655" ht="27.6" customHeight="1" spans="1:35" x14ac:dyDescent="0.25">
      <c r="A655" s="27" t="s">
        <v>513</v>
      </c>
      <c r="B655">
        <f t="shared" si="30"/>
        <v>0</v>
      </c>
      <c r="C655" t="s">
        <v>64</v>
      </c>
      <c r="D655" s="27" t="s">
        <v>102</v>
      </c>
      <c r="E655" t="s">
        <v>2315</v>
      </c>
      <c r="F655" s="28">
        <v>0</v>
      </c>
      <c r="G655" s="29">
        <v>1</v>
      </c>
      <c r="H655" s="30" t="s">
        <v>2316</v>
      </c>
      <c r="I655" t="s">
        <v>65</v>
      </c>
      <c r="J6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145</v>
      </c>
      <c r="L655" t="s">
        <v>146</v>
      </c>
      <c r="N655" s="29">
        <v>1</v>
      </c>
      <c r="P655" s="29">
        <v>1</v>
      </c>
      <c r="R655" s="29">
        <v>1</v>
      </c>
      <c r="S655" t="s">
        <v>70</v>
      </c>
      <c r="T655" t="s">
        <v>72</v>
      </c>
      <c r="U655" s="32">
        <v>30</v>
      </c>
      <c r="V655">
        <v>30</v>
      </c>
      <c r="W655" t="s">
        <v>79</v>
      </c>
      <c r="X655" t="s">
        <v>240</v>
      </c>
      <c r="Y655" t="s">
        <v>2317</v>
      </c>
      <c r="AA655" t="s">
        <v>75</v>
      </c>
      <c r="AC655" t="s">
        <v>83</v>
      </c>
      <c r="AE655" t="s">
        <v>75</v>
      </c>
      <c r="AF655" t="s">
        <v>84</v>
      </c>
      <c r="AG655" t="s">
        <v>84</v>
      </c>
      <c r="AH655" s="33">
        <f t="shared" si="31"/>
      </c>
      <c r="AI655" s="33">
        <f t="shared" si="32"/>
      </c>
    </row>
    <row r="656" ht="27.6" customHeight="1" spans="1:35" x14ac:dyDescent="0.25">
      <c r="A656" s="27" t="s">
        <v>530</v>
      </c>
      <c r="B656">
        <f t="shared" si="30"/>
        <v>0</v>
      </c>
      <c r="C656" t="s">
        <v>64</v>
      </c>
      <c r="D656" s="27" t="s">
        <v>2318</v>
      </c>
      <c r="E656" t="s">
        <v>2319</v>
      </c>
      <c r="F656" s="28">
        <v>4</v>
      </c>
      <c r="G656" s="29">
        <v>2</v>
      </c>
      <c r="H656" s="30" t="s">
        <v>2320</v>
      </c>
      <c r="I656" t="s">
        <v>65</v>
      </c>
      <c r="J6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145</v>
      </c>
      <c r="L656" t="s">
        <v>146</v>
      </c>
      <c r="N656" s="29">
        <v>2</v>
      </c>
      <c r="P656" s="29">
        <v>2</v>
      </c>
      <c r="R656" s="29">
        <v>2</v>
      </c>
      <c r="S656" t="s">
        <v>70</v>
      </c>
      <c r="T656" t="s">
        <v>72</v>
      </c>
      <c r="U656" s="32">
        <v>30</v>
      </c>
      <c r="V656">
        <v>30</v>
      </c>
      <c r="W656" t="s">
        <v>79</v>
      </c>
      <c r="X656" t="s">
        <v>240</v>
      </c>
      <c r="Y656" t="s">
        <v>533</v>
      </c>
      <c r="AA656" t="s">
        <v>75</v>
      </c>
      <c r="AC656" t="s">
        <v>83</v>
      </c>
      <c r="AE656" t="s">
        <v>75</v>
      </c>
      <c r="AF656" t="s">
        <v>84</v>
      </c>
      <c r="AG656" t="s">
        <v>84</v>
      </c>
      <c r="AH656" s="33">
        <f t="shared" si="31"/>
      </c>
      <c r="AI656" s="33">
        <f t="shared" si="32"/>
      </c>
    </row>
    <row r="657" ht="27.6" customHeight="1" spans="1:35" x14ac:dyDescent="0.25">
      <c r="A657" s="27" t="s">
        <v>534</v>
      </c>
      <c r="B657">
        <f t="shared" si="30"/>
        <v>0</v>
      </c>
      <c r="C657" t="s">
        <v>64</v>
      </c>
      <c r="D657" s="27" t="s">
        <v>2318</v>
      </c>
      <c r="E657" t="s">
        <v>2319</v>
      </c>
      <c r="F657" s="28">
        <v>4</v>
      </c>
      <c r="G657" s="29">
        <v>2</v>
      </c>
      <c r="H657" s="30" t="s">
        <v>2321</v>
      </c>
      <c r="I657" t="s">
        <v>65</v>
      </c>
      <c r="J6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145</v>
      </c>
      <c r="L657" t="s">
        <v>146</v>
      </c>
      <c r="N657" s="29">
        <v>2</v>
      </c>
      <c r="P657" s="29">
        <v>2</v>
      </c>
      <c r="R657" s="29">
        <v>2</v>
      </c>
      <c r="S657" t="s">
        <v>70</v>
      </c>
      <c r="T657" t="s">
        <v>72</v>
      </c>
      <c r="U657" s="32">
        <v>30</v>
      </c>
      <c r="V657">
        <v>30</v>
      </c>
      <c r="W657" t="s">
        <v>79</v>
      </c>
      <c r="X657" t="s">
        <v>240</v>
      </c>
      <c r="Y657" t="s">
        <v>533</v>
      </c>
      <c r="AA657" t="s">
        <v>75</v>
      </c>
      <c r="AC657" t="s">
        <v>83</v>
      </c>
      <c r="AE657" t="s">
        <v>75</v>
      </c>
      <c r="AF657" t="s">
        <v>84</v>
      </c>
      <c r="AG657" t="s">
        <v>84</v>
      </c>
      <c r="AH657" s="33">
        <f t="shared" si="31"/>
      </c>
      <c r="AI657" s="33">
        <f t="shared" si="32"/>
      </c>
    </row>
    <row r="658" ht="27.6" customHeight="1" spans="1:35" x14ac:dyDescent="0.25">
      <c r="A658" s="27" t="s">
        <v>1836</v>
      </c>
      <c r="B658">
        <f t="shared" si="30"/>
        <v>0</v>
      </c>
      <c r="C658" t="s">
        <v>64</v>
      </c>
      <c r="D658" s="27" t="s">
        <v>102</v>
      </c>
      <c r="E658" t="s">
        <v>2322</v>
      </c>
      <c r="F658" s="28">
        <v>0</v>
      </c>
      <c r="G658" s="29">
        <v>1</v>
      </c>
      <c r="H658" s="30" t="s">
        <v>2323</v>
      </c>
      <c r="I658" t="s">
        <v>65</v>
      </c>
      <c r="J6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145</v>
      </c>
      <c r="L658" t="s">
        <v>146</v>
      </c>
      <c r="N658" s="29">
        <v>1</v>
      </c>
      <c r="P658" s="29">
        <v>1</v>
      </c>
      <c r="R658" s="29">
        <v>1</v>
      </c>
      <c r="S658" t="s">
        <v>70</v>
      </c>
      <c r="T658" t="s">
        <v>72</v>
      </c>
      <c r="U658" s="32">
        <v>30</v>
      </c>
      <c r="V658">
        <v>30</v>
      </c>
      <c r="W658" t="s">
        <v>79</v>
      </c>
      <c r="X658" t="s">
        <v>240</v>
      </c>
      <c r="Y658" t="s">
        <v>2324</v>
      </c>
      <c r="AA658" t="s">
        <v>75</v>
      </c>
      <c r="AC658" t="s">
        <v>83</v>
      </c>
      <c r="AE658" t="s">
        <v>75</v>
      </c>
      <c r="AF658" t="s">
        <v>84</v>
      </c>
      <c r="AG658" t="s">
        <v>84</v>
      </c>
      <c r="AH658" s="33">
        <f t="shared" si="31"/>
      </c>
      <c r="AI658" s="33">
        <f t="shared" si="32"/>
      </c>
    </row>
    <row r="659" ht="27.6" customHeight="1" spans="1:35" x14ac:dyDescent="0.25">
      <c r="A659" s="27" t="s">
        <v>2325</v>
      </c>
      <c r="B659">
        <f t="shared" si="30"/>
        <v>0</v>
      </c>
      <c r="C659" t="s">
        <v>64</v>
      </c>
      <c r="D659" s="27" t="s">
        <v>102</v>
      </c>
      <c r="E659" t="s">
        <v>2326</v>
      </c>
      <c r="F659" s="28">
        <v>0</v>
      </c>
      <c r="G659" s="29">
        <v>1</v>
      </c>
      <c r="H659" s="30" t="s">
        <v>2327</v>
      </c>
      <c r="I659" t="s">
        <v>65</v>
      </c>
      <c r="J6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145</v>
      </c>
      <c r="L659" t="s">
        <v>146</v>
      </c>
      <c r="N659" s="29">
        <v>1</v>
      </c>
      <c r="P659" s="29">
        <v>1</v>
      </c>
      <c r="R659" s="29">
        <v>1</v>
      </c>
      <c r="S659" t="s">
        <v>70</v>
      </c>
      <c r="T659" t="s">
        <v>72</v>
      </c>
      <c r="U659" s="32">
        <v>30</v>
      </c>
      <c r="V659">
        <v>30</v>
      </c>
      <c r="W659" t="s">
        <v>79</v>
      </c>
      <c r="X659" t="s">
        <v>240</v>
      </c>
      <c r="Y659" t="s">
        <v>2328</v>
      </c>
      <c r="AA659" t="s">
        <v>75</v>
      </c>
      <c r="AC659" t="s">
        <v>83</v>
      </c>
      <c r="AE659" t="s">
        <v>75</v>
      </c>
      <c r="AF659" t="s">
        <v>84</v>
      </c>
      <c r="AG659" t="s">
        <v>84</v>
      </c>
      <c r="AH659" s="33">
        <f t="shared" si="31"/>
      </c>
      <c r="AI659" s="33">
        <f t="shared" si="32"/>
      </c>
    </row>
    <row r="660" ht="27.6" customHeight="1" spans="1:35" x14ac:dyDescent="0.25">
      <c r="A660" s="27" t="s">
        <v>855</v>
      </c>
      <c r="B660">
        <f t="shared" si="30"/>
        <v>0</v>
      </c>
      <c r="C660" t="s">
        <v>64</v>
      </c>
      <c r="D660" s="27" t="s">
        <v>102</v>
      </c>
      <c r="E660" t="s">
        <v>2329</v>
      </c>
      <c r="F660" s="28">
        <v>0</v>
      </c>
      <c r="G660" s="29">
        <v>1</v>
      </c>
      <c r="H660" s="30" t="s">
        <v>2330</v>
      </c>
      <c r="I660" t="s">
        <v>65</v>
      </c>
      <c r="J6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145</v>
      </c>
      <c r="L660" t="s">
        <v>146</v>
      </c>
      <c r="N660" s="29">
        <v>1</v>
      </c>
      <c r="P660" s="29">
        <v>1</v>
      </c>
      <c r="R660" s="29">
        <v>1</v>
      </c>
      <c r="S660" t="s">
        <v>70</v>
      </c>
      <c r="T660" t="s">
        <v>72</v>
      </c>
      <c r="U660" s="32">
        <v>30</v>
      </c>
      <c r="V660">
        <v>30</v>
      </c>
      <c r="W660" t="s">
        <v>79</v>
      </c>
      <c r="X660" t="s">
        <v>240</v>
      </c>
      <c r="Y660" t="s">
        <v>2331</v>
      </c>
      <c r="AA660" t="s">
        <v>75</v>
      </c>
      <c r="AC660" t="s">
        <v>83</v>
      </c>
      <c r="AE660" t="s">
        <v>75</v>
      </c>
      <c r="AF660" t="s">
        <v>84</v>
      </c>
      <c r="AG660" t="s">
        <v>84</v>
      </c>
      <c r="AH660" s="33">
        <f t="shared" si="31"/>
      </c>
      <c r="AI660" s="33">
        <f t="shared" si="32"/>
      </c>
    </row>
    <row r="661" ht="27.6" customHeight="1" spans="1:35" x14ac:dyDescent="0.25">
      <c r="A661" s="27" t="s">
        <v>859</v>
      </c>
      <c r="B661">
        <f t="shared" si="30"/>
        <v>0</v>
      </c>
      <c r="C661" t="s">
        <v>64</v>
      </c>
      <c r="D661" s="27" t="s">
        <v>102</v>
      </c>
      <c r="E661" t="s">
        <v>2329</v>
      </c>
      <c r="F661" s="28">
        <v>0</v>
      </c>
      <c r="G661" s="29">
        <v>1</v>
      </c>
      <c r="H661" s="30" t="s">
        <v>2332</v>
      </c>
      <c r="I661" t="s">
        <v>65</v>
      </c>
      <c r="J6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145</v>
      </c>
      <c r="L661" t="s">
        <v>146</v>
      </c>
      <c r="N661" s="29">
        <v>1</v>
      </c>
      <c r="P661" s="29">
        <v>1</v>
      </c>
      <c r="R661" s="29">
        <v>1</v>
      </c>
      <c r="S661" t="s">
        <v>70</v>
      </c>
      <c r="T661" t="s">
        <v>72</v>
      </c>
      <c r="U661" s="32">
        <v>30</v>
      </c>
      <c r="V661">
        <v>30</v>
      </c>
      <c r="W661" t="s">
        <v>79</v>
      </c>
      <c r="X661" t="s">
        <v>240</v>
      </c>
      <c r="Y661" t="s">
        <v>2331</v>
      </c>
      <c r="AA661" t="s">
        <v>75</v>
      </c>
      <c r="AC661" t="s">
        <v>83</v>
      </c>
      <c r="AE661" t="s">
        <v>75</v>
      </c>
      <c r="AF661" t="s">
        <v>84</v>
      </c>
      <c r="AG661" t="s">
        <v>84</v>
      </c>
      <c r="AH661" s="33">
        <f t="shared" si="31"/>
      </c>
      <c r="AI661" s="33">
        <f t="shared" si="32"/>
      </c>
    </row>
    <row r="662" ht="27.6" customHeight="1" spans="1:35" x14ac:dyDescent="0.25">
      <c r="A662" s="27" t="s">
        <v>792</v>
      </c>
      <c r="B662">
        <f t="shared" si="30"/>
        <v>0</v>
      </c>
      <c r="C662" t="s">
        <v>64</v>
      </c>
      <c r="D662" s="27" t="s">
        <v>2333</v>
      </c>
      <c r="E662" t="s">
        <v>2334</v>
      </c>
      <c r="F662" s="28">
        <v>0</v>
      </c>
      <c r="G662" s="29">
        <v>2</v>
      </c>
      <c r="H662" s="30" t="s">
        <v>2335</v>
      </c>
      <c r="I662" t="s">
        <v>65</v>
      </c>
      <c r="J6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145</v>
      </c>
      <c r="L662" t="s">
        <v>146</v>
      </c>
      <c r="N662" s="29">
        <v>2</v>
      </c>
      <c r="P662" s="29">
        <v>2</v>
      </c>
      <c r="R662" s="29">
        <v>2</v>
      </c>
      <c r="S662" t="s">
        <v>70</v>
      </c>
      <c r="T662" t="s">
        <v>72</v>
      </c>
      <c r="U662" s="32">
        <v>30</v>
      </c>
      <c r="V662">
        <v>30</v>
      </c>
      <c r="W662" t="s">
        <v>79</v>
      </c>
      <c r="X662" t="s">
        <v>240</v>
      </c>
      <c r="Y662" t="s">
        <v>2336</v>
      </c>
      <c r="AA662" t="s">
        <v>75</v>
      </c>
      <c r="AC662" t="s">
        <v>83</v>
      </c>
      <c r="AE662" t="s">
        <v>75</v>
      </c>
      <c r="AF662" t="s">
        <v>84</v>
      </c>
      <c r="AG662" t="s">
        <v>84</v>
      </c>
      <c r="AH662" s="33">
        <f t="shared" si="31"/>
      </c>
      <c r="AI662" s="33">
        <f t="shared" si="32"/>
      </c>
    </row>
    <row r="663" ht="27.6" customHeight="1" spans="1:35" x14ac:dyDescent="0.25">
      <c r="A663" s="27" t="s">
        <v>717</v>
      </c>
      <c r="B663">
        <f t="shared" si="30"/>
        <v>0</v>
      </c>
      <c r="C663" t="s">
        <v>64</v>
      </c>
      <c r="D663" s="27" t="s">
        <v>102</v>
      </c>
      <c r="E663" t="s">
        <v>2337</v>
      </c>
      <c r="F663" s="28">
        <v>0</v>
      </c>
      <c r="G663" s="29">
        <v>1</v>
      </c>
      <c r="H663" s="30" t="s">
        <v>2338</v>
      </c>
      <c r="I663" t="s">
        <v>65</v>
      </c>
      <c r="J6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145</v>
      </c>
      <c r="L663" t="s">
        <v>146</v>
      </c>
      <c r="N663" s="29">
        <v>1</v>
      </c>
      <c r="P663" s="29">
        <v>1</v>
      </c>
      <c r="R663" s="29">
        <v>1</v>
      </c>
      <c r="S663" t="s">
        <v>70</v>
      </c>
      <c r="T663" t="s">
        <v>72</v>
      </c>
      <c r="U663" s="32">
        <v>30</v>
      </c>
      <c r="V663">
        <v>30</v>
      </c>
      <c r="W663" t="s">
        <v>79</v>
      </c>
      <c r="X663" t="s">
        <v>240</v>
      </c>
      <c r="Y663" t="s">
        <v>1967</v>
      </c>
      <c r="AA663" t="s">
        <v>75</v>
      </c>
      <c r="AC663" t="s">
        <v>83</v>
      </c>
      <c r="AE663" t="s">
        <v>75</v>
      </c>
      <c r="AF663" t="s">
        <v>84</v>
      </c>
      <c r="AG663" t="s">
        <v>84</v>
      </c>
      <c r="AH663" s="33">
        <f t="shared" si="31"/>
      </c>
      <c r="AI663" s="33">
        <f t="shared" si="32"/>
      </c>
    </row>
    <row r="664" ht="27.6" customHeight="1" spans="1:35" x14ac:dyDescent="0.25">
      <c r="A664" s="27" t="s">
        <v>2339</v>
      </c>
      <c r="B664">
        <f t="shared" si="30"/>
        <v>0</v>
      </c>
      <c r="C664" t="s">
        <v>64</v>
      </c>
      <c r="D664" s="27" t="s">
        <v>2340</v>
      </c>
      <c r="E664" t="s">
        <v>2341</v>
      </c>
      <c r="F664" s="28">
        <v>6</v>
      </c>
      <c r="G664" s="29">
        <v>2</v>
      </c>
      <c r="H664" s="30" t="s">
        <v>2342</v>
      </c>
      <c r="I664" t="s">
        <v>65</v>
      </c>
      <c r="J6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145</v>
      </c>
      <c r="L664" t="s">
        <v>146</v>
      </c>
      <c r="N664" s="29">
        <v>2</v>
      </c>
      <c r="P664" s="29">
        <v>2</v>
      </c>
      <c r="R664" s="29">
        <v>2</v>
      </c>
      <c r="S664" t="s">
        <v>70</v>
      </c>
      <c r="T664" t="s">
        <v>72</v>
      </c>
      <c r="U664" s="32">
        <v>30</v>
      </c>
      <c r="V664">
        <v>30</v>
      </c>
      <c r="W664" t="s">
        <v>79</v>
      </c>
      <c r="X664" t="s">
        <v>240</v>
      </c>
      <c r="Y664" t="s">
        <v>2343</v>
      </c>
      <c r="AA664" t="s">
        <v>75</v>
      </c>
      <c r="AC664" t="s">
        <v>83</v>
      </c>
      <c r="AE664" t="s">
        <v>75</v>
      </c>
      <c r="AF664" t="s">
        <v>84</v>
      </c>
      <c r="AG664" t="s">
        <v>84</v>
      </c>
      <c r="AH664" s="33">
        <f t="shared" si="31"/>
      </c>
      <c r="AI664" s="33">
        <f t="shared" si="32"/>
      </c>
    </row>
    <row r="665" ht="27.6" customHeight="1" spans="1:35" x14ac:dyDescent="0.25">
      <c r="A665" s="27" t="s">
        <v>785</v>
      </c>
      <c r="B665">
        <f t="shared" si="30"/>
        <v>0</v>
      </c>
      <c r="C665" t="s">
        <v>64</v>
      </c>
      <c r="D665" s="27" t="s">
        <v>102</v>
      </c>
      <c r="E665" t="s">
        <v>2344</v>
      </c>
      <c r="F665" s="28">
        <v>0</v>
      </c>
      <c r="G665" s="29">
        <v>1</v>
      </c>
      <c r="H665" s="30" t="s">
        <v>2345</v>
      </c>
      <c r="I665" t="s">
        <v>65</v>
      </c>
      <c r="J6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145</v>
      </c>
      <c r="L665" t="s">
        <v>146</v>
      </c>
      <c r="N665" s="29">
        <v>1</v>
      </c>
      <c r="P665" s="29">
        <v>1</v>
      </c>
      <c r="R665" s="29">
        <v>1</v>
      </c>
      <c r="S665" t="s">
        <v>70</v>
      </c>
      <c r="T665" t="s">
        <v>72</v>
      </c>
      <c r="U665" s="32">
        <v>30</v>
      </c>
      <c r="V665">
        <v>30</v>
      </c>
      <c r="W665" t="s">
        <v>79</v>
      </c>
      <c r="X665" t="s">
        <v>240</v>
      </c>
      <c r="Y665" t="s">
        <v>1949</v>
      </c>
      <c r="AA665" t="s">
        <v>75</v>
      </c>
      <c r="AC665" t="s">
        <v>83</v>
      </c>
      <c r="AE665" t="s">
        <v>75</v>
      </c>
      <c r="AF665" t="s">
        <v>84</v>
      </c>
      <c r="AG665" t="s">
        <v>84</v>
      </c>
      <c r="AH665" s="33">
        <f t="shared" si="31"/>
      </c>
      <c r="AI665" s="33">
        <f t="shared" si="32"/>
      </c>
    </row>
    <row r="666" ht="27.6" customHeight="1" spans="1:35" x14ac:dyDescent="0.25">
      <c r="A666" s="27" t="s">
        <v>790</v>
      </c>
      <c r="B666">
        <f t="shared" si="30"/>
        <v>0</v>
      </c>
      <c r="C666" t="s">
        <v>64</v>
      </c>
      <c r="D666" s="27" t="s">
        <v>102</v>
      </c>
      <c r="E666" t="s">
        <v>2344</v>
      </c>
      <c r="F666" s="28">
        <v>0</v>
      </c>
      <c r="G666" s="29">
        <v>1</v>
      </c>
      <c r="H666" s="30" t="s">
        <v>2346</v>
      </c>
      <c r="I666" t="s">
        <v>65</v>
      </c>
      <c r="J6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145</v>
      </c>
      <c r="L666" t="s">
        <v>146</v>
      </c>
      <c r="N666" s="29">
        <v>1</v>
      </c>
      <c r="P666" s="29">
        <v>1</v>
      </c>
      <c r="R666" s="29">
        <v>1</v>
      </c>
      <c r="S666" t="s">
        <v>70</v>
      </c>
      <c r="T666" t="s">
        <v>72</v>
      </c>
      <c r="U666" s="32">
        <v>30</v>
      </c>
      <c r="V666">
        <v>30</v>
      </c>
      <c r="W666" t="s">
        <v>79</v>
      </c>
      <c r="X666" t="s">
        <v>240</v>
      </c>
      <c r="Y666" t="s">
        <v>1949</v>
      </c>
      <c r="AA666" t="s">
        <v>75</v>
      </c>
      <c r="AC666" t="s">
        <v>83</v>
      </c>
      <c r="AE666" t="s">
        <v>75</v>
      </c>
      <c r="AF666" t="s">
        <v>84</v>
      </c>
      <c r="AG666" t="s">
        <v>84</v>
      </c>
      <c r="AH666" s="33">
        <f t="shared" si="31"/>
      </c>
      <c r="AI666" s="33">
        <f t="shared" si="32"/>
      </c>
    </row>
    <row r="667" ht="27.6" customHeight="1" spans="1:35" x14ac:dyDescent="0.25">
      <c r="A667" s="27" t="s">
        <v>526</v>
      </c>
      <c r="B667">
        <f t="shared" si="30"/>
        <v>0</v>
      </c>
      <c r="C667" t="s">
        <v>64</v>
      </c>
      <c r="D667" s="27" t="s">
        <v>102</v>
      </c>
      <c r="E667" t="s">
        <v>2347</v>
      </c>
      <c r="F667" s="28">
        <v>0</v>
      </c>
      <c r="G667" s="29">
        <v>1</v>
      </c>
      <c r="H667" s="30" t="s">
        <v>2348</v>
      </c>
      <c r="I667" t="s">
        <v>65</v>
      </c>
      <c r="J6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145</v>
      </c>
      <c r="L667" t="s">
        <v>146</v>
      </c>
      <c r="N667" s="29">
        <v>1</v>
      </c>
      <c r="P667" s="29">
        <v>1</v>
      </c>
      <c r="R667" s="29">
        <v>1</v>
      </c>
      <c r="S667" t="s">
        <v>70</v>
      </c>
      <c r="T667" t="s">
        <v>72</v>
      </c>
      <c r="U667" s="32">
        <v>30</v>
      </c>
      <c r="V667">
        <v>30</v>
      </c>
      <c r="W667" t="s">
        <v>79</v>
      </c>
      <c r="X667" t="s">
        <v>240</v>
      </c>
      <c r="Y667" t="s">
        <v>2349</v>
      </c>
      <c r="AA667" t="s">
        <v>75</v>
      </c>
      <c r="AC667" t="s">
        <v>83</v>
      </c>
      <c r="AE667" t="s">
        <v>75</v>
      </c>
      <c r="AF667" t="s">
        <v>84</v>
      </c>
      <c r="AG667" t="s">
        <v>84</v>
      </c>
      <c r="AH667" s="33">
        <f t="shared" si="31"/>
      </c>
      <c r="AI667" s="33">
        <f t="shared" si="32"/>
      </c>
    </row>
    <row r="668" ht="27.6" customHeight="1" spans="1:35" x14ac:dyDescent="0.25">
      <c r="A668" s="27" t="s">
        <v>785</v>
      </c>
      <c r="B668">
        <f t="shared" si="30"/>
        <v>0</v>
      </c>
      <c r="C668" t="s">
        <v>64</v>
      </c>
      <c r="D668" s="27" t="s">
        <v>102</v>
      </c>
      <c r="E668" t="s">
        <v>2350</v>
      </c>
      <c r="F668" s="28">
        <v>0</v>
      </c>
      <c r="G668" s="29">
        <v>1</v>
      </c>
      <c r="H668" s="30" t="s">
        <v>2351</v>
      </c>
      <c r="I668" t="s">
        <v>65</v>
      </c>
      <c r="J6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145</v>
      </c>
      <c r="L668" t="s">
        <v>146</v>
      </c>
      <c r="N668" s="29">
        <v>1</v>
      </c>
      <c r="P668" s="29">
        <v>1</v>
      </c>
      <c r="R668" s="29">
        <v>1</v>
      </c>
      <c r="S668" t="s">
        <v>70</v>
      </c>
      <c r="T668" t="s">
        <v>72</v>
      </c>
      <c r="U668" s="32">
        <v>30</v>
      </c>
      <c r="V668">
        <v>30</v>
      </c>
      <c r="W668" t="s">
        <v>79</v>
      </c>
      <c r="X668" t="s">
        <v>240</v>
      </c>
      <c r="Y668" t="s">
        <v>1949</v>
      </c>
      <c r="AA668" t="s">
        <v>75</v>
      </c>
      <c r="AC668" t="s">
        <v>83</v>
      </c>
      <c r="AE668" t="s">
        <v>75</v>
      </c>
      <c r="AF668" t="s">
        <v>84</v>
      </c>
      <c r="AG668" t="s">
        <v>84</v>
      </c>
      <c r="AH668" s="33">
        <f t="shared" si="31"/>
      </c>
      <c r="AI668" s="33">
        <f t="shared" si="32"/>
      </c>
    </row>
    <row r="669" ht="27.6" customHeight="1" spans="1:35" x14ac:dyDescent="0.25">
      <c r="A669" s="27" t="s">
        <v>790</v>
      </c>
      <c r="B669">
        <f t="shared" si="30"/>
        <v>0</v>
      </c>
      <c r="C669" t="s">
        <v>64</v>
      </c>
      <c r="D669" s="27" t="s">
        <v>102</v>
      </c>
      <c r="E669" t="s">
        <v>2350</v>
      </c>
      <c r="F669" s="28">
        <v>0</v>
      </c>
      <c r="G669" s="29">
        <v>1</v>
      </c>
      <c r="H669" s="30" t="s">
        <v>2352</v>
      </c>
      <c r="I669" t="s">
        <v>65</v>
      </c>
      <c r="J6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145</v>
      </c>
      <c r="L669" t="s">
        <v>146</v>
      </c>
      <c r="N669" s="29">
        <v>1</v>
      </c>
      <c r="P669" s="29">
        <v>1</v>
      </c>
      <c r="R669" s="29">
        <v>1</v>
      </c>
      <c r="S669" t="s">
        <v>70</v>
      </c>
      <c r="T669" t="s">
        <v>72</v>
      </c>
      <c r="U669" s="32">
        <v>30</v>
      </c>
      <c r="V669">
        <v>30</v>
      </c>
      <c r="W669" t="s">
        <v>79</v>
      </c>
      <c r="X669" t="s">
        <v>240</v>
      </c>
      <c r="Y669" t="s">
        <v>1949</v>
      </c>
      <c r="AA669" t="s">
        <v>75</v>
      </c>
      <c r="AC669" t="s">
        <v>83</v>
      </c>
      <c r="AE669" t="s">
        <v>75</v>
      </c>
      <c r="AF669" t="s">
        <v>84</v>
      </c>
      <c r="AG669" t="s">
        <v>84</v>
      </c>
      <c r="AH669" s="33">
        <f t="shared" si="31"/>
      </c>
      <c r="AI669" s="33">
        <f t="shared" si="32"/>
      </c>
    </row>
    <row r="670" ht="27.6" customHeight="1" spans="1:35" x14ac:dyDescent="0.25">
      <c r="A670" s="27" t="s">
        <v>2339</v>
      </c>
      <c r="B670">
        <f t="shared" si="30"/>
        <v>0</v>
      </c>
      <c r="C670" t="s">
        <v>64</v>
      </c>
      <c r="D670" s="27" t="s">
        <v>102</v>
      </c>
      <c r="E670" t="s">
        <v>2353</v>
      </c>
      <c r="F670" s="28">
        <v>0</v>
      </c>
      <c r="G670" s="29">
        <v>1</v>
      </c>
      <c r="H670" s="30" t="s">
        <v>2354</v>
      </c>
      <c r="I670" t="s">
        <v>65</v>
      </c>
      <c r="J6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145</v>
      </c>
      <c r="L670" t="s">
        <v>146</v>
      </c>
      <c r="N670" s="29">
        <v>1</v>
      </c>
      <c r="P670" s="29">
        <v>1</v>
      </c>
      <c r="R670" s="29">
        <v>1</v>
      </c>
      <c r="S670" t="s">
        <v>70</v>
      </c>
      <c r="T670" t="s">
        <v>72</v>
      </c>
      <c r="U670" s="32">
        <v>30</v>
      </c>
      <c r="V670">
        <v>30</v>
      </c>
      <c r="W670" t="s">
        <v>79</v>
      </c>
      <c r="X670" t="s">
        <v>240</v>
      </c>
      <c r="Y670" t="s">
        <v>2343</v>
      </c>
      <c r="AA670" t="s">
        <v>75</v>
      </c>
      <c r="AC670" t="s">
        <v>83</v>
      </c>
      <c r="AE670" t="s">
        <v>75</v>
      </c>
      <c r="AF670" t="s">
        <v>84</v>
      </c>
      <c r="AG670" t="s">
        <v>84</v>
      </c>
      <c r="AH670" s="33">
        <f t="shared" si="31"/>
      </c>
      <c r="AI670" s="33">
        <f t="shared" si="32"/>
      </c>
    </row>
    <row r="671" ht="27.6" customHeight="1" spans="1:35" x14ac:dyDescent="0.25">
      <c r="A671" s="27" t="s">
        <v>2355</v>
      </c>
      <c r="B671">
        <f t="shared" si="30"/>
        <v>0</v>
      </c>
      <c r="C671" t="s">
        <v>64</v>
      </c>
      <c r="D671" s="27" t="s">
        <v>2356</v>
      </c>
      <c r="E671" t="s">
        <v>2357</v>
      </c>
      <c r="F671" s="28">
        <v>2</v>
      </c>
      <c r="G671" s="29">
        <v>2</v>
      </c>
      <c r="H671" s="30" t="s">
        <v>2358</v>
      </c>
      <c r="I671" t="s">
        <v>65</v>
      </c>
      <c r="J6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145</v>
      </c>
      <c r="L671" t="s">
        <v>146</v>
      </c>
      <c r="N671" s="29">
        <v>2</v>
      </c>
      <c r="P671" s="29">
        <v>2</v>
      </c>
      <c r="R671" s="29">
        <v>2</v>
      </c>
      <c r="S671" t="s">
        <v>70</v>
      </c>
      <c r="T671" t="s">
        <v>72</v>
      </c>
      <c r="U671" s="32">
        <v>30</v>
      </c>
      <c r="V671">
        <v>30</v>
      </c>
      <c r="W671" t="s">
        <v>79</v>
      </c>
      <c r="X671" t="s">
        <v>240</v>
      </c>
      <c r="Y671" t="s">
        <v>396</v>
      </c>
      <c r="AA671" t="s">
        <v>75</v>
      </c>
      <c r="AC671" t="s">
        <v>83</v>
      </c>
      <c r="AE671" t="s">
        <v>75</v>
      </c>
      <c r="AF671" t="s">
        <v>84</v>
      </c>
      <c r="AG671" t="s">
        <v>84</v>
      </c>
      <c r="AH671" s="33">
        <f t="shared" si="31"/>
      </c>
      <c r="AI671" s="33">
        <f t="shared" si="32"/>
      </c>
    </row>
    <row r="672" ht="27.6" customHeight="1" spans="1:35" x14ac:dyDescent="0.25">
      <c r="A672" s="27" t="s">
        <v>2359</v>
      </c>
      <c r="B672">
        <f t="shared" si="30"/>
        <v>0</v>
      </c>
      <c r="C672" t="s">
        <v>64</v>
      </c>
      <c r="D672" s="27" t="s">
        <v>102</v>
      </c>
      <c r="E672" t="s">
        <v>2360</v>
      </c>
      <c r="F672" s="28">
        <v>0</v>
      </c>
      <c r="G672" s="29">
        <v>1</v>
      </c>
      <c r="H672" s="30" t="s">
        <v>2361</v>
      </c>
      <c r="I672" t="s">
        <v>65</v>
      </c>
      <c r="J6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145</v>
      </c>
      <c r="L672" t="s">
        <v>146</v>
      </c>
      <c r="N672" s="29">
        <v>1</v>
      </c>
      <c r="P672" s="29">
        <v>1</v>
      </c>
      <c r="R672" s="29">
        <v>1</v>
      </c>
      <c r="S672" t="s">
        <v>70</v>
      </c>
      <c r="T672" t="s">
        <v>72</v>
      </c>
      <c r="U672" s="32">
        <v>30</v>
      </c>
      <c r="V672">
        <v>30</v>
      </c>
      <c r="W672" t="s">
        <v>79</v>
      </c>
      <c r="X672" t="s">
        <v>240</v>
      </c>
      <c r="Y672" t="s">
        <v>2362</v>
      </c>
      <c r="AA672" t="s">
        <v>75</v>
      </c>
      <c r="AC672" t="s">
        <v>83</v>
      </c>
      <c r="AE672" t="s">
        <v>75</v>
      </c>
      <c r="AF672" t="s">
        <v>84</v>
      </c>
      <c r="AG672" t="s">
        <v>84</v>
      </c>
      <c r="AH672" s="33">
        <f t="shared" si="31"/>
      </c>
      <c r="AI672" s="33">
        <f t="shared" si="32"/>
      </c>
    </row>
    <row r="673" ht="27.6" customHeight="1" spans="1:35" x14ac:dyDescent="0.25">
      <c r="A673" s="27" t="s">
        <v>2363</v>
      </c>
      <c r="B673">
        <f t="shared" si="30"/>
        <v>0</v>
      </c>
      <c r="C673" t="s">
        <v>64</v>
      </c>
      <c r="D673" s="27" t="s">
        <v>102</v>
      </c>
      <c r="E673" t="s">
        <v>2364</v>
      </c>
      <c r="F673" s="28">
        <v>0</v>
      </c>
      <c r="G673" s="29">
        <v>1</v>
      </c>
      <c r="H673" s="30" t="s">
        <v>2365</v>
      </c>
      <c r="I673" t="s">
        <v>65</v>
      </c>
      <c r="J6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145</v>
      </c>
      <c r="L673" t="s">
        <v>146</v>
      </c>
      <c r="N673" s="29">
        <v>1</v>
      </c>
      <c r="P673" s="29">
        <v>1</v>
      </c>
      <c r="R673" s="29">
        <v>1</v>
      </c>
      <c r="S673" t="s">
        <v>70</v>
      </c>
      <c r="T673" t="s">
        <v>72</v>
      </c>
      <c r="U673" s="32">
        <v>30</v>
      </c>
      <c r="V673">
        <v>30</v>
      </c>
      <c r="W673" t="s">
        <v>79</v>
      </c>
      <c r="X673" t="s">
        <v>240</v>
      </c>
      <c r="Y673" t="s">
        <v>2366</v>
      </c>
      <c r="AA673" t="s">
        <v>75</v>
      </c>
      <c r="AC673" t="s">
        <v>83</v>
      </c>
      <c r="AE673" t="s">
        <v>75</v>
      </c>
      <c r="AF673" t="s">
        <v>84</v>
      </c>
      <c r="AG673" t="s">
        <v>84</v>
      </c>
      <c r="AH673" s="33">
        <f t="shared" si="31"/>
      </c>
      <c r="AI673" s="33">
        <f t="shared" si="32"/>
      </c>
    </row>
    <row r="674" ht="27.6" customHeight="1" spans="1:35" x14ac:dyDescent="0.25">
      <c r="A674" s="27" t="s">
        <v>2367</v>
      </c>
      <c r="B674">
        <f t="shared" si="30"/>
        <v>0</v>
      </c>
      <c r="C674" t="s">
        <v>64</v>
      </c>
      <c r="D674" s="27" t="s">
        <v>102</v>
      </c>
      <c r="E674" t="s">
        <v>2368</v>
      </c>
      <c r="F674" s="28">
        <v>0</v>
      </c>
      <c r="G674" s="29">
        <v>1</v>
      </c>
      <c r="H674" s="30" t="s">
        <v>2369</v>
      </c>
      <c r="I674" t="s">
        <v>65</v>
      </c>
      <c r="J6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145</v>
      </c>
      <c r="L674" t="s">
        <v>146</v>
      </c>
      <c r="N674" s="29">
        <v>1</v>
      </c>
      <c r="P674" s="29">
        <v>1</v>
      </c>
      <c r="R674" s="29">
        <v>1</v>
      </c>
      <c r="S674" t="s">
        <v>70</v>
      </c>
      <c r="T674" t="s">
        <v>72</v>
      </c>
      <c r="U674" s="32">
        <v>30</v>
      </c>
      <c r="V674">
        <v>30</v>
      </c>
      <c r="W674" t="s">
        <v>79</v>
      </c>
      <c r="X674" t="s">
        <v>240</v>
      </c>
      <c r="Y674" t="s">
        <v>2370</v>
      </c>
      <c r="AA674" t="s">
        <v>75</v>
      </c>
      <c r="AC674" t="s">
        <v>83</v>
      </c>
      <c r="AE674" t="s">
        <v>75</v>
      </c>
      <c r="AF674" t="s">
        <v>84</v>
      </c>
      <c r="AG674" t="s">
        <v>84</v>
      </c>
      <c r="AH674" s="33">
        <f t="shared" si="31"/>
      </c>
      <c r="AI674" s="33">
        <f t="shared" si="32"/>
      </c>
    </row>
    <row r="675" ht="27.6" customHeight="1" spans="1:35" x14ac:dyDescent="0.25">
      <c r="A675" s="27" t="s">
        <v>2371</v>
      </c>
      <c r="B675">
        <f t="shared" si="30"/>
        <v>0</v>
      </c>
      <c r="C675" t="s">
        <v>64</v>
      </c>
      <c r="D675" s="27" t="s">
        <v>102</v>
      </c>
      <c r="E675" t="s">
        <v>2372</v>
      </c>
      <c r="F675" s="28">
        <v>0</v>
      </c>
      <c r="G675" s="29">
        <v>1</v>
      </c>
      <c r="H675" s="30" t="s">
        <v>2373</v>
      </c>
      <c r="I675" t="s">
        <v>65</v>
      </c>
      <c r="J6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145</v>
      </c>
      <c r="L675" t="s">
        <v>146</v>
      </c>
      <c r="N675" s="29">
        <v>1</v>
      </c>
      <c r="P675" s="29">
        <v>1</v>
      </c>
      <c r="R675" s="29">
        <v>1</v>
      </c>
      <c r="S675" t="s">
        <v>70</v>
      </c>
      <c r="T675" t="s">
        <v>72</v>
      </c>
      <c r="U675" s="32">
        <v>30</v>
      </c>
      <c r="V675">
        <v>30</v>
      </c>
      <c r="W675" t="s">
        <v>79</v>
      </c>
      <c r="X675" t="s">
        <v>240</v>
      </c>
      <c r="Y675" t="s">
        <v>2374</v>
      </c>
      <c r="AA675" t="s">
        <v>75</v>
      </c>
      <c r="AC675" t="s">
        <v>83</v>
      </c>
      <c r="AE675" t="s">
        <v>75</v>
      </c>
      <c r="AF675" t="s">
        <v>84</v>
      </c>
      <c r="AG675" t="s">
        <v>84</v>
      </c>
      <c r="AH675" s="33">
        <f t="shared" si="31"/>
      </c>
      <c r="AI675" s="33">
        <f t="shared" si="32"/>
      </c>
    </row>
    <row r="676" ht="27.6" customHeight="1" spans="1:35" x14ac:dyDescent="0.25">
      <c r="A676" s="27" t="s">
        <v>2375</v>
      </c>
      <c r="B676">
        <f t="shared" si="30"/>
        <v>0</v>
      </c>
      <c r="C676" t="s">
        <v>64</v>
      </c>
      <c r="D676" s="27" t="s">
        <v>102</v>
      </c>
      <c r="E676" t="s">
        <v>2376</v>
      </c>
      <c r="F676" s="28">
        <v>0</v>
      </c>
      <c r="G676" s="29">
        <v>1</v>
      </c>
      <c r="H676" s="30" t="s">
        <v>2377</v>
      </c>
      <c r="I676" t="s">
        <v>65</v>
      </c>
      <c r="J6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145</v>
      </c>
      <c r="L676" t="s">
        <v>146</v>
      </c>
      <c r="N676" s="29">
        <v>1</v>
      </c>
      <c r="P676" s="29">
        <v>1</v>
      </c>
      <c r="R676" s="29">
        <v>1</v>
      </c>
      <c r="S676" t="s">
        <v>70</v>
      </c>
      <c r="T676" t="s">
        <v>72</v>
      </c>
      <c r="U676" s="32">
        <v>30</v>
      </c>
      <c r="V676">
        <v>30</v>
      </c>
      <c r="W676" t="s">
        <v>79</v>
      </c>
      <c r="X676" t="s">
        <v>240</v>
      </c>
      <c r="Y676" t="s">
        <v>2378</v>
      </c>
      <c r="AA676" t="s">
        <v>75</v>
      </c>
      <c r="AC676" t="s">
        <v>83</v>
      </c>
      <c r="AE676" t="s">
        <v>75</v>
      </c>
      <c r="AF676" t="s">
        <v>84</v>
      </c>
      <c r="AG676" t="s">
        <v>84</v>
      </c>
      <c r="AH676" s="33">
        <f t="shared" si="31"/>
      </c>
      <c r="AI676" s="33">
        <f t="shared" si="32"/>
      </c>
    </row>
    <row r="677" ht="27.6" customHeight="1" spans="1:35" x14ac:dyDescent="0.25">
      <c r="A677" s="27" t="s">
        <v>1670</v>
      </c>
      <c r="B677">
        <f t="shared" si="30"/>
        <v>0</v>
      </c>
      <c r="C677" t="s">
        <v>64</v>
      </c>
      <c r="D677" s="27" t="s">
        <v>102</v>
      </c>
      <c r="E677" t="s">
        <v>2379</v>
      </c>
      <c r="F677" s="28">
        <v>0</v>
      </c>
      <c r="G677" s="29">
        <v>1</v>
      </c>
      <c r="H677" s="30" t="s">
        <v>2380</v>
      </c>
      <c r="I677" t="s">
        <v>65</v>
      </c>
      <c r="J6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145</v>
      </c>
      <c r="L677" t="s">
        <v>146</v>
      </c>
      <c r="N677" s="29">
        <v>1</v>
      </c>
      <c r="P677" s="29">
        <v>1</v>
      </c>
      <c r="R677" s="29">
        <v>1</v>
      </c>
      <c r="S677" t="s">
        <v>70</v>
      </c>
      <c r="T677" t="s">
        <v>72</v>
      </c>
      <c r="U677" s="32">
        <v>30</v>
      </c>
      <c r="V677">
        <v>30</v>
      </c>
      <c r="W677" t="s">
        <v>79</v>
      </c>
      <c r="X677" t="s">
        <v>240</v>
      </c>
      <c r="Y677" t="s">
        <v>2381</v>
      </c>
      <c r="AA677" t="s">
        <v>75</v>
      </c>
      <c r="AC677" t="s">
        <v>83</v>
      </c>
      <c r="AE677" t="s">
        <v>75</v>
      </c>
      <c r="AF677" t="s">
        <v>84</v>
      </c>
      <c r="AG677" t="s">
        <v>84</v>
      </c>
      <c r="AH677" s="33">
        <f t="shared" si="31"/>
      </c>
      <c r="AI677" s="33">
        <f t="shared" si="32"/>
      </c>
    </row>
    <row r="678" ht="27.6" customHeight="1" spans="1:35" x14ac:dyDescent="0.25">
      <c r="A678" s="27" t="s">
        <v>2382</v>
      </c>
      <c r="B678">
        <f t="shared" si="30"/>
        <v>0</v>
      </c>
      <c r="C678" t="s">
        <v>64</v>
      </c>
      <c r="D678" s="27" t="s">
        <v>102</v>
      </c>
      <c r="E678" t="s">
        <v>2383</v>
      </c>
      <c r="F678" s="28">
        <v>0</v>
      </c>
      <c r="G678" s="29">
        <v>1</v>
      </c>
      <c r="H678" s="30" t="s">
        <v>2384</v>
      </c>
      <c r="I678" t="s">
        <v>65</v>
      </c>
      <c r="J6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145</v>
      </c>
      <c r="L678" t="s">
        <v>146</v>
      </c>
      <c r="N678" s="29">
        <v>1</v>
      </c>
      <c r="P678" s="29">
        <v>1</v>
      </c>
      <c r="R678" s="29">
        <v>1</v>
      </c>
      <c r="S678" t="s">
        <v>70</v>
      </c>
      <c r="T678" t="s">
        <v>72</v>
      </c>
      <c r="U678" s="32">
        <v>30</v>
      </c>
      <c r="V678">
        <v>30</v>
      </c>
      <c r="W678" t="s">
        <v>79</v>
      </c>
      <c r="X678" t="s">
        <v>240</v>
      </c>
      <c r="Y678" t="s">
        <v>2385</v>
      </c>
      <c r="AA678" t="s">
        <v>75</v>
      </c>
      <c r="AC678" t="s">
        <v>83</v>
      </c>
      <c r="AE678" t="s">
        <v>75</v>
      </c>
      <c r="AF678" t="s">
        <v>84</v>
      </c>
      <c r="AG678" t="s">
        <v>84</v>
      </c>
      <c r="AH678" s="33">
        <f t="shared" si="31"/>
      </c>
      <c r="AI678" s="33">
        <f t="shared" si="32"/>
      </c>
    </row>
    <row r="679" ht="27.6" customHeight="1" spans="1:35" x14ac:dyDescent="0.25">
      <c r="A679" s="27" t="s">
        <v>880</v>
      </c>
      <c r="B679">
        <f t="shared" si="30"/>
        <v>0</v>
      </c>
      <c r="C679" t="s">
        <v>64</v>
      </c>
      <c r="D679" s="27" t="s">
        <v>2386</v>
      </c>
      <c r="E679" t="s">
        <v>2387</v>
      </c>
      <c r="F679" s="28">
        <v>0</v>
      </c>
      <c r="G679" s="29">
        <v>2</v>
      </c>
      <c r="H679" s="30" t="s">
        <v>2388</v>
      </c>
      <c r="I679" t="s">
        <v>65</v>
      </c>
      <c r="J6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145</v>
      </c>
      <c r="L679" t="s">
        <v>146</v>
      </c>
      <c r="N679" s="29">
        <v>2</v>
      </c>
      <c r="P679" s="29">
        <v>2</v>
      </c>
      <c r="R679" s="29">
        <v>2</v>
      </c>
      <c r="S679" t="s">
        <v>70</v>
      </c>
      <c r="T679" t="s">
        <v>72</v>
      </c>
      <c r="U679" s="32">
        <v>30</v>
      </c>
      <c r="V679">
        <v>30</v>
      </c>
      <c r="W679" t="s">
        <v>79</v>
      </c>
      <c r="X679" t="s">
        <v>240</v>
      </c>
      <c r="Y679" t="s">
        <v>2389</v>
      </c>
      <c r="AA679" t="s">
        <v>75</v>
      </c>
      <c r="AC679" t="s">
        <v>83</v>
      </c>
      <c r="AE679" t="s">
        <v>75</v>
      </c>
      <c r="AF679" t="s">
        <v>84</v>
      </c>
      <c r="AG679" t="s">
        <v>84</v>
      </c>
      <c r="AH679" s="33">
        <f t="shared" si="31"/>
      </c>
      <c r="AI679" s="33">
        <f t="shared" si="32"/>
      </c>
    </row>
    <row r="680" ht="27.6" customHeight="1" spans="1:35" x14ac:dyDescent="0.25">
      <c r="A680" s="27" t="s">
        <v>2390</v>
      </c>
      <c r="B680">
        <f t="shared" si="30"/>
        <v>0</v>
      </c>
      <c r="C680" t="s">
        <v>64</v>
      </c>
      <c r="D680" s="27" t="s">
        <v>2391</v>
      </c>
      <c r="E680" t="s">
        <v>2392</v>
      </c>
      <c r="F680" s="28">
        <v>2</v>
      </c>
      <c r="G680" s="29">
        <v>1</v>
      </c>
      <c r="H680" s="30" t="s">
        <v>2393</v>
      </c>
      <c r="I680" t="s">
        <v>65</v>
      </c>
      <c r="J6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145</v>
      </c>
      <c r="L680" t="s">
        <v>146</v>
      </c>
      <c r="N680" s="29">
        <v>1</v>
      </c>
      <c r="P680" s="29">
        <v>1</v>
      </c>
      <c r="R680" s="29">
        <v>1</v>
      </c>
      <c r="S680" t="s">
        <v>70</v>
      </c>
      <c r="T680" t="s">
        <v>72</v>
      </c>
      <c r="U680" s="32">
        <v>30</v>
      </c>
      <c r="V680">
        <v>30</v>
      </c>
      <c r="W680" t="s">
        <v>79</v>
      </c>
      <c r="X680" t="s">
        <v>240</v>
      </c>
      <c r="Y680" t="s">
        <v>2394</v>
      </c>
      <c r="AA680" t="s">
        <v>75</v>
      </c>
      <c r="AC680" t="s">
        <v>83</v>
      </c>
      <c r="AE680" t="s">
        <v>75</v>
      </c>
      <c r="AF680" t="s">
        <v>84</v>
      </c>
      <c r="AG680" t="s">
        <v>84</v>
      </c>
      <c r="AH680" s="33">
        <f t="shared" si="31"/>
      </c>
      <c r="AI680" s="33">
        <f t="shared" si="32"/>
      </c>
    </row>
    <row r="681" ht="27.6" customHeight="1" spans="1:35" x14ac:dyDescent="0.25">
      <c r="A681" s="27" t="s">
        <v>904</v>
      </c>
      <c r="B681">
        <f t="shared" si="30"/>
        <v>0</v>
      </c>
      <c r="C681" t="s">
        <v>64</v>
      </c>
      <c r="D681" s="27" t="s">
        <v>102</v>
      </c>
      <c r="E681" t="s">
        <v>2395</v>
      </c>
      <c r="F681" s="28">
        <v>0</v>
      </c>
      <c r="G681" s="29">
        <v>1</v>
      </c>
      <c r="H681" s="30" t="s">
        <v>2396</v>
      </c>
      <c r="I681" t="s">
        <v>65</v>
      </c>
      <c r="J6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145</v>
      </c>
      <c r="L681" t="s">
        <v>146</v>
      </c>
      <c r="N681" s="29">
        <v>1</v>
      </c>
      <c r="P681" s="29">
        <v>1</v>
      </c>
      <c r="R681" s="29">
        <v>1</v>
      </c>
      <c r="S681" t="s">
        <v>70</v>
      </c>
      <c r="T681" t="s">
        <v>72</v>
      </c>
      <c r="U681" s="32">
        <v>30</v>
      </c>
      <c r="V681">
        <v>30</v>
      </c>
      <c r="W681" t="s">
        <v>79</v>
      </c>
      <c r="X681" t="s">
        <v>240</v>
      </c>
      <c r="Y681" t="s">
        <v>907</v>
      </c>
      <c r="AA681" t="s">
        <v>75</v>
      </c>
      <c r="AC681" t="s">
        <v>83</v>
      </c>
      <c r="AE681" t="s">
        <v>75</v>
      </c>
      <c r="AF681" t="s">
        <v>84</v>
      </c>
      <c r="AG681" t="s">
        <v>84</v>
      </c>
      <c r="AH681" s="33">
        <f t="shared" si="31"/>
      </c>
      <c r="AI681" s="33">
        <f t="shared" si="32"/>
      </c>
    </row>
    <row r="682" ht="27.6" customHeight="1" spans="1:35" x14ac:dyDescent="0.25">
      <c r="A682" s="27" t="s">
        <v>900</v>
      </c>
      <c r="B682">
        <f t="shared" si="30"/>
        <v>0</v>
      </c>
      <c r="C682" t="s">
        <v>64</v>
      </c>
      <c r="D682" s="27" t="s">
        <v>102</v>
      </c>
      <c r="E682" t="s">
        <v>2397</v>
      </c>
      <c r="F682" s="28">
        <v>0</v>
      </c>
      <c r="G682" s="29">
        <v>1</v>
      </c>
      <c r="H682" s="30" t="s">
        <v>2398</v>
      </c>
      <c r="I682" t="s">
        <v>65</v>
      </c>
      <c r="J6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145</v>
      </c>
      <c r="L682" t="s">
        <v>146</v>
      </c>
      <c r="N682" s="29">
        <v>1</v>
      </c>
      <c r="P682" s="29">
        <v>1</v>
      </c>
      <c r="R682" s="29">
        <v>1</v>
      </c>
      <c r="S682" t="s">
        <v>70</v>
      </c>
      <c r="T682" t="s">
        <v>72</v>
      </c>
      <c r="U682" s="32">
        <v>30</v>
      </c>
      <c r="V682">
        <v>30</v>
      </c>
      <c r="W682" t="s">
        <v>79</v>
      </c>
      <c r="X682" t="s">
        <v>240</v>
      </c>
      <c r="Y682" t="s">
        <v>2399</v>
      </c>
      <c r="AA682" t="s">
        <v>75</v>
      </c>
      <c r="AC682" t="s">
        <v>83</v>
      </c>
      <c r="AE682" t="s">
        <v>75</v>
      </c>
      <c r="AF682" t="s">
        <v>84</v>
      </c>
      <c r="AG682" t="s">
        <v>84</v>
      </c>
      <c r="AH682" s="33">
        <f t="shared" si="31"/>
      </c>
      <c r="AI682" s="33">
        <f t="shared" si="32"/>
      </c>
    </row>
    <row r="683" ht="27.6" customHeight="1" spans="1:35" x14ac:dyDescent="0.25">
      <c r="A683" s="27" t="s">
        <v>712</v>
      </c>
      <c r="B683">
        <f t="shared" si="30"/>
        <v>0</v>
      </c>
      <c r="C683" t="s">
        <v>64</v>
      </c>
      <c r="D683" s="27" t="s">
        <v>2400</v>
      </c>
      <c r="E683" t="s">
        <v>2401</v>
      </c>
      <c r="F683" s="28">
        <v>4</v>
      </c>
      <c r="G683" s="29">
        <v>2</v>
      </c>
      <c r="H683" s="30" t="s">
        <v>2402</v>
      </c>
      <c r="I683" t="s">
        <v>65</v>
      </c>
      <c r="J6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145</v>
      </c>
      <c r="L683" t="s">
        <v>146</v>
      </c>
      <c r="N683" s="29">
        <v>2</v>
      </c>
      <c r="P683" s="29">
        <v>2</v>
      </c>
      <c r="R683" s="29">
        <v>2</v>
      </c>
      <c r="S683" t="s">
        <v>70</v>
      </c>
      <c r="T683" t="s">
        <v>72</v>
      </c>
      <c r="U683" s="32">
        <v>30</v>
      </c>
      <c r="V683">
        <v>30</v>
      </c>
      <c r="W683" t="s">
        <v>79</v>
      </c>
      <c r="X683" t="s">
        <v>240</v>
      </c>
      <c r="Y683" t="s">
        <v>2403</v>
      </c>
      <c r="AA683" t="s">
        <v>75</v>
      </c>
      <c r="AC683" t="s">
        <v>83</v>
      </c>
      <c r="AE683" t="s">
        <v>75</v>
      </c>
      <c r="AF683" t="s">
        <v>84</v>
      </c>
      <c r="AG683" t="s">
        <v>84</v>
      </c>
      <c r="AH683" s="33">
        <f t="shared" si="31"/>
      </c>
      <c r="AI683" s="33">
        <f t="shared" si="32"/>
      </c>
    </row>
    <row r="684" ht="27.6" customHeight="1" spans="1:35" x14ac:dyDescent="0.25">
      <c r="A684" s="27" t="s">
        <v>2404</v>
      </c>
      <c r="B684">
        <f t="shared" si="30"/>
        <v>0</v>
      </c>
      <c r="C684" t="s">
        <v>64</v>
      </c>
      <c r="D684" s="27" t="s">
        <v>102</v>
      </c>
      <c r="E684" t="s">
        <v>2405</v>
      </c>
      <c r="F684" s="28">
        <v>0</v>
      </c>
      <c r="G684" s="29">
        <v>1</v>
      </c>
      <c r="H684" s="30" t="s">
        <v>2406</v>
      </c>
      <c r="I684" t="s">
        <v>65</v>
      </c>
      <c r="J6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145</v>
      </c>
      <c r="L684" t="s">
        <v>146</v>
      </c>
      <c r="N684" s="29">
        <v>1</v>
      </c>
      <c r="P684" s="29">
        <v>1</v>
      </c>
      <c r="R684" s="29">
        <v>1</v>
      </c>
      <c r="S684" t="s">
        <v>70</v>
      </c>
      <c r="T684" t="s">
        <v>72</v>
      </c>
      <c r="U684" s="32">
        <v>30</v>
      </c>
      <c r="V684">
        <v>30</v>
      </c>
      <c r="W684" t="s">
        <v>79</v>
      </c>
      <c r="X684" t="s">
        <v>240</v>
      </c>
      <c r="Y684" t="s">
        <v>2407</v>
      </c>
      <c r="AA684" t="s">
        <v>75</v>
      </c>
      <c r="AC684" t="s">
        <v>83</v>
      </c>
      <c r="AE684" t="s">
        <v>75</v>
      </c>
      <c r="AF684" t="s">
        <v>84</v>
      </c>
      <c r="AG684" t="s">
        <v>84</v>
      </c>
      <c r="AH684" s="33">
        <f t="shared" si="31"/>
      </c>
      <c r="AI684" s="33">
        <f t="shared" si="32"/>
      </c>
    </row>
    <row r="685" ht="27.6" customHeight="1" spans="1:35" x14ac:dyDescent="0.25">
      <c r="A685" s="27" t="s">
        <v>2408</v>
      </c>
      <c r="B685">
        <f t="shared" si="30"/>
        <v>0</v>
      </c>
      <c r="C685" t="s">
        <v>64</v>
      </c>
      <c r="D685" s="27" t="s">
        <v>102</v>
      </c>
      <c r="E685" t="s">
        <v>2409</v>
      </c>
      <c r="F685" s="28">
        <v>0</v>
      </c>
      <c r="G685" s="29">
        <v>1</v>
      </c>
      <c r="H685" s="30" t="s">
        <v>2410</v>
      </c>
      <c r="I685" t="s">
        <v>65</v>
      </c>
      <c r="J6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145</v>
      </c>
      <c r="L685" t="s">
        <v>146</v>
      </c>
      <c r="N685" s="29">
        <v>1</v>
      </c>
      <c r="P685" s="29">
        <v>1</v>
      </c>
      <c r="R685" s="29">
        <v>1</v>
      </c>
      <c r="S685" t="s">
        <v>70</v>
      </c>
      <c r="T685" t="s">
        <v>72</v>
      </c>
      <c r="U685" s="32">
        <v>30</v>
      </c>
      <c r="V685">
        <v>30</v>
      </c>
      <c r="W685" t="s">
        <v>79</v>
      </c>
      <c r="X685" t="s">
        <v>240</v>
      </c>
      <c r="Y685" t="s">
        <v>2411</v>
      </c>
      <c r="AA685" t="s">
        <v>75</v>
      </c>
      <c r="AC685" t="s">
        <v>83</v>
      </c>
      <c r="AE685" t="s">
        <v>75</v>
      </c>
      <c r="AF685" t="s">
        <v>84</v>
      </c>
      <c r="AG685" t="s">
        <v>84</v>
      </c>
      <c r="AH685" s="33">
        <f t="shared" si="31"/>
      </c>
      <c r="AI685" s="33">
        <f t="shared" si="32"/>
      </c>
    </row>
    <row r="686" ht="27.6" customHeight="1" spans="1:35" x14ac:dyDescent="0.25">
      <c r="A686" s="27" t="s">
        <v>2412</v>
      </c>
      <c r="B686">
        <f t="shared" si="30"/>
        <v>0</v>
      </c>
      <c r="C686" t="s">
        <v>64</v>
      </c>
      <c r="D686" s="27" t="s">
        <v>102</v>
      </c>
      <c r="E686" t="s">
        <v>2413</v>
      </c>
      <c r="F686" s="28">
        <v>0</v>
      </c>
      <c r="G686" s="29">
        <v>1</v>
      </c>
      <c r="H686" s="30" t="s">
        <v>2414</v>
      </c>
      <c r="I686" t="s">
        <v>65</v>
      </c>
      <c r="J6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145</v>
      </c>
      <c r="L686" t="s">
        <v>146</v>
      </c>
      <c r="N686" s="29">
        <v>1</v>
      </c>
      <c r="P686" s="29">
        <v>1</v>
      </c>
      <c r="R686" s="29">
        <v>1</v>
      </c>
      <c r="S686" t="s">
        <v>70</v>
      </c>
      <c r="T686" t="s">
        <v>72</v>
      </c>
      <c r="U686" s="32">
        <v>30</v>
      </c>
      <c r="V686">
        <v>30</v>
      </c>
      <c r="W686" t="s">
        <v>79</v>
      </c>
      <c r="X686" t="s">
        <v>240</v>
      </c>
      <c r="Y686" t="s">
        <v>2413</v>
      </c>
      <c r="AA686" t="s">
        <v>75</v>
      </c>
      <c r="AC686" t="s">
        <v>83</v>
      </c>
      <c r="AE686" t="s">
        <v>75</v>
      </c>
      <c r="AF686" t="s">
        <v>84</v>
      </c>
      <c r="AG686" t="s">
        <v>84</v>
      </c>
      <c r="AH686" s="33">
        <f t="shared" si="31"/>
      </c>
      <c r="AI686" s="33">
        <f t="shared" si="32"/>
      </c>
    </row>
    <row r="687" ht="27.6" customHeight="1" spans="1:35" x14ac:dyDescent="0.25">
      <c r="A687" s="27" t="s">
        <v>620</v>
      </c>
      <c r="B687">
        <f t="shared" si="30"/>
        <v>0</v>
      </c>
      <c r="C687" t="s">
        <v>64</v>
      </c>
      <c r="D687" s="27" t="s">
        <v>2415</v>
      </c>
      <c r="E687" t="s">
        <v>2416</v>
      </c>
      <c r="F687" s="28">
        <v>4</v>
      </c>
      <c r="G687" s="29">
        <v>1</v>
      </c>
      <c r="H687" s="30" t="s">
        <v>2417</v>
      </c>
      <c r="I687" t="s">
        <v>65</v>
      </c>
      <c r="J6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145</v>
      </c>
      <c r="L687" t="s">
        <v>146</v>
      </c>
      <c r="N687" s="29">
        <v>1</v>
      </c>
      <c r="P687" s="29">
        <v>1</v>
      </c>
      <c r="R687" s="29">
        <v>1</v>
      </c>
      <c r="S687" t="s">
        <v>70</v>
      </c>
      <c r="T687" t="s">
        <v>72</v>
      </c>
      <c r="U687" s="32">
        <v>30</v>
      </c>
      <c r="V687">
        <v>30</v>
      </c>
      <c r="W687" t="s">
        <v>79</v>
      </c>
      <c r="X687" t="s">
        <v>240</v>
      </c>
      <c r="Y687" t="s">
        <v>623</v>
      </c>
      <c r="AA687" t="s">
        <v>75</v>
      </c>
      <c r="AC687" t="s">
        <v>83</v>
      </c>
      <c r="AE687" t="s">
        <v>75</v>
      </c>
      <c r="AF687" t="s">
        <v>84</v>
      </c>
      <c r="AG687" t="s">
        <v>84</v>
      </c>
      <c r="AH687" s="33">
        <f t="shared" si="31"/>
      </c>
      <c r="AI687" s="33">
        <f t="shared" si="32"/>
      </c>
    </row>
    <row r="688" ht="27.6" customHeight="1" spans="1:35" x14ac:dyDescent="0.25">
      <c r="A688" s="27" t="s">
        <v>1852</v>
      </c>
      <c r="B688">
        <f t="shared" si="30"/>
        <v>0</v>
      </c>
      <c r="C688" t="s">
        <v>64</v>
      </c>
      <c r="D688" s="27" t="s">
        <v>102</v>
      </c>
      <c r="E688" t="s">
        <v>2418</v>
      </c>
      <c r="F688" s="28">
        <v>0</v>
      </c>
      <c r="G688" s="29">
        <v>1</v>
      </c>
      <c r="H688" s="30" t="s">
        <v>2419</v>
      </c>
      <c r="I688" t="s">
        <v>65</v>
      </c>
      <c r="J6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145</v>
      </c>
      <c r="L688" t="s">
        <v>146</v>
      </c>
      <c r="N688" s="29">
        <v>1</v>
      </c>
      <c r="P688" s="29">
        <v>1</v>
      </c>
      <c r="R688" s="29">
        <v>1</v>
      </c>
      <c r="S688" t="s">
        <v>70</v>
      </c>
      <c r="T688" t="s">
        <v>72</v>
      </c>
      <c r="U688" s="32">
        <v>30</v>
      </c>
      <c r="V688">
        <v>30</v>
      </c>
      <c r="W688" t="s">
        <v>79</v>
      </c>
      <c r="X688" t="s">
        <v>240</v>
      </c>
      <c r="Y688" t="s">
        <v>2420</v>
      </c>
      <c r="AA688" t="s">
        <v>75</v>
      </c>
      <c r="AC688" t="s">
        <v>83</v>
      </c>
      <c r="AE688" t="s">
        <v>75</v>
      </c>
      <c r="AF688" t="s">
        <v>84</v>
      </c>
      <c r="AG688" t="s">
        <v>84</v>
      </c>
      <c r="AH688" s="33">
        <f t="shared" si="31"/>
      </c>
      <c r="AI688" s="33">
        <f t="shared" si="32"/>
      </c>
    </row>
    <row r="689" ht="27.6" customHeight="1" spans="1:35" x14ac:dyDescent="0.25">
      <c r="A689" s="27" t="s">
        <v>2421</v>
      </c>
      <c r="B689">
        <f t="shared" si="30"/>
        <v>0</v>
      </c>
      <c r="C689" t="s">
        <v>64</v>
      </c>
      <c r="D689" s="27" t="s">
        <v>102</v>
      </c>
      <c r="E689" t="s">
        <v>2422</v>
      </c>
      <c r="F689" s="28">
        <v>0</v>
      </c>
      <c r="G689" s="29">
        <v>1</v>
      </c>
      <c r="H689" s="30" t="s">
        <v>2423</v>
      </c>
      <c r="I689" t="s">
        <v>65</v>
      </c>
      <c r="J6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145</v>
      </c>
      <c r="L689" t="s">
        <v>146</v>
      </c>
      <c r="N689" s="29">
        <v>1</v>
      </c>
      <c r="P689" s="29">
        <v>1</v>
      </c>
      <c r="R689" s="29">
        <v>1</v>
      </c>
      <c r="S689" t="s">
        <v>70</v>
      </c>
      <c r="T689" t="s">
        <v>72</v>
      </c>
      <c r="U689" s="32">
        <v>30</v>
      </c>
      <c r="V689">
        <v>30</v>
      </c>
      <c r="W689" t="s">
        <v>79</v>
      </c>
      <c r="X689" t="s">
        <v>245</v>
      </c>
      <c r="Y689" t="s">
        <v>2424</v>
      </c>
      <c r="AA689" t="s">
        <v>75</v>
      </c>
      <c r="AC689" t="s">
        <v>83</v>
      </c>
      <c r="AE689" t="s">
        <v>75</v>
      </c>
      <c r="AF689" t="s">
        <v>84</v>
      </c>
      <c r="AG689" t="s">
        <v>84</v>
      </c>
      <c r="AH689" s="33">
        <f t="shared" si="31"/>
      </c>
      <c r="AI689" s="33">
        <f t="shared" si="32"/>
      </c>
    </row>
    <row r="690" ht="27.6" customHeight="1" spans="1:35" x14ac:dyDescent="0.25">
      <c r="A690" s="27" t="s">
        <v>2425</v>
      </c>
      <c r="B690">
        <f t="shared" si="30"/>
        <v>0</v>
      </c>
      <c r="C690" t="s">
        <v>64</v>
      </c>
      <c r="D690" s="27" t="s">
        <v>2426</v>
      </c>
      <c r="E690" t="s">
        <v>2427</v>
      </c>
      <c r="F690" s="28">
        <v>0</v>
      </c>
      <c r="G690" s="29">
        <v>1</v>
      </c>
      <c r="H690" s="30" t="s">
        <v>2428</v>
      </c>
      <c r="I690" t="s">
        <v>65</v>
      </c>
      <c r="J6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145</v>
      </c>
      <c r="L690" t="s">
        <v>146</v>
      </c>
      <c r="N690" s="29">
        <v>1</v>
      </c>
      <c r="P690" s="29">
        <v>1</v>
      </c>
      <c r="R690" s="29">
        <v>1</v>
      </c>
      <c r="S690" t="s">
        <v>70</v>
      </c>
      <c r="T690" t="s">
        <v>72</v>
      </c>
      <c r="U690" s="32">
        <v>30</v>
      </c>
      <c r="V690">
        <v>30</v>
      </c>
      <c r="W690" t="s">
        <v>79</v>
      </c>
      <c r="X690" t="s">
        <v>980</v>
      </c>
      <c r="Y690" t="s">
        <v>2429</v>
      </c>
      <c r="AA690" t="s">
        <v>75</v>
      </c>
      <c r="AC690" t="s">
        <v>83</v>
      </c>
      <c r="AE690" t="s">
        <v>75</v>
      </c>
      <c r="AF690" t="s">
        <v>84</v>
      </c>
      <c r="AG690" t="s">
        <v>84</v>
      </c>
      <c r="AH690" s="33">
        <f t="shared" si="31"/>
      </c>
      <c r="AI690" s="33">
        <f t="shared" si="32"/>
      </c>
    </row>
    <row r="691" ht="27.6" customHeight="1" spans="1:35" x14ac:dyDescent="0.25">
      <c r="A691" s="27" t="s">
        <v>2425</v>
      </c>
      <c r="B691">
        <f t="shared" si="30"/>
        <v>0</v>
      </c>
      <c r="C691" t="s">
        <v>64</v>
      </c>
      <c r="D691" s="27" t="s">
        <v>102</v>
      </c>
      <c r="E691" t="s">
        <v>2430</v>
      </c>
      <c r="F691" s="28">
        <v>0</v>
      </c>
      <c r="G691" s="29">
        <v>1</v>
      </c>
      <c r="H691" s="30" t="s">
        <v>2431</v>
      </c>
      <c r="I691" t="s">
        <v>65</v>
      </c>
      <c r="J6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145</v>
      </c>
      <c r="L691" t="s">
        <v>146</v>
      </c>
      <c r="N691" s="29">
        <v>1</v>
      </c>
      <c r="P691" s="29">
        <v>1</v>
      </c>
      <c r="R691" s="29">
        <v>1</v>
      </c>
      <c r="S691" t="s">
        <v>70</v>
      </c>
      <c r="T691" t="s">
        <v>72</v>
      </c>
      <c r="U691" s="32">
        <v>30</v>
      </c>
      <c r="V691">
        <v>30</v>
      </c>
      <c r="W691" t="s">
        <v>79</v>
      </c>
      <c r="X691" t="s">
        <v>2432</v>
      </c>
      <c r="Y691" t="s">
        <v>2429</v>
      </c>
      <c r="AA691" t="s">
        <v>75</v>
      </c>
      <c r="AC691" t="s">
        <v>83</v>
      </c>
      <c r="AE691" t="s">
        <v>75</v>
      </c>
      <c r="AF691" t="s">
        <v>84</v>
      </c>
      <c r="AG691" t="s">
        <v>84</v>
      </c>
      <c r="AH691" s="33">
        <f t="shared" si="31"/>
      </c>
      <c r="AI691" s="33">
        <f t="shared" si="32"/>
      </c>
    </row>
    <row r="692" ht="27.6" customHeight="1" spans="1:35" x14ac:dyDescent="0.25">
      <c r="A692" s="27" t="s">
        <v>2433</v>
      </c>
      <c r="B692">
        <f t="shared" si="30"/>
        <v>0</v>
      </c>
      <c r="C692" t="s">
        <v>64</v>
      </c>
      <c r="D692" s="27" t="s">
        <v>102</v>
      </c>
      <c r="E692" t="s">
        <v>2434</v>
      </c>
      <c r="F692" s="28">
        <v>0</v>
      </c>
      <c r="G692" s="29">
        <v>1</v>
      </c>
      <c r="H692" s="30" t="s">
        <v>2435</v>
      </c>
      <c r="I692" t="s">
        <v>65</v>
      </c>
      <c r="J6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145</v>
      </c>
      <c r="L692" t="s">
        <v>146</v>
      </c>
      <c r="N692" s="29">
        <v>1</v>
      </c>
      <c r="P692" s="29">
        <v>1</v>
      </c>
      <c r="R692" s="29">
        <v>1</v>
      </c>
      <c r="S692" t="s">
        <v>70</v>
      </c>
      <c r="T692" t="s">
        <v>72</v>
      </c>
      <c r="U692" s="32">
        <v>30</v>
      </c>
      <c r="V692">
        <v>30</v>
      </c>
      <c r="W692" t="s">
        <v>79</v>
      </c>
      <c r="X692" t="s">
        <v>171</v>
      </c>
      <c r="Y692" t="s">
        <v>2434</v>
      </c>
      <c r="AA692" t="s">
        <v>75</v>
      </c>
      <c r="AC692" t="s">
        <v>83</v>
      </c>
      <c r="AE692" t="s">
        <v>75</v>
      </c>
      <c r="AF692" t="s">
        <v>84</v>
      </c>
      <c r="AG692" t="s">
        <v>84</v>
      </c>
      <c r="AH692" s="33">
        <f t="shared" si="31"/>
      </c>
      <c r="AI692" s="33">
        <f t="shared" si="32"/>
      </c>
    </row>
    <row r="693" ht="27.6" customHeight="1" spans="1:35" x14ac:dyDescent="0.25">
      <c r="A693" s="27" t="s">
        <v>2436</v>
      </c>
      <c r="B693">
        <f t="shared" si="30"/>
        <v>0</v>
      </c>
      <c r="C693" t="s">
        <v>64</v>
      </c>
      <c r="D693" s="27" t="s">
        <v>102</v>
      </c>
      <c r="E693" t="s">
        <v>2437</v>
      </c>
      <c r="F693" s="28">
        <v>0</v>
      </c>
      <c r="G693" s="29">
        <v>1</v>
      </c>
      <c r="H693" s="30" t="s">
        <v>2438</v>
      </c>
      <c r="I693" t="s">
        <v>65</v>
      </c>
      <c r="J6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145</v>
      </c>
      <c r="L693" t="s">
        <v>146</v>
      </c>
      <c r="N693" s="29">
        <v>1</v>
      </c>
      <c r="P693" s="29">
        <v>1</v>
      </c>
      <c r="R693" s="29">
        <v>1</v>
      </c>
      <c r="S693" t="s">
        <v>70</v>
      </c>
      <c r="T693" t="s">
        <v>72</v>
      </c>
      <c r="U693" s="32">
        <v>30</v>
      </c>
      <c r="V693">
        <v>30</v>
      </c>
      <c r="W693" t="s">
        <v>79</v>
      </c>
      <c r="X693" t="s">
        <v>980</v>
      </c>
      <c r="Y693" t="s">
        <v>2437</v>
      </c>
      <c r="AA693" t="s">
        <v>75</v>
      </c>
      <c r="AC693" t="s">
        <v>83</v>
      </c>
      <c r="AE693" t="s">
        <v>75</v>
      </c>
      <c r="AF693" t="s">
        <v>84</v>
      </c>
      <c r="AG693" t="s">
        <v>84</v>
      </c>
      <c r="AH693" s="33">
        <f t="shared" si="31"/>
      </c>
      <c r="AI693" s="33">
        <f t="shared" si="32"/>
      </c>
    </row>
    <row r="694" ht="27.6" customHeight="1" spans="1:35" x14ac:dyDescent="0.25">
      <c r="A694" s="27" t="s">
        <v>2439</v>
      </c>
      <c r="B694">
        <f t="shared" si="30"/>
        <v>0</v>
      </c>
      <c r="C694" t="s">
        <v>64</v>
      </c>
      <c r="D694" s="27" t="s">
        <v>102</v>
      </c>
      <c r="E694" t="s">
        <v>2440</v>
      </c>
      <c r="F694" s="28">
        <v>0</v>
      </c>
      <c r="G694" s="29">
        <v>1</v>
      </c>
      <c r="H694" s="30" t="s">
        <v>2441</v>
      </c>
      <c r="I694" t="s">
        <v>65</v>
      </c>
      <c r="J6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145</v>
      </c>
      <c r="L694" t="s">
        <v>146</v>
      </c>
      <c r="N694" s="29">
        <v>1</v>
      </c>
      <c r="P694" s="29">
        <v>1</v>
      </c>
      <c r="R694" s="29">
        <v>1</v>
      </c>
      <c r="S694" t="s">
        <v>70</v>
      </c>
      <c r="T694" t="s">
        <v>72</v>
      </c>
      <c r="U694" s="32">
        <v>30</v>
      </c>
      <c r="V694">
        <v>30</v>
      </c>
      <c r="W694" t="s">
        <v>79</v>
      </c>
      <c r="X694" t="s">
        <v>980</v>
      </c>
      <c r="Y694" t="s">
        <v>2440</v>
      </c>
      <c r="AA694" t="s">
        <v>75</v>
      </c>
      <c r="AC694" t="s">
        <v>83</v>
      </c>
      <c r="AE694" t="s">
        <v>75</v>
      </c>
      <c r="AF694" t="s">
        <v>84</v>
      </c>
      <c r="AG694" t="s">
        <v>84</v>
      </c>
      <c r="AH694" s="33">
        <f t="shared" si="31"/>
      </c>
      <c r="AI694" s="33">
        <f t="shared" si="32"/>
      </c>
    </row>
    <row r="695" ht="27.6" customHeight="1" spans="1:35" x14ac:dyDescent="0.25">
      <c r="A695" s="27" t="s">
        <v>2442</v>
      </c>
      <c r="B695">
        <f t="shared" si="30"/>
        <v>0</v>
      </c>
      <c r="C695" t="s">
        <v>64</v>
      </c>
      <c r="D695" s="27" t="s">
        <v>102</v>
      </c>
      <c r="E695" t="s">
        <v>2440</v>
      </c>
      <c r="F695" s="28">
        <v>0</v>
      </c>
      <c r="G695" s="29">
        <v>1</v>
      </c>
      <c r="H695" s="30" t="s">
        <v>2443</v>
      </c>
      <c r="I695" t="s">
        <v>65</v>
      </c>
      <c r="J6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145</v>
      </c>
      <c r="L695" t="s">
        <v>146</v>
      </c>
      <c r="N695" s="29">
        <v>1</v>
      </c>
      <c r="P695" s="29">
        <v>1</v>
      </c>
      <c r="R695" s="29">
        <v>1</v>
      </c>
      <c r="S695" t="s">
        <v>70</v>
      </c>
      <c r="T695" t="s">
        <v>72</v>
      </c>
      <c r="U695" s="32">
        <v>30</v>
      </c>
      <c r="V695">
        <v>30</v>
      </c>
      <c r="W695" t="s">
        <v>79</v>
      </c>
      <c r="X695" t="s">
        <v>980</v>
      </c>
      <c r="Y695" t="s">
        <v>2440</v>
      </c>
      <c r="AA695" t="s">
        <v>75</v>
      </c>
      <c r="AC695" t="s">
        <v>83</v>
      </c>
      <c r="AE695" t="s">
        <v>75</v>
      </c>
      <c r="AF695" t="s">
        <v>84</v>
      </c>
      <c r="AG695" t="s">
        <v>84</v>
      </c>
      <c r="AH695" s="33">
        <f t="shared" si="31"/>
      </c>
      <c r="AI695" s="33">
        <f t="shared" si="32"/>
      </c>
    </row>
    <row r="696" ht="27.6" customHeight="1" spans="1:35" x14ac:dyDescent="0.25">
      <c r="A696" s="27" t="s">
        <v>2444</v>
      </c>
      <c r="B696">
        <f t="shared" si="30"/>
        <v>0</v>
      </c>
      <c r="C696" t="s">
        <v>64</v>
      </c>
      <c r="D696" s="27" t="s">
        <v>102</v>
      </c>
      <c r="E696" t="s">
        <v>2445</v>
      </c>
      <c r="F696" s="28">
        <v>0</v>
      </c>
      <c r="G696" s="29">
        <v>1</v>
      </c>
      <c r="H696" s="30" t="s">
        <v>2446</v>
      </c>
      <c r="I696" t="s">
        <v>65</v>
      </c>
      <c r="J6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145</v>
      </c>
      <c r="L696" t="s">
        <v>146</v>
      </c>
      <c r="N696" s="29">
        <v>1</v>
      </c>
      <c r="P696" s="29">
        <v>1</v>
      </c>
      <c r="R696" s="29">
        <v>1</v>
      </c>
      <c r="S696" t="s">
        <v>70</v>
      </c>
      <c r="T696" t="s">
        <v>72</v>
      </c>
      <c r="U696" s="32">
        <v>30</v>
      </c>
      <c r="V696">
        <v>30</v>
      </c>
      <c r="W696" t="s">
        <v>79</v>
      </c>
      <c r="X696" t="s">
        <v>980</v>
      </c>
      <c r="Y696" t="s">
        <v>2445</v>
      </c>
      <c r="AA696" t="s">
        <v>75</v>
      </c>
      <c r="AC696" t="s">
        <v>83</v>
      </c>
      <c r="AE696" t="s">
        <v>75</v>
      </c>
      <c r="AF696" t="s">
        <v>84</v>
      </c>
      <c r="AG696" t="s">
        <v>84</v>
      </c>
      <c r="AH696" s="33">
        <f t="shared" si="31"/>
      </c>
      <c r="AI696" s="33">
        <f t="shared" si="32"/>
      </c>
    </row>
    <row r="697" ht="27.6" customHeight="1" spans="1:35" x14ac:dyDescent="0.25">
      <c r="A697" s="27" t="s">
        <v>2447</v>
      </c>
      <c r="B697">
        <f t="shared" si="30"/>
        <v>0</v>
      </c>
      <c r="C697" t="s">
        <v>64</v>
      </c>
      <c r="D697" s="27" t="s">
        <v>102</v>
      </c>
      <c r="E697" t="s">
        <v>2448</v>
      </c>
      <c r="F697" s="28">
        <v>0</v>
      </c>
      <c r="G697" s="29">
        <v>1</v>
      </c>
      <c r="H697" s="30" t="s">
        <v>2449</v>
      </c>
      <c r="I697" t="s">
        <v>65</v>
      </c>
      <c r="J6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145</v>
      </c>
      <c r="L697" t="s">
        <v>146</v>
      </c>
      <c r="N697" s="29">
        <v>1</v>
      </c>
      <c r="P697" s="29">
        <v>1</v>
      </c>
      <c r="R697" s="29">
        <v>1</v>
      </c>
      <c r="S697" t="s">
        <v>70</v>
      </c>
      <c r="T697" t="s">
        <v>72</v>
      </c>
      <c r="U697" s="32">
        <v>30</v>
      </c>
      <c r="V697">
        <v>30</v>
      </c>
      <c r="W697" t="s">
        <v>79</v>
      </c>
      <c r="X697" t="s">
        <v>171</v>
      </c>
      <c r="Y697" t="s">
        <v>2448</v>
      </c>
      <c r="AA697" t="s">
        <v>75</v>
      </c>
      <c r="AC697" t="s">
        <v>83</v>
      </c>
      <c r="AE697" t="s">
        <v>75</v>
      </c>
      <c r="AF697" t="s">
        <v>84</v>
      </c>
      <c r="AG697" t="s">
        <v>84</v>
      </c>
      <c r="AH697" s="33">
        <f t="shared" si="31"/>
      </c>
      <c r="AI697" s="33">
        <f t="shared" si="32"/>
      </c>
    </row>
    <row r="698" ht="27.6" customHeight="1" spans="1:35" x14ac:dyDescent="0.25">
      <c r="A698" s="27" t="s">
        <v>2450</v>
      </c>
      <c r="B698">
        <f t="shared" si="30"/>
        <v>0</v>
      </c>
      <c r="C698" t="s">
        <v>64</v>
      </c>
      <c r="D698" s="27" t="s">
        <v>102</v>
      </c>
      <c r="E698" t="s">
        <v>2448</v>
      </c>
      <c r="F698" s="28">
        <v>0</v>
      </c>
      <c r="G698" s="29">
        <v>1</v>
      </c>
      <c r="H698" s="30" t="s">
        <v>2451</v>
      </c>
      <c r="I698" t="s">
        <v>65</v>
      </c>
      <c r="J6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145</v>
      </c>
      <c r="L698" t="s">
        <v>146</v>
      </c>
      <c r="N698" s="29">
        <v>1</v>
      </c>
      <c r="P698" s="29">
        <v>1</v>
      </c>
      <c r="R698" s="29">
        <v>1</v>
      </c>
      <c r="S698" t="s">
        <v>70</v>
      </c>
      <c r="T698" t="s">
        <v>72</v>
      </c>
      <c r="U698" s="32">
        <v>30</v>
      </c>
      <c r="V698">
        <v>30</v>
      </c>
      <c r="W698" t="s">
        <v>79</v>
      </c>
      <c r="X698" t="s">
        <v>171</v>
      </c>
      <c r="Y698" t="s">
        <v>2448</v>
      </c>
      <c r="AA698" t="s">
        <v>75</v>
      </c>
      <c r="AC698" t="s">
        <v>83</v>
      </c>
      <c r="AE698" t="s">
        <v>75</v>
      </c>
      <c r="AF698" t="s">
        <v>84</v>
      </c>
      <c r="AG698" t="s">
        <v>84</v>
      </c>
      <c r="AH698" s="33">
        <f t="shared" si="31"/>
      </c>
      <c r="AI698" s="33">
        <f t="shared" si="32"/>
      </c>
    </row>
    <row r="699" ht="27.6" customHeight="1" spans="1:35" x14ac:dyDescent="0.25">
      <c r="A699" s="27" t="s">
        <v>2452</v>
      </c>
      <c r="B699">
        <f t="shared" si="30"/>
        <v>0</v>
      </c>
      <c r="C699" t="s">
        <v>64</v>
      </c>
      <c r="D699" s="27" t="s">
        <v>102</v>
      </c>
      <c r="E699" t="s">
        <v>2453</v>
      </c>
      <c r="F699" s="28">
        <v>0</v>
      </c>
      <c r="G699" s="29">
        <v>1</v>
      </c>
      <c r="H699" s="30" t="s">
        <v>2454</v>
      </c>
      <c r="I699" t="s">
        <v>65</v>
      </c>
      <c r="J6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145</v>
      </c>
      <c r="L699" t="s">
        <v>146</v>
      </c>
      <c r="N699" s="29">
        <v>1</v>
      </c>
      <c r="P699" s="29">
        <v>1</v>
      </c>
      <c r="R699" s="29">
        <v>1</v>
      </c>
      <c r="S699" t="s">
        <v>70</v>
      </c>
      <c r="T699" t="s">
        <v>72</v>
      </c>
      <c r="U699" s="32">
        <v>30</v>
      </c>
      <c r="V699">
        <v>30</v>
      </c>
      <c r="W699" t="s">
        <v>79</v>
      </c>
      <c r="X699" t="s">
        <v>171</v>
      </c>
      <c r="Y699" t="s">
        <v>2453</v>
      </c>
      <c r="AA699" t="s">
        <v>75</v>
      </c>
      <c r="AC699" t="s">
        <v>83</v>
      </c>
      <c r="AE699" t="s">
        <v>75</v>
      </c>
      <c r="AF699" t="s">
        <v>84</v>
      </c>
      <c r="AG699" t="s">
        <v>84</v>
      </c>
      <c r="AH699" s="33">
        <f t="shared" si="31"/>
      </c>
      <c r="AI699" s="33">
        <f t="shared" si="32"/>
      </c>
    </row>
    <row r="700" ht="27.6" customHeight="1" spans="1:35" x14ac:dyDescent="0.25">
      <c r="A700" s="27" t="s">
        <v>2455</v>
      </c>
      <c r="B700">
        <f t="shared" si="30"/>
        <v>0</v>
      </c>
      <c r="C700" t="s">
        <v>64</v>
      </c>
      <c r="D700" s="27" t="s">
        <v>102</v>
      </c>
      <c r="E700" t="s">
        <v>2456</v>
      </c>
      <c r="F700" s="28">
        <v>0</v>
      </c>
      <c r="G700" s="29">
        <v>1</v>
      </c>
      <c r="H700" s="30" t="s">
        <v>2457</v>
      </c>
      <c r="I700" t="s">
        <v>65</v>
      </c>
      <c r="J7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145</v>
      </c>
      <c r="L700" t="s">
        <v>146</v>
      </c>
      <c r="N700" s="29">
        <v>1</v>
      </c>
      <c r="P700" s="29">
        <v>1</v>
      </c>
      <c r="R700" s="29">
        <v>1</v>
      </c>
      <c r="S700" t="s">
        <v>70</v>
      </c>
      <c r="T700" t="s">
        <v>72</v>
      </c>
      <c r="U700" s="32">
        <v>30</v>
      </c>
      <c r="V700">
        <v>30</v>
      </c>
      <c r="W700" t="s">
        <v>79</v>
      </c>
      <c r="X700" t="s">
        <v>240</v>
      </c>
      <c r="Y700" t="s">
        <v>2456</v>
      </c>
      <c r="AA700" t="s">
        <v>75</v>
      </c>
      <c r="AC700" t="s">
        <v>83</v>
      </c>
      <c r="AE700" t="s">
        <v>75</v>
      </c>
      <c r="AF700" t="s">
        <v>84</v>
      </c>
      <c r="AG700" t="s">
        <v>84</v>
      </c>
      <c r="AH700" s="33">
        <f t="shared" si="31"/>
      </c>
      <c r="AI700" s="33">
        <f t="shared" si="32"/>
      </c>
    </row>
    <row r="701" ht="27.6" customHeight="1" spans="1:35" x14ac:dyDescent="0.25">
      <c r="A701" s="27" t="s">
        <v>1004</v>
      </c>
      <c r="B701">
        <f t="shared" si="30"/>
        <v>0</v>
      </c>
      <c r="C701" t="s">
        <v>64</v>
      </c>
      <c r="D701" s="27" t="s">
        <v>102</v>
      </c>
      <c r="E701" t="s">
        <v>2458</v>
      </c>
      <c r="F701" s="28">
        <v>0</v>
      </c>
      <c r="G701" s="29">
        <v>1</v>
      </c>
      <c r="H701" s="30" t="s">
        <v>2459</v>
      </c>
      <c r="I701" t="s">
        <v>65</v>
      </c>
      <c r="J7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145</v>
      </c>
      <c r="L701" t="s">
        <v>146</v>
      </c>
      <c r="N701" s="29">
        <v>1</v>
      </c>
      <c r="P701" s="29">
        <v>1</v>
      </c>
      <c r="R701" s="29">
        <v>1</v>
      </c>
      <c r="S701" t="s">
        <v>70</v>
      </c>
      <c r="T701" t="s">
        <v>72</v>
      </c>
      <c r="U701" s="32">
        <v>30</v>
      </c>
      <c r="V701">
        <v>30</v>
      </c>
      <c r="W701" t="s">
        <v>79</v>
      </c>
      <c r="X701" t="s">
        <v>770</v>
      </c>
      <c r="Y701" t="s">
        <v>2460</v>
      </c>
      <c r="AA701" t="s">
        <v>75</v>
      </c>
      <c r="AC701" t="s">
        <v>83</v>
      </c>
      <c r="AE701" t="s">
        <v>75</v>
      </c>
      <c r="AF701" t="s">
        <v>84</v>
      </c>
      <c r="AG701" t="s">
        <v>84</v>
      </c>
      <c r="AH701" s="33">
        <f t="shared" si="31"/>
      </c>
      <c r="AI701" s="33">
        <f t="shared" si="32"/>
      </c>
    </row>
    <row r="702" ht="27.6" customHeight="1" spans="1:35" x14ac:dyDescent="0.25">
      <c r="A702" s="27" t="s">
        <v>2461</v>
      </c>
      <c r="B702">
        <f t="shared" si="30"/>
        <v>0</v>
      </c>
      <c r="C702" t="s">
        <v>64</v>
      </c>
      <c r="D702" s="27" t="s">
        <v>102</v>
      </c>
      <c r="E702" t="s">
        <v>2462</v>
      </c>
      <c r="F702" s="28">
        <v>0</v>
      </c>
      <c r="G702" s="29">
        <v>1</v>
      </c>
      <c r="H702" s="30" t="s">
        <v>2463</v>
      </c>
      <c r="I702" t="s">
        <v>65</v>
      </c>
      <c r="J7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145</v>
      </c>
      <c r="L702" t="s">
        <v>146</v>
      </c>
      <c r="N702" s="29">
        <v>1</v>
      </c>
      <c r="P702" s="29">
        <v>1</v>
      </c>
      <c r="R702" s="29">
        <v>1</v>
      </c>
      <c r="S702" t="s">
        <v>70</v>
      </c>
      <c r="T702" t="s">
        <v>72</v>
      </c>
      <c r="U702" s="32">
        <v>30</v>
      </c>
      <c r="V702">
        <v>30</v>
      </c>
      <c r="W702" t="s">
        <v>79</v>
      </c>
      <c r="X702" t="s">
        <v>171</v>
      </c>
      <c r="Y702" t="s">
        <v>2462</v>
      </c>
      <c r="AA702" t="s">
        <v>75</v>
      </c>
      <c r="AC702" t="s">
        <v>83</v>
      </c>
      <c r="AE702" t="s">
        <v>75</v>
      </c>
      <c r="AF702" t="s">
        <v>84</v>
      </c>
      <c r="AG702" t="s">
        <v>84</v>
      </c>
      <c r="AH702" s="33">
        <f t="shared" si="31"/>
      </c>
      <c r="AI702" s="33">
        <f t="shared" si="32"/>
      </c>
    </row>
    <row r="703" ht="27.6" customHeight="1" spans="1:35" x14ac:dyDescent="0.25">
      <c r="A703" s="27" t="s">
        <v>2464</v>
      </c>
      <c r="B703">
        <f t="shared" si="30"/>
        <v>0</v>
      </c>
      <c r="C703" t="s">
        <v>64</v>
      </c>
      <c r="D703" s="27" t="s">
        <v>102</v>
      </c>
      <c r="E703" t="s">
        <v>2462</v>
      </c>
      <c r="F703" s="28">
        <v>0</v>
      </c>
      <c r="G703" s="29">
        <v>1</v>
      </c>
      <c r="H703" s="30" t="s">
        <v>2465</v>
      </c>
      <c r="I703" t="s">
        <v>65</v>
      </c>
      <c r="J7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145</v>
      </c>
      <c r="L703" t="s">
        <v>146</v>
      </c>
      <c r="N703" s="29">
        <v>1</v>
      </c>
      <c r="P703" s="29">
        <v>1</v>
      </c>
      <c r="R703" s="29">
        <v>1</v>
      </c>
      <c r="S703" t="s">
        <v>70</v>
      </c>
      <c r="T703" t="s">
        <v>72</v>
      </c>
      <c r="U703" s="32">
        <v>30</v>
      </c>
      <c r="V703">
        <v>30</v>
      </c>
      <c r="W703" t="s">
        <v>79</v>
      </c>
      <c r="X703" t="s">
        <v>171</v>
      </c>
      <c r="Y703" t="s">
        <v>2462</v>
      </c>
      <c r="AA703" t="s">
        <v>75</v>
      </c>
      <c r="AC703" t="s">
        <v>83</v>
      </c>
      <c r="AE703" t="s">
        <v>75</v>
      </c>
      <c r="AF703" t="s">
        <v>84</v>
      </c>
      <c r="AG703" t="s">
        <v>84</v>
      </c>
      <c r="AH703" s="33">
        <f t="shared" si="31"/>
      </c>
      <c r="AI703" s="33">
        <f t="shared" si="32"/>
      </c>
    </row>
    <row r="704" ht="27.6" customHeight="1" spans="1:35" x14ac:dyDescent="0.25">
      <c r="A704" s="27" t="s">
        <v>1506</v>
      </c>
      <c r="B704">
        <f t="shared" si="30"/>
        <v>0</v>
      </c>
      <c r="C704" t="s">
        <v>64</v>
      </c>
      <c r="D704" s="27" t="s">
        <v>102</v>
      </c>
      <c r="E704" t="s">
        <v>2466</v>
      </c>
      <c r="F704" s="28">
        <v>0</v>
      </c>
      <c r="G704" s="29">
        <v>1</v>
      </c>
      <c r="H704" s="30" t="s">
        <v>2467</v>
      </c>
      <c r="I704" t="s">
        <v>65</v>
      </c>
      <c r="J7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145</v>
      </c>
      <c r="L704" t="s">
        <v>146</v>
      </c>
      <c r="N704" s="29">
        <v>1</v>
      </c>
      <c r="P704" s="29">
        <v>1</v>
      </c>
      <c r="R704" s="29">
        <v>1</v>
      </c>
      <c r="S704" t="s">
        <v>70</v>
      </c>
      <c r="T704" t="s">
        <v>72</v>
      </c>
      <c r="U704" s="32">
        <v>30</v>
      </c>
      <c r="V704">
        <v>30</v>
      </c>
      <c r="W704" t="s">
        <v>79</v>
      </c>
      <c r="X704" t="s">
        <v>171</v>
      </c>
      <c r="Y704" t="s">
        <v>2466</v>
      </c>
      <c r="AA704" t="s">
        <v>75</v>
      </c>
      <c r="AC704" t="s">
        <v>83</v>
      </c>
      <c r="AE704" t="s">
        <v>75</v>
      </c>
      <c r="AF704" t="s">
        <v>84</v>
      </c>
      <c r="AG704" t="s">
        <v>84</v>
      </c>
      <c r="AH704" s="33">
        <f t="shared" si="31"/>
      </c>
      <c r="AI704" s="33">
        <f t="shared" si="32"/>
      </c>
    </row>
    <row r="705" ht="27.6" customHeight="1" spans="1:35" x14ac:dyDescent="0.25">
      <c r="A705" s="27" t="s">
        <v>2468</v>
      </c>
      <c r="B705">
        <f t="shared" si="30"/>
        <v>0</v>
      </c>
      <c r="C705" t="s">
        <v>64</v>
      </c>
      <c r="D705" s="27" t="s">
        <v>102</v>
      </c>
      <c r="E705" t="s">
        <v>2469</v>
      </c>
      <c r="F705" s="28">
        <v>0</v>
      </c>
      <c r="G705" s="29">
        <v>1</v>
      </c>
      <c r="H705" s="30" t="s">
        <v>2470</v>
      </c>
      <c r="I705" t="s">
        <v>65</v>
      </c>
      <c r="J7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145</v>
      </c>
      <c r="L705" t="s">
        <v>146</v>
      </c>
      <c r="N705" s="29">
        <v>1</v>
      </c>
      <c r="P705" s="29">
        <v>1</v>
      </c>
      <c r="R705" s="29">
        <v>1</v>
      </c>
      <c r="S705" t="s">
        <v>70</v>
      </c>
      <c r="T705" t="s">
        <v>72</v>
      </c>
      <c r="U705" s="32">
        <v>30</v>
      </c>
      <c r="V705">
        <v>30</v>
      </c>
      <c r="W705" t="s">
        <v>79</v>
      </c>
      <c r="X705" t="s">
        <v>980</v>
      </c>
      <c r="Y705" t="s">
        <v>2469</v>
      </c>
      <c r="AA705" t="s">
        <v>75</v>
      </c>
      <c r="AC705" t="s">
        <v>83</v>
      </c>
      <c r="AE705" t="s">
        <v>75</v>
      </c>
      <c r="AF705" t="s">
        <v>84</v>
      </c>
      <c r="AG705" t="s">
        <v>84</v>
      </c>
      <c r="AH705" s="33">
        <f t="shared" si="31"/>
      </c>
      <c r="AI705" s="33">
        <f t="shared" si="32"/>
      </c>
    </row>
    <row r="706" ht="27.6" customHeight="1" spans="1:35" x14ac:dyDescent="0.25">
      <c r="A706" s="27" t="s">
        <v>2471</v>
      </c>
      <c r="B706">
        <f t="shared" si="30"/>
        <v>0</v>
      </c>
      <c r="C706" t="s">
        <v>64</v>
      </c>
      <c r="D706" s="27" t="s">
        <v>102</v>
      </c>
      <c r="E706" t="s">
        <v>2469</v>
      </c>
      <c r="F706" s="28">
        <v>0</v>
      </c>
      <c r="G706" s="29">
        <v>1</v>
      </c>
      <c r="H706" s="30" t="s">
        <v>2472</v>
      </c>
      <c r="I706" t="s">
        <v>65</v>
      </c>
      <c r="J7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145</v>
      </c>
      <c r="L706" t="s">
        <v>146</v>
      </c>
      <c r="N706" s="29">
        <v>1</v>
      </c>
      <c r="P706" s="29">
        <v>1</v>
      </c>
      <c r="R706" s="29">
        <v>1</v>
      </c>
      <c r="S706" t="s">
        <v>70</v>
      </c>
      <c r="T706" t="s">
        <v>72</v>
      </c>
      <c r="U706" s="32">
        <v>30</v>
      </c>
      <c r="V706">
        <v>30</v>
      </c>
      <c r="W706" t="s">
        <v>79</v>
      </c>
      <c r="X706" t="s">
        <v>980</v>
      </c>
      <c r="Y706" t="s">
        <v>2469</v>
      </c>
      <c r="AA706" t="s">
        <v>75</v>
      </c>
      <c r="AC706" t="s">
        <v>83</v>
      </c>
      <c r="AE706" t="s">
        <v>75</v>
      </c>
      <c r="AF706" t="s">
        <v>84</v>
      </c>
      <c r="AG706" t="s">
        <v>84</v>
      </c>
      <c r="AH706" s="33">
        <f t="shared" si="31"/>
      </c>
      <c r="AI706" s="33">
        <f t="shared" si="32"/>
      </c>
    </row>
    <row r="707" ht="27.6" customHeight="1" spans="1:35" x14ac:dyDescent="0.25">
      <c r="A707" s="27" t="s">
        <v>2473</v>
      </c>
      <c r="B707">
        <f t="shared" si="30"/>
        <v>0</v>
      </c>
      <c r="C707" t="s">
        <v>64</v>
      </c>
      <c r="D707" s="27" t="s">
        <v>102</v>
      </c>
      <c r="E707" t="s">
        <v>2474</v>
      </c>
      <c r="F707" s="28">
        <v>0</v>
      </c>
      <c r="G707" s="29">
        <v>1</v>
      </c>
      <c r="H707" s="30" t="s">
        <v>2475</v>
      </c>
      <c r="I707" t="s">
        <v>65</v>
      </c>
      <c r="J7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145</v>
      </c>
      <c r="L707" t="s">
        <v>146</v>
      </c>
      <c r="N707" s="29">
        <v>1</v>
      </c>
      <c r="P707" s="29">
        <v>1</v>
      </c>
      <c r="R707" s="29">
        <v>1</v>
      </c>
      <c r="S707" t="s">
        <v>70</v>
      </c>
      <c r="T707" t="s">
        <v>72</v>
      </c>
      <c r="U707" s="32">
        <v>30</v>
      </c>
      <c r="V707">
        <v>30</v>
      </c>
      <c r="W707" t="s">
        <v>79</v>
      </c>
      <c r="X707" t="s">
        <v>770</v>
      </c>
      <c r="Y707" t="s">
        <v>2474</v>
      </c>
      <c r="AA707" t="s">
        <v>75</v>
      </c>
      <c r="AC707" t="s">
        <v>83</v>
      </c>
      <c r="AE707" t="s">
        <v>75</v>
      </c>
      <c r="AF707" t="s">
        <v>84</v>
      </c>
      <c r="AG707" t="s">
        <v>84</v>
      </c>
      <c r="AH707" s="33">
        <f t="shared" si="31"/>
      </c>
      <c r="AI707" s="33">
        <f t="shared" si="32"/>
      </c>
    </row>
    <row r="708" ht="27.6" customHeight="1" spans="1:35" x14ac:dyDescent="0.25">
      <c r="A708" s="27" t="s">
        <v>2476</v>
      </c>
      <c r="B708">
        <f t="shared" si="30"/>
        <v>0</v>
      </c>
      <c r="C708" t="s">
        <v>64</v>
      </c>
      <c r="D708" s="27" t="s">
        <v>102</v>
      </c>
      <c r="E708" t="s">
        <v>2477</v>
      </c>
      <c r="F708" s="28">
        <v>0</v>
      </c>
      <c r="G708" s="29">
        <v>1</v>
      </c>
      <c r="H708" s="30" t="s">
        <v>2478</v>
      </c>
      <c r="I708" t="s">
        <v>65</v>
      </c>
      <c r="J7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145</v>
      </c>
      <c r="L708" t="s">
        <v>146</v>
      </c>
      <c r="N708" s="29">
        <v>1</v>
      </c>
      <c r="P708" s="29">
        <v>1</v>
      </c>
      <c r="R708" s="29">
        <v>1</v>
      </c>
      <c r="S708" t="s">
        <v>70</v>
      </c>
      <c r="T708" t="s">
        <v>72</v>
      </c>
      <c r="U708" s="32">
        <v>30</v>
      </c>
      <c r="V708">
        <v>30</v>
      </c>
      <c r="W708" t="s">
        <v>79</v>
      </c>
      <c r="X708" t="s">
        <v>980</v>
      </c>
      <c r="Y708" t="s">
        <v>2477</v>
      </c>
      <c r="AA708" t="s">
        <v>75</v>
      </c>
      <c r="AC708" t="s">
        <v>83</v>
      </c>
      <c r="AE708" t="s">
        <v>75</v>
      </c>
      <c r="AF708" t="s">
        <v>84</v>
      </c>
      <c r="AG708" t="s">
        <v>84</v>
      </c>
      <c r="AH708" s="33">
        <f t="shared" si="31"/>
      </c>
      <c r="AI708" s="33">
        <f t="shared" si="32"/>
      </c>
    </row>
    <row r="709" ht="27.6" customHeight="1" spans="1:35" x14ac:dyDescent="0.25">
      <c r="A709" s="27" t="s">
        <v>2479</v>
      </c>
      <c r="B709">
        <f t="shared" si="30"/>
        <v>0</v>
      </c>
      <c r="C709" t="s">
        <v>64</v>
      </c>
      <c r="D709" s="27" t="s">
        <v>102</v>
      </c>
      <c r="E709" t="s">
        <v>2480</v>
      </c>
      <c r="F709" s="28">
        <v>0</v>
      </c>
      <c r="G709" s="29">
        <v>1</v>
      </c>
      <c r="H709" s="30" t="s">
        <v>2481</v>
      </c>
      <c r="I709" t="s">
        <v>65</v>
      </c>
      <c r="J7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145</v>
      </c>
      <c r="L709" t="s">
        <v>146</v>
      </c>
      <c r="N709" s="29">
        <v>1</v>
      </c>
      <c r="P709" s="29">
        <v>1</v>
      </c>
      <c r="R709" s="29">
        <v>1</v>
      </c>
      <c r="S709" t="s">
        <v>70</v>
      </c>
      <c r="T709" t="s">
        <v>72</v>
      </c>
      <c r="U709" s="32">
        <v>30</v>
      </c>
      <c r="V709">
        <v>30</v>
      </c>
      <c r="W709" t="s">
        <v>79</v>
      </c>
      <c r="X709" t="s">
        <v>770</v>
      </c>
      <c r="Y709" t="s">
        <v>2480</v>
      </c>
      <c r="AA709" t="s">
        <v>75</v>
      </c>
      <c r="AC709" t="s">
        <v>83</v>
      </c>
      <c r="AE709" t="s">
        <v>75</v>
      </c>
      <c r="AF709" t="s">
        <v>84</v>
      </c>
      <c r="AG709" t="s">
        <v>84</v>
      </c>
      <c r="AH709" s="33">
        <f t="shared" si="31"/>
      </c>
      <c r="AI709" s="33">
        <f t="shared" si="32"/>
      </c>
    </row>
    <row r="710" ht="27.6" customHeight="1" spans="1:35" x14ac:dyDescent="0.25">
      <c r="A710" s="27" t="s">
        <v>2482</v>
      </c>
      <c r="B710">
        <f t="shared" si="30"/>
        <v>0</v>
      </c>
      <c r="C710" t="s">
        <v>64</v>
      </c>
      <c r="D710" s="27" t="s">
        <v>102</v>
      </c>
      <c r="E710" t="s">
        <v>2483</v>
      </c>
      <c r="F710" s="28">
        <v>2</v>
      </c>
      <c r="G710" s="29">
        <v>1</v>
      </c>
      <c r="H710" s="30" t="s">
        <v>2484</v>
      </c>
      <c r="I710" t="s">
        <v>65</v>
      </c>
      <c r="J7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145</v>
      </c>
      <c r="L710" t="s">
        <v>146</v>
      </c>
      <c r="N710" s="29">
        <v>1</v>
      </c>
      <c r="P710" s="29">
        <v>1</v>
      </c>
      <c r="R710" s="29">
        <v>1</v>
      </c>
      <c r="S710" t="s">
        <v>70</v>
      </c>
      <c r="T710" t="s">
        <v>72</v>
      </c>
      <c r="U710" s="32">
        <v>30</v>
      </c>
      <c r="V710">
        <v>30</v>
      </c>
      <c r="W710" t="s">
        <v>79</v>
      </c>
      <c r="X710" t="s">
        <v>171</v>
      </c>
      <c r="Y710" t="s">
        <v>2485</v>
      </c>
      <c r="AA710" t="s">
        <v>75</v>
      </c>
      <c r="AC710" t="s">
        <v>83</v>
      </c>
      <c r="AE710" t="s">
        <v>75</v>
      </c>
      <c r="AF710" t="s">
        <v>84</v>
      </c>
      <c r="AG710" t="s">
        <v>84</v>
      </c>
      <c r="AH710" s="33">
        <f t="shared" si="31"/>
      </c>
      <c r="AI710" s="33">
        <f t="shared" si="32"/>
      </c>
    </row>
    <row r="711" ht="27.6" customHeight="1" spans="1:35" x14ac:dyDescent="0.25">
      <c r="A711" s="27" t="s">
        <v>1554</v>
      </c>
      <c r="B711">
        <f t="shared" si="30"/>
        <v>0</v>
      </c>
      <c r="C711" t="s">
        <v>64</v>
      </c>
      <c r="D711" s="27" t="s">
        <v>102</v>
      </c>
      <c r="E711" t="s">
        <v>2486</v>
      </c>
      <c r="F711" s="28">
        <v>0</v>
      </c>
      <c r="G711" s="29">
        <v>1</v>
      </c>
      <c r="H711" s="30" t="s">
        <v>2487</v>
      </c>
      <c r="I711" t="s">
        <v>65</v>
      </c>
      <c r="J7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145</v>
      </c>
      <c r="L711" t="s">
        <v>146</v>
      </c>
      <c r="N711" s="29">
        <v>1</v>
      </c>
      <c r="P711" s="29">
        <v>1</v>
      </c>
      <c r="R711" s="29">
        <v>1</v>
      </c>
      <c r="S711" t="s">
        <v>70</v>
      </c>
      <c r="T711" t="s">
        <v>72</v>
      </c>
      <c r="U711" s="32">
        <v>30</v>
      </c>
      <c r="V711">
        <v>30</v>
      </c>
      <c r="W711" t="s">
        <v>79</v>
      </c>
      <c r="X711" t="s">
        <v>770</v>
      </c>
      <c r="Y711" t="s">
        <v>2486</v>
      </c>
      <c r="AA711" t="s">
        <v>75</v>
      </c>
      <c r="AC711" t="s">
        <v>83</v>
      </c>
      <c r="AE711" t="s">
        <v>75</v>
      </c>
      <c r="AF711" t="s">
        <v>84</v>
      </c>
      <c r="AG711" t="s">
        <v>84</v>
      </c>
      <c r="AH711" s="33">
        <f t="shared" si="31"/>
      </c>
      <c r="AI711" s="33">
        <f t="shared" si="32"/>
      </c>
    </row>
    <row r="712" ht="27.6" customHeight="1" spans="1:35" x14ac:dyDescent="0.25">
      <c r="A712" s="27" t="s">
        <v>2488</v>
      </c>
      <c r="B712">
        <f t="shared" ref="B712:B775" si="33">LEN(INDIRECT(ADDRESS(ROW() + (0),COLUMN() + (-1))))</f>
        <v>0</v>
      </c>
      <c r="C712" t="s">
        <v>64</v>
      </c>
      <c r="D712" s="27" t="s">
        <v>2489</v>
      </c>
      <c r="E712" t="s">
        <v>2490</v>
      </c>
      <c r="F712" s="28">
        <v>0</v>
      </c>
      <c r="G712" s="29">
        <v>1</v>
      </c>
      <c r="H712" s="30" t="s">
        <v>2491</v>
      </c>
      <c r="I712" t="s">
        <v>65</v>
      </c>
      <c r="J7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145</v>
      </c>
      <c r="L712" t="s">
        <v>146</v>
      </c>
      <c r="N712" s="29">
        <v>1</v>
      </c>
      <c r="P712" s="29">
        <v>1</v>
      </c>
      <c r="R712" s="29">
        <v>1</v>
      </c>
      <c r="S712" t="s">
        <v>70</v>
      </c>
      <c r="T712" t="s">
        <v>72</v>
      </c>
      <c r="U712" s="32">
        <v>30</v>
      </c>
      <c r="V712">
        <v>30</v>
      </c>
      <c r="W712" t="s">
        <v>79</v>
      </c>
      <c r="X712" t="s">
        <v>171</v>
      </c>
      <c r="Y712" t="s">
        <v>2492</v>
      </c>
      <c r="AA712" t="s">
        <v>75</v>
      </c>
      <c r="AC712" t="s">
        <v>83</v>
      </c>
      <c r="AE712" t="s">
        <v>75</v>
      </c>
      <c r="AF712" t="s">
        <v>84</v>
      </c>
      <c r="AG712" t="s">
        <v>84</v>
      </c>
      <c r="AH712" s="33">
        <f t="shared" ref="AH712:AH775" si="34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12" s="33">
        <f t="shared" ref="AI712:AI775" si="35">IF(TRIM(INDIRECT("A"&amp;ROW())) &lt;&gt; "",FALSE,"")</f>
      </c>
    </row>
    <row r="713" ht="27.6" customHeight="1" spans="1:35" x14ac:dyDescent="0.25">
      <c r="A713" s="27" t="s">
        <v>2493</v>
      </c>
      <c r="B713">
        <f t="shared" si="33"/>
        <v>0</v>
      </c>
      <c r="C713" t="s">
        <v>64</v>
      </c>
      <c r="D713" s="27" t="s">
        <v>2489</v>
      </c>
      <c r="E713" t="s">
        <v>2490</v>
      </c>
      <c r="F713" s="28">
        <v>0</v>
      </c>
      <c r="G713" s="29">
        <v>1</v>
      </c>
      <c r="H713" s="30" t="s">
        <v>2494</v>
      </c>
      <c r="I713" t="s">
        <v>65</v>
      </c>
      <c r="J7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145</v>
      </c>
      <c r="L713" t="s">
        <v>146</v>
      </c>
      <c r="N713" s="29">
        <v>1</v>
      </c>
      <c r="P713" s="29">
        <v>1</v>
      </c>
      <c r="R713" s="29">
        <v>1</v>
      </c>
      <c r="S713" t="s">
        <v>70</v>
      </c>
      <c r="T713" t="s">
        <v>72</v>
      </c>
      <c r="U713" s="32">
        <v>30</v>
      </c>
      <c r="V713">
        <v>30</v>
      </c>
      <c r="W713" t="s">
        <v>79</v>
      </c>
      <c r="X713" t="s">
        <v>171</v>
      </c>
      <c r="Y713" t="s">
        <v>2492</v>
      </c>
      <c r="AA713" t="s">
        <v>75</v>
      </c>
      <c r="AC713" t="s">
        <v>83</v>
      </c>
      <c r="AE713" t="s">
        <v>75</v>
      </c>
      <c r="AF713" t="s">
        <v>84</v>
      </c>
      <c r="AG713" t="s">
        <v>84</v>
      </c>
      <c r="AH713" s="33">
        <f t="shared" si="34"/>
      </c>
      <c r="AI713" s="33">
        <f t="shared" si="35"/>
      </c>
    </row>
    <row r="714" ht="27.6" customHeight="1" spans="1:35" x14ac:dyDescent="0.25">
      <c r="A714" s="27" t="s">
        <v>274</v>
      </c>
      <c r="B714">
        <f t="shared" si="33"/>
        <v>0</v>
      </c>
      <c r="C714" t="s">
        <v>64</v>
      </c>
      <c r="D714" s="27" t="s">
        <v>102</v>
      </c>
      <c r="E714" t="s">
        <v>2495</v>
      </c>
      <c r="F714" s="28">
        <v>0</v>
      </c>
      <c r="G714" s="29">
        <v>1</v>
      </c>
      <c r="H714" s="30" t="s">
        <v>2496</v>
      </c>
      <c r="I714" t="s">
        <v>65</v>
      </c>
      <c r="J7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145</v>
      </c>
      <c r="L714" t="s">
        <v>146</v>
      </c>
      <c r="N714" s="29">
        <v>1</v>
      </c>
      <c r="P714" s="29">
        <v>1</v>
      </c>
      <c r="R714" s="29">
        <v>1</v>
      </c>
      <c r="S714" t="s">
        <v>70</v>
      </c>
      <c r="T714" t="s">
        <v>72</v>
      </c>
      <c r="U714" s="32">
        <v>30</v>
      </c>
      <c r="V714">
        <v>30</v>
      </c>
      <c r="W714" t="s">
        <v>79</v>
      </c>
      <c r="X714" t="s">
        <v>171</v>
      </c>
      <c r="Y714" t="s">
        <v>278</v>
      </c>
      <c r="AA714" t="s">
        <v>75</v>
      </c>
      <c r="AC714" t="s">
        <v>83</v>
      </c>
      <c r="AE714" t="s">
        <v>75</v>
      </c>
      <c r="AF714" t="s">
        <v>84</v>
      </c>
      <c r="AG714" t="s">
        <v>84</v>
      </c>
      <c r="AH714" s="33">
        <f t="shared" si="34"/>
      </c>
      <c r="AI714" s="33">
        <f t="shared" si="35"/>
      </c>
    </row>
    <row r="715" ht="27.6" customHeight="1" spans="1:35" x14ac:dyDescent="0.25">
      <c r="A715" s="27" t="s">
        <v>2128</v>
      </c>
      <c r="B715">
        <f t="shared" si="33"/>
        <v>0</v>
      </c>
      <c r="C715" t="s">
        <v>64</v>
      </c>
      <c r="D715" s="27" t="s">
        <v>102</v>
      </c>
      <c r="E715" t="s">
        <v>2497</v>
      </c>
      <c r="F715" s="28">
        <v>0</v>
      </c>
      <c r="G715" s="29">
        <v>1</v>
      </c>
      <c r="H715" s="30" t="s">
        <v>2498</v>
      </c>
      <c r="I715" t="s">
        <v>65</v>
      </c>
      <c r="J7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145</v>
      </c>
      <c r="L715" t="s">
        <v>146</v>
      </c>
      <c r="N715" s="29">
        <v>1</v>
      </c>
      <c r="P715" s="29">
        <v>1</v>
      </c>
      <c r="R715" s="29">
        <v>1</v>
      </c>
      <c r="S715" t="s">
        <v>70</v>
      </c>
      <c r="T715" t="s">
        <v>72</v>
      </c>
      <c r="U715" s="32">
        <v>30</v>
      </c>
      <c r="V715">
        <v>30</v>
      </c>
      <c r="W715" t="s">
        <v>79</v>
      </c>
      <c r="X715" t="s">
        <v>240</v>
      </c>
      <c r="Y715" t="s">
        <v>2497</v>
      </c>
      <c r="AA715" t="s">
        <v>75</v>
      </c>
      <c r="AC715" t="s">
        <v>83</v>
      </c>
      <c r="AE715" t="s">
        <v>75</v>
      </c>
      <c r="AF715" t="s">
        <v>84</v>
      </c>
      <c r="AG715" t="s">
        <v>84</v>
      </c>
      <c r="AH715" s="33">
        <f t="shared" si="34"/>
      </c>
      <c r="AI715" s="33">
        <f t="shared" si="35"/>
      </c>
    </row>
    <row r="716" ht="27.6" customHeight="1" spans="1:35" x14ac:dyDescent="0.25">
      <c r="A716" s="27" t="s">
        <v>2128</v>
      </c>
      <c r="B716">
        <f t="shared" si="33"/>
        <v>0</v>
      </c>
      <c r="C716" t="s">
        <v>64</v>
      </c>
      <c r="D716" s="27" t="s">
        <v>102</v>
      </c>
      <c r="E716" t="s">
        <v>2499</v>
      </c>
      <c r="F716" s="28">
        <v>0</v>
      </c>
      <c r="G716" s="29">
        <v>1</v>
      </c>
      <c r="H716" s="30" t="s">
        <v>2500</v>
      </c>
      <c r="I716" t="s">
        <v>65</v>
      </c>
      <c r="J7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145</v>
      </c>
      <c r="L716" t="s">
        <v>146</v>
      </c>
      <c r="N716" s="29">
        <v>1</v>
      </c>
      <c r="P716" s="29">
        <v>1</v>
      </c>
      <c r="R716" s="29">
        <v>1</v>
      </c>
      <c r="S716" t="s">
        <v>70</v>
      </c>
      <c r="T716" t="s">
        <v>72</v>
      </c>
      <c r="U716" s="32">
        <v>30</v>
      </c>
      <c r="V716">
        <v>30</v>
      </c>
      <c r="W716" t="s">
        <v>79</v>
      </c>
      <c r="X716" t="s">
        <v>240</v>
      </c>
      <c r="Y716" t="s">
        <v>2499</v>
      </c>
      <c r="AA716" t="s">
        <v>75</v>
      </c>
      <c r="AC716" t="s">
        <v>83</v>
      </c>
      <c r="AE716" t="s">
        <v>75</v>
      </c>
      <c r="AF716" t="s">
        <v>84</v>
      </c>
      <c r="AG716" t="s">
        <v>84</v>
      </c>
      <c r="AH716" s="33">
        <f t="shared" si="34"/>
      </c>
      <c r="AI716" s="33">
        <f t="shared" si="35"/>
      </c>
    </row>
    <row r="717" ht="27.6" customHeight="1" spans="1:35" x14ac:dyDescent="0.25">
      <c r="A717" s="27" t="s">
        <v>2501</v>
      </c>
      <c r="B717">
        <f t="shared" si="33"/>
        <v>0</v>
      </c>
      <c r="C717" t="s">
        <v>64</v>
      </c>
      <c r="D717" s="27" t="s">
        <v>102</v>
      </c>
      <c r="E717" t="s">
        <v>2502</v>
      </c>
      <c r="F717" s="28">
        <v>0</v>
      </c>
      <c r="G717" s="29">
        <v>1</v>
      </c>
      <c r="H717" s="30" t="s">
        <v>2503</v>
      </c>
      <c r="I717" t="s">
        <v>65</v>
      </c>
      <c r="J7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145</v>
      </c>
      <c r="L717" t="s">
        <v>146</v>
      </c>
      <c r="N717" s="29">
        <v>1</v>
      </c>
      <c r="P717" s="29">
        <v>1</v>
      </c>
      <c r="R717" s="29">
        <v>1</v>
      </c>
      <c r="S717" t="s">
        <v>70</v>
      </c>
      <c r="T717" t="s">
        <v>72</v>
      </c>
      <c r="U717" s="32">
        <v>30</v>
      </c>
      <c r="V717">
        <v>30</v>
      </c>
      <c r="W717" t="s">
        <v>79</v>
      </c>
      <c r="X717" t="s">
        <v>171</v>
      </c>
      <c r="Y717" t="s">
        <v>2504</v>
      </c>
      <c r="AA717" t="s">
        <v>75</v>
      </c>
      <c r="AC717" t="s">
        <v>83</v>
      </c>
      <c r="AE717" t="s">
        <v>75</v>
      </c>
      <c r="AF717" t="s">
        <v>84</v>
      </c>
      <c r="AG717" t="s">
        <v>84</v>
      </c>
      <c r="AH717" s="33">
        <f t="shared" si="34"/>
      </c>
      <c r="AI717" s="33">
        <f t="shared" si="35"/>
      </c>
    </row>
    <row r="718" ht="27.6" customHeight="1" spans="1:35" x14ac:dyDescent="0.25">
      <c r="A718" s="27" t="s">
        <v>2505</v>
      </c>
      <c r="B718">
        <f t="shared" si="33"/>
        <v>0</v>
      </c>
      <c r="C718" t="s">
        <v>64</v>
      </c>
      <c r="D718" s="27" t="s">
        <v>102</v>
      </c>
      <c r="E718" t="s">
        <v>2506</v>
      </c>
      <c r="F718" s="28">
        <v>0</v>
      </c>
      <c r="G718" s="29">
        <v>1</v>
      </c>
      <c r="H718" s="30" t="s">
        <v>2507</v>
      </c>
      <c r="I718" t="s">
        <v>65</v>
      </c>
      <c r="J7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145</v>
      </c>
      <c r="L718" t="s">
        <v>146</v>
      </c>
      <c r="N718" s="29">
        <v>1</v>
      </c>
      <c r="P718" s="29">
        <v>1</v>
      </c>
      <c r="R718" s="29">
        <v>1</v>
      </c>
      <c r="S718" t="s">
        <v>70</v>
      </c>
      <c r="T718" t="s">
        <v>72</v>
      </c>
      <c r="U718" s="32">
        <v>30</v>
      </c>
      <c r="V718">
        <v>30</v>
      </c>
      <c r="W718" t="s">
        <v>79</v>
      </c>
      <c r="X718" t="s">
        <v>166</v>
      </c>
      <c r="Y718" t="s">
        <v>2508</v>
      </c>
      <c r="AA718" t="s">
        <v>75</v>
      </c>
      <c r="AC718" t="s">
        <v>83</v>
      </c>
      <c r="AE718" t="s">
        <v>75</v>
      </c>
      <c r="AF718" t="s">
        <v>84</v>
      </c>
      <c r="AG718" t="s">
        <v>84</v>
      </c>
      <c r="AH718" s="33">
        <f t="shared" si="34"/>
      </c>
      <c r="AI718" s="33">
        <f t="shared" si="35"/>
      </c>
    </row>
    <row r="719" ht="27.6" customHeight="1" spans="1:35" x14ac:dyDescent="0.25">
      <c r="A719" s="27" t="s">
        <v>1807</v>
      </c>
      <c r="B719">
        <f t="shared" si="33"/>
        <v>0</v>
      </c>
      <c r="C719" t="s">
        <v>64</v>
      </c>
      <c r="D719" s="27" t="s">
        <v>102</v>
      </c>
      <c r="E719" t="s">
        <v>2509</v>
      </c>
      <c r="F719" s="28">
        <v>0</v>
      </c>
      <c r="G719" s="29">
        <v>1</v>
      </c>
      <c r="H719" s="30" t="s">
        <v>2510</v>
      </c>
      <c r="I719" t="s">
        <v>65</v>
      </c>
      <c r="J7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145</v>
      </c>
      <c r="L719" t="s">
        <v>146</v>
      </c>
      <c r="N719" s="29">
        <v>1</v>
      </c>
      <c r="P719" s="29">
        <v>1</v>
      </c>
      <c r="R719" s="29">
        <v>1</v>
      </c>
      <c r="S719" t="s">
        <v>70</v>
      </c>
      <c r="T719" t="s">
        <v>72</v>
      </c>
      <c r="U719" s="32">
        <v>30</v>
      </c>
      <c r="V719">
        <v>30</v>
      </c>
      <c r="W719" t="s">
        <v>79</v>
      </c>
      <c r="X719" t="s">
        <v>980</v>
      </c>
      <c r="Y719" t="s">
        <v>1810</v>
      </c>
      <c r="AA719" t="s">
        <v>75</v>
      </c>
      <c r="AC719" t="s">
        <v>83</v>
      </c>
      <c r="AE719" t="s">
        <v>75</v>
      </c>
      <c r="AF719" t="s">
        <v>84</v>
      </c>
      <c r="AG719" t="s">
        <v>84</v>
      </c>
      <c r="AH719" s="33">
        <f t="shared" si="34"/>
      </c>
      <c r="AI719" s="33">
        <f t="shared" si="35"/>
      </c>
    </row>
    <row r="720" ht="27.6" customHeight="1" spans="1:35" x14ac:dyDescent="0.25">
      <c r="A720" s="27" t="s">
        <v>2511</v>
      </c>
      <c r="B720">
        <f t="shared" si="33"/>
        <v>0</v>
      </c>
      <c r="C720" t="s">
        <v>64</v>
      </c>
      <c r="D720" s="27" t="s">
        <v>102</v>
      </c>
      <c r="E720" t="s">
        <v>2512</v>
      </c>
      <c r="F720" s="28">
        <v>0</v>
      </c>
      <c r="G720" s="29">
        <v>1</v>
      </c>
      <c r="H720" s="30" t="s">
        <v>2513</v>
      </c>
      <c r="I720" t="s">
        <v>65</v>
      </c>
      <c r="J7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145</v>
      </c>
      <c r="L720" t="s">
        <v>146</v>
      </c>
      <c r="N720" s="29">
        <v>1</v>
      </c>
      <c r="P720" s="29">
        <v>1</v>
      </c>
      <c r="R720" s="29">
        <v>1</v>
      </c>
      <c r="S720" t="s">
        <v>70</v>
      </c>
      <c r="T720" t="s">
        <v>72</v>
      </c>
      <c r="U720" s="32">
        <v>30</v>
      </c>
      <c r="V720">
        <v>30</v>
      </c>
      <c r="W720" t="s">
        <v>79</v>
      </c>
      <c r="X720" t="s">
        <v>980</v>
      </c>
      <c r="Y720" t="s">
        <v>2514</v>
      </c>
      <c r="AA720" t="s">
        <v>75</v>
      </c>
      <c r="AC720" t="s">
        <v>83</v>
      </c>
      <c r="AE720" t="s">
        <v>75</v>
      </c>
      <c r="AF720" t="s">
        <v>84</v>
      </c>
      <c r="AG720" t="s">
        <v>84</v>
      </c>
      <c r="AH720" s="33">
        <f t="shared" si="34"/>
      </c>
      <c r="AI720" s="33">
        <f t="shared" si="35"/>
      </c>
    </row>
    <row r="721" ht="27.6" customHeight="1" spans="1:35" x14ac:dyDescent="0.25">
      <c r="A721" s="27" t="s">
        <v>2515</v>
      </c>
      <c r="B721">
        <f t="shared" si="33"/>
        <v>0</v>
      </c>
      <c r="C721" t="s">
        <v>64</v>
      </c>
      <c r="D721" s="27" t="s">
        <v>102</v>
      </c>
      <c r="E721" t="s">
        <v>2516</v>
      </c>
      <c r="F721" s="28">
        <v>0</v>
      </c>
      <c r="G721" s="29">
        <v>1</v>
      </c>
      <c r="H721" s="30" t="s">
        <v>2517</v>
      </c>
      <c r="I721" t="s">
        <v>65</v>
      </c>
      <c r="J7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145</v>
      </c>
      <c r="L721" t="s">
        <v>146</v>
      </c>
      <c r="N721" s="29">
        <v>1</v>
      </c>
      <c r="P721" s="29">
        <v>1</v>
      </c>
      <c r="R721" s="29">
        <v>1</v>
      </c>
      <c r="S721" t="s">
        <v>70</v>
      </c>
      <c r="T721" t="s">
        <v>72</v>
      </c>
      <c r="U721" s="32">
        <v>30</v>
      </c>
      <c r="V721">
        <v>30</v>
      </c>
      <c r="W721" t="s">
        <v>79</v>
      </c>
      <c r="X721" t="s">
        <v>980</v>
      </c>
      <c r="Y721" t="s">
        <v>2518</v>
      </c>
      <c r="AA721" t="s">
        <v>75</v>
      </c>
      <c r="AC721" t="s">
        <v>83</v>
      </c>
      <c r="AE721" t="s">
        <v>75</v>
      </c>
      <c r="AF721" t="s">
        <v>84</v>
      </c>
      <c r="AG721" t="s">
        <v>84</v>
      </c>
      <c r="AH721" s="33">
        <f t="shared" si="34"/>
      </c>
      <c r="AI721" s="33">
        <f t="shared" si="35"/>
      </c>
    </row>
    <row r="722" ht="27.6" customHeight="1" spans="1:35" x14ac:dyDescent="0.25">
      <c r="A722" s="27" t="s">
        <v>2519</v>
      </c>
      <c r="B722">
        <f t="shared" si="33"/>
        <v>0</v>
      </c>
      <c r="C722" t="s">
        <v>64</v>
      </c>
      <c r="D722" s="27" t="s">
        <v>2520</v>
      </c>
      <c r="E722" t="s">
        <v>2521</v>
      </c>
      <c r="F722" s="28">
        <v>0</v>
      </c>
      <c r="G722" s="29">
        <v>1</v>
      </c>
      <c r="H722" s="30" t="s">
        <v>2522</v>
      </c>
      <c r="I722" t="s">
        <v>65</v>
      </c>
      <c r="J7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145</v>
      </c>
      <c r="L722" t="s">
        <v>146</v>
      </c>
      <c r="N722" s="29">
        <v>1</v>
      </c>
      <c r="P722" s="29">
        <v>1</v>
      </c>
      <c r="R722" s="29">
        <v>1</v>
      </c>
      <c r="S722" t="s">
        <v>70</v>
      </c>
      <c r="T722" t="s">
        <v>72</v>
      </c>
      <c r="U722" s="32">
        <v>30</v>
      </c>
      <c r="V722">
        <v>30</v>
      </c>
      <c r="W722" t="s">
        <v>79</v>
      </c>
      <c r="X722" t="s">
        <v>980</v>
      </c>
      <c r="Y722" t="s">
        <v>2523</v>
      </c>
      <c r="AA722" t="s">
        <v>75</v>
      </c>
      <c r="AC722" t="s">
        <v>83</v>
      </c>
      <c r="AE722" t="s">
        <v>75</v>
      </c>
      <c r="AF722" t="s">
        <v>84</v>
      </c>
      <c r="AG722" t="s">
        <v>84</v>
      </c>
      <c r="AH722" s="33">
        <f t="shared" si="34"/>
      </c>
      <c r="AI722" s="33">
        <f t="shared" si="35"/>
      </c>
    </row>
    <row r="723" ht="27.6" customHeight="1" spans="1:35" x14ac:dyDescent="0.25">
      <c r="A723" s="27" t="s">
        <v>242</v>
      </c>
      <c r="B723">
        <f t="shared" si="33"/>
        <v>0</v>
      </c>
      <c r="C723" t="s">
        <v>64</v>
      </c>
      <c r="D723" s="27" t="s">
        <v>102</v>
      </c>
      <c r="E723" t="s">
        <v>2524</v>
      </c>
      <c r="F723" s="28">
        <v>0</v>
      </c>
      <c r="G723" s="29">
        <v>1</v>
      </c>
      <c r="H723" s="30" t="s">
        <v>2525</v>
      </c>
      <c r="I723" t="s">
        <v>65</v>
      </c>
      <c r="J7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145</v>
      </c>
      <c r="L723" t="s">
        <v>146</v>
      </c>
      <c r="N723" s="29">
        <v>1</v>
      </c>
      <c r="P723" s="29">
        <v>1</v>
      </c>
      <c r="R723" s="29">
        <v>1</v>
      </c>
      <c r="S723" t="s">
        <v>70</v>
      </c>
      <c r="T723" t="s">
        <v>72</v>
      </c>
      <c r="U723" s="32">
        <v>30</v>
      </c>
      <c r="V723">
        <v>30</v>
      </c>
      <c r="W723" t="s">
        <v>79</v>
      </c>
      <c r="X723" t="s">
        <v>980</v>
      </c>
      <c r="Y723" t="s">
        <v>246</v>
      </c>
      <c r="AA723" t="s">
        <v>75</v>
      </c>
      <c r="AC723" t="s">
        <v>83</v>
      </c>
      <c r="AE723" t="s">
        <v>75</v>
      </c>
      <c r="AF723" t="s">
        <v>84</v>
      </c>
      <c r="AG723" t="s">
        <v>84</v>
      </c>
      <c r="AH723" s="33">
        <f t="shared" si="34"/>
      </c>
      <c r="AI723" s="33">
        <f t="shared" si="35"/>
      </c>
    </row>
    <row r="724" ht="27.6" customHeight="1" spans="1:35" x14ac:dyDescent="0.25">
      <c r="A724" s="27" t="s">
        <v>468</v>
      </c>
      <c r="B724">
        <f t="shared" si="33"/>
        <v>0</v>
      </c>
      <c r="C724" t="s">
        <v>64</v>
      </c>
      <c r="D724" s="27" t="s">
        <v>102</v>
      </c>
      <c r="E724" t="s">
        <v>472</v>
      </c>
      <c r="F724" s="28">
        <v>0</v>
      </c>
      <c r="G724" s="29">
        <v>1</v>
      </c>
      <c r="H724" s="30" t="s">
        <v>2526</v>
      </c>
      <c r="I724" t="s">
        <v>65</v>
      </c>
      <c r="J7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145</v>
      </c>
      <c r="L724" t="s">
        <v>146</v>
      </c>
      <c r="N724" s="29">
        <v>1</v>
      </c>
      <c r="P724" s="29">
        <v>1</v>
      </c>
      <c r="R724" s="29">
        <v>1</v>
      </c>
      <c r="S724" t="s">
        <v>70</v>
      </c>
      <c r="T724" t="s">
        <v>72</v>
      </c>
      <c r="U724" s="32">
        <v>30</v>
      </c>
      <c r="V724">
        <v>30</v>
      </c>
      <c r="W724" t="s">
        <v>79</v>
      </c>
      <c r="X724" t="s">
        <v>166</v>
      </c>
      <c r="Y724" t="s">
        <v>470</v>
      </c>
      <c r="AA724" t="s">
        <v>75</v>
      </c>
      <c r="AC724" t="s">
        <v>83</v>
      </c>
      <c r="AE724" t="s">
        <v>75</v>
      </c>
      <c r="AF724" t="s">
        <v>84</v>
      </c>
      <c r="AG724" t="s">
        <v>84</v>
      </c>
      <c r="AH724" s="33">
        <f t="shared" si="34"/>
      </c>
      <c r="AI724" s="33">
        <f t="shared" si="35"/>
      </c>
    </row>
    <row r="725" ht="27.6" customHeight="1" spans="1:35" x14ac:dyDescent="0.25">
      <c r="A725" s="27" t="s">
        <v>2527</v>
      </c>
      <c r="B725">
        <f t="shared" si="33"/>
        <v>0</v>
      </c>
      <c r="C725" t="s">
        <v>64</v>
      </c>
      <c r="D725" s="27" t="s">
        <v>2528</v>
      </c>
      <c r="E725" t="s">
        <v>2529</v>
      </c>
      <c r="F725" s="28">
        <v>0</v>
      </c>
      <c r="G725" s="29">
        <v>1</v>
      </c>
      <c r="H725" s="30" t="s">
        <v>2530</v>
      </c>
      <c r="I725" t="s">
        <v>65</v>
      </c>
      <c r="J7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145</v>
      </c>
      <c r="L725" t="s">
        <v>146</v>
      </c>
      <c r="N725" s="29">
        <v>1</v>
      </c>
      <c r="P725" s="29">
        <v>1</v>
      </c>
      <c r="R725" s="29">
        <v>1</v>
      </c>
      <c r="S725" t="s">
        <v>70</v>
      </c>
      <c r="T725" t="s">
        <v>72</v>
      </c>
      <c r="U725" s="32">
        <v>30</v>
      </c>
      <c r="V725">
        <v>30</v>
      </c>
      <c r="W725" t="s">
        <v>79</v>
      </c>
      <c r="X725" t="s">
        <v>171</v>
      </c>
      <c r="Y725" t="s">
        <v>2529</v>
      </c>
      <c r="AA725" t="s">
        <v>75</v>
      </c>
      <c r="AC725" t="s">
        <v>83</v>
      </c>
      <c r="AE725" t="s">
        <v>75</v>
      </c>
      <c r="AF725" t="s">
        <v>84</v>
      </c>
      <c r="AG725" t="s">
        <v>84</v>
      </c>
      <c r="AH725" s="33">
        <f t="shared" si="34"/>
      </c>
      <c r="AI725" s="33">
        <f t="shared" si="35"/>
      </c>
    </row>
    <row r="726" ht="27.6" customHeight="1" spans="1:35" x14ac:dyDescent="0.25">
      <c r="A726" s="27" t="s">
        <v>2531</v>
      </c>
      <c r="B726">
        <f t="shared" si="33"/>
        <v>0</v>
      </c>
      <c r="C726" t="s">
        <v>64</v>
      </c>
      <c r="D726" s="27" t="s">
        <v>102</v>
      </c>
      <c r="E726" t="s">
        <v>2532</v>
      </c>
      <c r="F726" s="28">
        <v>0</v>
      </c>
      <c r="G726" s="29">
        <v>1</v>
      </c>
      <c r="H726" s="30" t="s">
        <v>2533</v>
      </c>
      <c r="I726" t="s">
        <v>65</v>
      </c>
      <c r="J7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145</v>
      </c>
      <c r="L726" t="s">
        <v>146</v>
      </c>
      <c r="N726" s="29">
        <v>1</v>
      </c>
      <c r="P726" s="29">
        <v>1</v>
      </c>
      <c r="R726" s="29">
        <v>1</v>
      </c>
      <c r="S726" t="s">
        <v>70</v>
      </c>
      <c r="T726" t="s">
        <v>72</v>
      </c>
      <c r="U726" s="32">
        <v>30</v>
      </c>
      <c r="V726">
        <v>30</v>
      </c>
      <c r="W726" t="s">
        <v>79</v>
      </c>
      <c r="X726" t="s">
        <v>171</v>
      </c>
      <c r="Y726" t="s">
        <v>2532</v>
      </c>
      <c r="AA726" t="s">
        <v>75</v>
      </c>
      <c r="AC726" t="s">
        <v>83</v>
      </c>
      <c r="AE726" t="s">
        <v>75</v>
      </c>
      <c r="AF726" t="s">
        <v>84</v>
      </c>
      <c r="AG726" t="s">
        <v>84</v>
      </c>
      <c r="AH726" s="33">
        <f t="shared" si="34"/>
      </c>
      <c r="AI726" s="33">
        <f t="shared" si="35"/>
      </c>
    </row>
    <row r="727" ht="27.6" customHeight="1" spans="1:35" x14ac:dyDescent="0.25">
      <c r="A727" s="27" t="s">
        <v>2534</v>
      </c>
      <c r="B727">
        <f t="shared" si="33"/>
        <v>0</v>
      </c>
      <c r="C727" t="s">
        <v>64</v>
      </c>
      <c r="D727" s="27" t="s">
        <v>102</v>
      </c>
      <c r="E727" t="s">
        <v>2535</v>
      </c>
      <c r="F727" s="28">
        <v>0</v>
      </c>
      <c r="G727" s="29">
        <v>1</v>
      </c>
      <c r="H727" s="30" t="s">
        <v>2536</v>
      </c>
      <c r="I727" t="s">
        <v>65</v>
      </c>
      <c r="J7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145</v>
      </c>
      <c r="L727" t="s">
        <v>146</v>
      </c>
      <c r="N727" s="29">
        <v>1</v>
      </c>
      <c r="P727" s="29">
        <v>1</v>
      </c>
      <c r="R727" s="29">
        <v>1</v>
      </c>
      <c r="S727" t="s">
        <v>70</v>
      </c>
      <c r="T727" t="s">
        <v>72</v>
      </c>
      <c r="U727" s="32">
        <v>30</v>
      </c>
      <c r="V727">
        <v>30</v>
      </c>
      <c r="W727" t="s">
        <v>79</v>
      </c>
      <c r="X727" t="s">
        <v>770</v>
      </c>
      <c r="Y727" t="s">
        <v>2535</v>
      </c>
      <c r="AA727" t="s">
        <v>75</v>
      </c>
      <c r="AC727" t="s">
        <v>83</v>
      </c>
      <c r="AE727" t="s">
        <v>75</v>
      </c>
      <c r="AF727" t="s">
        <v>84</v>
      </c>
      <c r="AG727" t="s">
        <v>84</v>
      </c>
      <c r="AH727" s="33">
        <f t="shared" si="34"/>
      </c>
      <c r="AI727" s="33">
        <f t="shared" si="35"/>
      </c>
    </row>
    <row r="728" ht="27.6" customHeight="1" spans="1:35" x14ac:dyDescent="0.25">
      <c r="A728" s="27" t="s">
        <v>2537</v>
      </c>
      <c r="B728">
        <f t="shared" si="33"/>
        <v>0</v>
      </c>
      <c r="C728" t="s">
        <v>64</v>
      </c>
      <c r="D728" s="27" t="s">
        <v>102</v>
      </c>
      <c r="E728" t="s">
        <v>2538</v>
      </c>
      <c r="F728" s="28">
        <v>0</v>
      </c>
      <c r="G728" s="29">
        <v>1</v>
      </c>
      <c r="H728" s="30" t="s">
        <v>2539</v>
      </c>
      <c r="I728" t="s">
        <v>65</v>
      </c>
      <c r="J7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145</v>
      </c>
      <c r="L728" t="s">
        <v>146</v>
      </c>
      <c r="N728" s="29">
        <v>1</v>
      </c>
      <c r="P728" s="29">
        <v>1</v>
      </c>
      <c r="R728" s="29">
        <v>1</v>
      </c>
      <c r="S728" t="s">
        <v>70</v>
      </c>
      <c r="T728" t="s">
        <v>72</v>
      </c>
      <c r="U728" s="32">
        <v>30</v>
      </c>
      <c r="V728">
        <v>30</v>
      </c>
      <c r="W728" t="s">
        <v>79</v>
      </c>
      <c r="X728" t="s">
        <v>770</v>
      </c>
      <c r="Y728" t="s">
        <v>2538</v>
      </c>
      <c r="AA728" t="s">
        <v>75</v>
      </c>
      <c r="AC728" t="s">
        <v>83</v>
      </c>
      <c r="AE728" t="s">
        <v>75</v>
      </c>
      <c r="AF728" t="s">
        <v>84</v>
      </c>
      <c r="AG728" t="s">
        <v>84</v>
      </c>
      <c r="AH728" s="33">
        <f t="shared" si="34"/>
      </c>
      <c r="AI728" s="33">
        <f t="shared" si="35"/>
      </c>
    </row>
    <row r="729" ht="27.6" customHeight="1" spans="1:35" x14ac:dyDescent="0.25">
      <c r="A729" s="27" t="s">
        <v>2540</v>
      </c>
      <c r="B729">
        <f t="shared" si="33"/>
        <v>0</v>
      </c>
      <c r="C729" t="s">
        <v>64</v>
      </c>
      <c r="D729" s="27" t="s">
        <v>2541</v>
      </c>
      <c r="E729" t="s">
        <v>2542</v>
      </c>
      <c r="F729" s="28">
        <v>0</v>
      </c>
      <c r="G729" s="29">
        <v>1</v>
      </c>
      <c r="H729" s="30" t="s">
        <v>2543</v>
      </c>
      <c r="I729" t="s">
        <v>65</v>
      </c>
      <c r="J7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145</v>
      </c>
      <c r="L729" t="s">
        <v>146</v>
      </c>
      <c r="N729" s="29">
        <v>1</v>
      </c>
      <c r="P729" s="29">
        <v>1</v>
      </c>
      <c r="R729" s="29">
        <v>1</v>
      </c>
      <c r="S729" t="s">
        <v>70</v>
      </c>
      <c r="T729" t="s">
        <v>72</v>
      </c>
      <c r="U729" s="32">
        <v>30</v>
      </c>
      <c r="V729">
        <v>30</v>
      </c>
      <c r="W729" t="s">
        <v>79</v>
      </c>
      <c r="X729" t="s">
        <v>171</v>
      </c>
      <c r="Y729" t="s">
        <v>2542</v>
      </c>
      <c r="AA729" t="s">
        <v>75</v>
      </c>
      <c r="AC729" t="s">
        <v>83</v>
      </c>
      <c r="AE729" t="s">
        <v>75</v>
      </c>
      <c r="AF729" t="s">
        <v>84</v>
      </c>
      <c r="AG729" t="s">
        <v>84</v>
      </c>
      <c r="AH729" s="33">
        <f t="shared" si="34"/>
      </c>
      <c r="AI729" s="33">
        <f t="shared" si="35"/>
      </c>
    </row>
    <row r="730" ht="27.6" customHeight="1" spans="1:35" x14ac:dyDescent="0.25">
      <c r="A730" s="27" t="s">
        <v>2544</v>
      </c>
      <c r="B730">
        <f t="shared" si="33"/>
        <v>0</v>
      </c>
      <c r="C730" t="s">
        <v>64</v>
      </c>
      <c r="D730" s="27" t="s">
        <v>102</v>
      </c>
      <c r="E730" t="s">
        <v>2545</v>
      </c>
      <c r="F730" s="28">
        <v>0</v>
      </c>
      <c r="G730" s="29">
        <v>1</v>
      </c>
      <c r="H730" s="30" t="s">
        <v>2546</v>
      </c>
      <c r="I730" t="s">
        <v>65</v>
      </c>
      <c r="J7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145</v>
      </c>
      <c r="L730" t="s">
        <v>146</v>
      </c>
      <c r="N730" s="29">
        <v>1</v>
      </c>
      <c r="P730" s="29">
        <v>1</v>
      </c>
      <c r="R730" s="29">
        <v>1</v>
      </c>
      <c r="S730" t="s">
        <v>70</v>
      </c>
      <c r="T730" t="s">
        <v>72</v>
      </c>
      <c r="U730" s="32">
        <v>30</v>
      </c>
      <c r="V730">
        <v>30</v>
      </c>
      <c r="W730" t="s">
        <v>79</v>
      </c>
      <c r="X730" t="s">
        <v>770</v>
      </c>
      <c r="Y730" t="s">
        <v>2545</v>
      </c>
      <c r="AA730" t="s">
        <v>75</v>
      </c>
      <c r="AC730" t="s">
        <v>83</v>
      </c>
      <c r="AE730" t="s">
        <v>75</v>
      </c>
      <c r="AF730" t="s">
        <v>84</v>
      </c>
      <c r="AG730" t="s">
        <v>84</v>
      </c>
      <c r="AH730" s="33">
        <f t="shared" si="34"/>
      </c>
      <c r="AI730" s="33">
        <f t="shared" si="35"/>
      </c>
    </row>
    <row r="731" ht="27.6" customHeight="1" spans="1:35" x14ac:dyDescent="0.25">
      <c r="A731" s="27" t="s">
        <v>2547</v>
      </c>
      <c r="B731">
        <f t="shared" si="33"/>
        <v>0</v>
      </c>
      <c r="C731" t="s">
        <v>64</v>
      </c>
      <c r="D731" s="27" t="s">
        <v>102</v>
      </c>
      <c r="E731" t="s">
        <v>2548</v>
      </c>
      <c r="F731" s="28">
        <v>0</v>
      </c>
      <c r="G731" s="29">
        <v>1</v>
      </c>
      <c r="H731" s="30" t="s">
        <v>2549</v>
      </c>
      <c r="I731" t="s">
        <v>65</v>
      </c>
      <c r="J7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145</v>
      </c>
      <c r="L731" t="s">
        <v>146</v>
      </c>
      <c r="N731" s="29">
        <v>1</v>
      </c>
      <c r="P731" s="29">
        <v>1</v>
      </c>
      <c r="R731" s="29">
        <v>1</v>
      </c>
      <c r="S731" t="s">
        <v>70</v>
      </c>
      <c r="T731" t="s">
        <v>72</v>
      </c>
      <c r="U731" s="32">
        <v>30</v>
      </c>
      <c r="V731">
        <v>30</v>
      </c>
      <c r="W731" t="s">
        <v>79</v>
      </c>
      <c r="X731" t="s">
        <v>770</v>
      </c>
      <c r="Y731" t="s">
        <v>2548</v>
      </c>
      <c r="AA731" t="s">
        <v>75</v>
      </c>
      <c r="AC731" t="s">
        <v>83</v>
      </c>
      <c r="AE731" t="s">
        <v>75</v>
      </c>
      <c r="AF731" t="s">
        <v>84</v>
      </c>
      <c r="AG731" t="s">
        <v>84</v>
      </c>
      <c r="AH731" s="33">
        <f t="shared" si="34"/>
      </c>
      <c r="AI731" s="33">
        <f t="shared" si="35"/>
      </c>
    </row>
    <row r="732" ht="27.6" customHeight="1" spans="1:35" x14ac:dyDescent="0.25">
      <c r="A732" s="27" t="s">
        <v>2550</v>
      </c>
      <c r="B732">
        <f t="shared" si="33"/>
        <v>0</v>
      </c>
      <c r="C732" t="s">
        <v>64</v>
      </c>
      <c r="D732" s="27" t="s">
        <v>102</v>
      </c>
      <c r="E732" t="s">
        <v>2551</v>
      </c>
      <c r="F732" s="28">
        <v>0</v>
      </c>
      <c r="G732" s="29">
        <v>1</v>
      </c>
      <c r="H732" s="30" t="s">
        <v>2552</v>
      </c>
      <c r="I732" t="s">
        <v>65</v>
      </c>
      <c r="J7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145</v>
      </c>
      <c r="L732" t="s">
        <v>146</v>
      </c>
      <c r="N732" s="29">
        <v>1</v>
      </c>
      <c r="P732" s="29">
        <v>1</v>
      </c>
      <c r="R732" s="29">
        <v>1</v>
      </c>
      <c r="S732" t="s">
        <v>70</v>
      </c>
      <c r="T732" t="s">
        <v>72</v>
      </c>
      <c r="U732" s="32">
        <v>30</v>
      </c>
      <c r="V732">
        <v>30</v>
      </c>
      <c r="W732" t="s">
        <v>79</v>
      </c>
      <c r="X732" t="s">
        <v>770</v>
      </c>
      <c r="Y732" t="s">
        <v>2551</v>
      </c>
      <c r="AA732" t="s">
        <v>75</v>
      </c>
      <c r="AC732" t="s">
        <v>83</v>
      </c>
      <c r="AE732" t="s">
        <v>75</v>
      </c>
      <c r="AF732" t="s">
        <v>84</v>
      </c>
      <c r="AG732" t="s">
        <v>84</v>
      </c>
      <c r="AH732" s="33">
        <f t="shared" si="34"/>
      </c>
      <c r="AI732" s="33">
        <f t="shared" si="35"/>
      </c>
    </row>
    <row r="733" ht="27.6" customHeight="1" spans="1:35" x14ac:dyDescent="0.25">
      <c r="A733" s="27" t="s">
        <v>2553</v>
      </c>
      <c r="B733">
        <f t="shared" si="33"/>
        <v>0</v>
      </c>
      <c r="C733" t="s">
        <v>64</v>
      </c>
      <c r="D733" s="27" t="s">
        <v>102</v>
      </c>
      <c r="E733" t="s">
        <v>2554</v>
      </c>
      <c r="F733" s="28">
        <v>0</v>
      </c>
      <c r="G733" s="29">
        <v>1</v>
      </c>
      <c r="H733" s="30" t="s">
        <v>2555</v>
      </c>
      <c r="I733" t="s">
        <v>65</v>
      </c>
      <c r="J7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145</v>
      </c>
      <c r="L733" t="s">
        <v>146</v>
      </c>
      <c r="N733" s="29">
        <v>1</v>
      </c>
      <c r="P733" s="29">
        <v>1</v>
      </c>
      <c r="R733" s="29">
        <v>1</v>
      </c>
      <c r="S733" t="s">
        <v>70</v>
      </c>
      <c r="T733" t="s">
        <v>72</v>
      </c>
      <c r="U733" s="32">
        <v>30</v>
      </c>
      <c r="V733">
        <v>30</v>
      </c>
      <c r="W733" t="s">
        <v>79</v>
      </c>
      <c r="X733" t="s">
        <v>770</v>
      </c>
      <c r="Y733" t="s">
        <v>2554</v>
      </c>
      <c r="AA733" t="s">
        <v>75</v>
      </c>
      <c r="AC733" t="s">
        <v>83</v>
      </c>
      <c r="AE733" t="s">
        <v>75</v>
      </c>
      <c r="AF733" t="s">
        <v>84</v>
      </c>
      <c r="AG733" t="s">
        <v>84</v>
      </c>
      <c r="AH733" s="33">
        <f t="shared" si="34"/>
      </c>
      <c r="AI733" s="33">
        <f t="shared" si="35"/>
      </c>
    </row>
    <row r="734" ht="27.6" customHeight="1" spans="1:35" x14ac:dyDescent="0.25">
      <c r="A734" s="27" t="s">
        <v>2556</v>
      </c>
      <c r="B734">
        <f t="shared" si="33"/>
        <v>0</v>
      </c>
      <c r="C734" t="s">
        <v>64</v>
      </c>
      <c r="D734" s="27" t="s">
        <v>2557</v>
      </c>
      <c r="E734" t="s">
        <v>2558</v>
      </c>
      <c r="F734" s="28">
        <v>0</v>
      </c>
      <c r="G734" s="29">
        <v>1</v>
      </c>
      <c r="H734" s="30" t="s">
        <v>2559</v>
      </c>
      <c r="I734" t="s">
        <v>65</v>
      </c>
      <c r="J7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145</v>
      </c>
      <c r="L734" t="s">
        <v>146</v>
      </c>
      <c r="N734" s="29">
        <v>1</v>
      </c>
      <c r="P734" s="29">
        <v>1</v>
      </c>
      <c r="R734" s="29">
        <v>1</v>
      </c>
      <c r="S734" t="s">
        <v>70</v>
      </c>
      <c r="T734" t="s">
        <v>72</v>
      </c>
      <c r="U734" s="32">
        <v>30</v>
      </c>
      <c r="V734">
        <v>30</v>
      </c>
      <c r="W734" t="s">
        <v>79</v>
      </c>
      <c r="X734" t="s">
        <v>147</v>
      </c>
      <c r="Y734" t="s">
        <v>586</v>
      </c>
      <c r="AA734" t="s">
        <v>75</v>
      </c>
      <c r="AC734" t="s">
        <v>83</v>
      </c>
      <c r="AE734" t="s">
        <v>75</v>
      </c>
      <c r="AF734" t="s">
        <v>84</v>
      </c>
      <c r="AG734" t="s">
        <v>84</v>
      </c>
      <c r="AH734" s="33">
        <f t="shared" si="34"/>
      </c>
      <c r="AI734" s="33">
        <f t="shared" si="35"/>
      </c>
    </row>
    <row r="735" ht="27.6" customHeight="1" spans="1:35" x14ac:dyDescent="0.25">
      <c r="A735" s="27" t="s">
        <v>699</v>
      </c>
      <c r="B735">
        <f t="shared" si="33"/>
        <v>0</v>
      </c>
      <c r="C735" t="s">
        <v>64</v>
      </c>
      <c r="D735" s="27" t="s">
        <v>2560</v>
      </c>
      <c r="E735" t="s">
        <v>2561</v>
      </c>
      <c r="F735" s="28">
        <v>2</v>
      </c>
      <c r="G735" s="29">
        <v>1</v>
      </c>
      <c r="H735" s="30" t="s">
        <v>2562</v>
      </c>
      <c r="I735" t="s">
        <v>65</v>
      </c>
      <c r="J7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145</v>
      </c>
      <c r="L735" t="s">
        <v>146</v>
      </c>
      <c r="N735" s="29">
        <v>1</v>
      </c>
      <c r="P735" s="29">
        <v>1</v>
      </c>
      <c r="R735" s="29">
        <v>1</v>
      </c>
      <c r="S735" t="s">
        <v>70</v>
      </c>
      <c r="T735" t="s">
        <v>72</v>
      </c>
      <c r="U735" s="32">
        <v>30</v>
      </c>
      <c r="V735">
        <v>30</v>
      </c>
      <c r="W735" t="s">
        <v>79</v>
      </c>
      <c r="X735" t="s">
        <v>147</v>
      </c>
      <c r="Y735" t="s">
        <v>2563</v>
      </c>
      <c r="AA735" t="s">
        <v>75</v>
      </c>
      <c r="AC735" t="s">
        <v>83</v>
      </c>
      <c r="AE735" t="s">
        <v>75</v>
      </c>
      <c r="AF735" t="s">
        <v>84</v>
      </c>
      <c r="AG735" t="s">
        <v>84</v>
      </c>
      <c r="AH735" s="33">
        <f t="shared" si="34"/>
      </c>
      <c r="AI735" s="33">
        <f t="shared" si="35"/>
      </c>
    </row>
    <row r="736" ht="27.6" customHeight="1" spans="1:35" x14ac:dyDescent="0.25">
      <c r="A736" s="27" t="s">
        <v>2564</v>
      </c>
      <c r="B736">
        <f t="shared" si="33"/>
        <v>0</v>
      </c>
      <c r="C736" t="s">
        <v>64</v>
      </c>
      <c r="D736" s="27" t="s">
        <v>102</v>
      </c>
      <c r="E736" t="s">
        <v>2565</v>
      </c>
      <c r="F736" s="28">
        <v>0</v>
      </c>
      <c r="G736" s="29">
        <v>1</v>
      </c>
      <c r="H736" s="30" t="s">
        <v>2566</v>
      </c>
      <c r="I736" t="s">
        <v>65</v>
      </c>
      <c r="J7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145</v>
      </c>
      <c r="L736" t="s">
        <v>146</v>
      </c>
      <c r="N736" s="29">
        <v>1</v>
      </c>
      <c r="P736" s="29">
        <v>1</v>
      </c>
      <c r="R736" s="29">
        <v>1</v>
      </c>
      <c r="S736" t="s">
        <v>70</v>
      </c>
      <c r="T736" t="s">
        <v>72</v>
      </c>
      <c r="U736" s="32">
        <v>30</v>
      </c>
      <c r="V736">
        <v>30</v>
      </c>
      <c r="W736" t="s">
        <v>79</v>
      </c>
      <c r="X736" t="s">
        <v>147</v>
      </c>
      <c r="Y736" t="s">
        <v>2567</v>
      </c>
      <c r="AA736" t="s">
        <v>75</v>
      </c>
      <c r="AC736" t="s">
        <v>83</v>
      </c>
      <c r="AE736" t="s">
        <v>75</v>
      </c>
      <c r="AF736" t="s">
        <v>84</v>
      </c>
      <c r="AG736" t="s">
        <v>84</v>
      </c>
      <c r="AH736" s="33">
        <f t="shared" si="34"/>
      </c>
      <c r="AI736" s="33">
        <f t="shared" si="35"/>
      </c>
    </row>
    <row r="737" ht="27.6" customHeight="1" spans="1:35" x14ac:dyDescent="0.25">
      <c r="A737" s="27" t="s">
        <v>699</v>
      </c>
      <c r="B737">
        <f t="shared" si="33"/>
        <v>0</v>
      </c>
      <c r="C737" t="s">
        <v>64</v>
      </c>
      <c r="D737" s="27" t="s">
        <v>102</v>
      </c>
      <c r="E737" t="s">
        <v>2568</v>
      </c>
      <c r="F737" s="28">
        <v>10</v>
      </c>
      <c r="G737" s="29">
        <v>1</v>
      </c>
      <c r="H737" s="30" t="s">
        <v>2569</v>
      </c>
      <c r="I737" t="s">
        <v>65</v>
      </c>
      <c r="J7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145</v>
      </c>
      <c r="L737" t="s">
        <v>146</v>
      </c>
      <c r="N737" s="29">
        <v>1</v>
      </c>
      <c r="P737" s="29">
        <v>1</v>
      </c>
      <c r="R737" s="29">
        <v>1</v>
      </c>
      <c r="S737" t="s">
        <v>70</v>
      </c>
      <c r="T737" t="s">
        <v>72</v>
      </c>
      <c r="U737" s="32">
        <v>30</v>
      </c>
      <c r="V737">
        <v>30</v>
      </c>
      <c r="W737" t="s">
        <v>79</v>
      </c>
      <c r="X737" t="s">
        <v>147</v>
      </c>
      <c r="Y737" t="s">
        <v>2570</v>
      </c>
      <c r="AA737" t="s">
        <v>75</v>
      </c>
      <c r="AC737" t="s">
        <v>83</v>
      </c>
      <c r="AE737" t="s">
        <v>75</v>
      </c>
      <c r="AF737" t="s">
        <v>84</v>
      </c>
      <c r="AG737" t="s">
        <v>84</v>
      </c>
      <c r="AH737" s="33">
        <f t="shared" si="34"/>
      </c>
      <c r="AI737" s="33">
        <f t="shared" si="35"/>
      </c>
    </row>
    <row r="738" ht="27.6" customHeight="1" spans="1:35" x14ac:dyDescent="0.25">
      <c r="A738" s="27" t="s">
        <v>2571</v>
      </c>
      <c r="B738">
        <f t="shared" si="33"/>
        <v>0</v>
      </c>
      <c r="C738" t="s">
        <v>64</v>
      </c>
      <c r="D738" s="27" t="s">
        <v>2572</v>
      </c>
      <c r="E738" t="s">
        <v>2573</v>
      </c>
      <c r="F738" s="28">
        <v>0</v>
      </c>
      <c r="G738" s="29">
        <v>1</v>
      </c>
      <c r="H738" s="30" t="s">
        <v>2574</v>
      </c>
      <c r="I738" t="s">
        <v>65</v>
      </c>
      <c r="J7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145</v>
      </c>
      <c r="L738" t="s">
        <v>146</v>
      </c>
      <c r="N738" s="29">
        <v>1</v>
      </c>
      <c r="P738" s="29">
        <v>1</v>
      </c>
      <c r="R738" s="29">
        <v>1</v>
      </c>
      <c r="S738" t="s">
        <v>70</v>
      </c>
      <c r="T738" t="s">
        <v>72</v>
      </c>
      <c r="U738" s="32">
        <v>30</v>
      </c>
      <c r="V738">
        <v>30</v>
      </c>
      <c r="W738" t="s">
        <v>79</v>
      </c>
      <c r="X738" t="s">
        <v>240</v>
      </c>
      <c r="Y738" t="s">
        <v>2573</v>
      </c>
      <c r="AA738" t="s">
        <v>75</v>
      </c>
      <c r="AC738" t="s">
        <v>83</v>
      </c>
      <c r="AE738" t="s">
        <v>75</v>
      </c>
      <c r="AF738" t="s">
        <v>84</v>
      </c>
      <c r="AG738" t="s">
        <v>84</v>
      </c>
      <c r="AH738" s="33">
        <f t="shared" si="34"/>
      </c>
      <c r="AI738" s="33">
        <f t="shared" si="35"/>
      </c>
    </row>
    <row r="739" ht="27.6" customHeight="1" spans="1:35" x14ac:dyDescent="0.25">
      <c r="A739" s="27" t="s">
        <v>2575</v>
      </c>
      <c r="B739">
        <f t="shared" si="33"/>
        <v>0</v>
      </c>
      <c r="C739" t="s">
        <v>64</v>
      </c>
      <c r="D739" s="27" t="s">
        <v>2572</v>
      </c>
      <c r="E739" t="s">
        <v>2573</v>
      </c>
      <c r="F739" s="28">
        <v>0</v>
      </c>
      <c r="G739" s="29">
        <v>1</v>
      </c>
      <c r="H739" s="30" t="s">
        <v>2576</v>
      </c>
      <c r="I739" t="s">
        <v>65</v>
      </c>
      <c r="J7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145</v>
      </c>
      <c r="L739" t="s">
        <v>146</v>
      </c>
      <c r="N739" s="29">
        <v>1</v>
      </c>
      <c r="P739" s="29">
        <v>1</v>
      </c>
      <c r="R739" s="29">
        <v>1</v>
      </c>
      <c r="S739" t="s">
        <v>70</v>
      </c>
      <c r="T739" t="s">
        <v>72</v>
      </c>
      <c r="U739" s="32">
        <v>30</v>
      </c>
      <c r="V739">
        <v>30</v>
      </c>
      <c r="W739" t="s">
        <v>79</v>
      </c>
      <c r="X739" t="s">
        <v>240</v>
      </c>
      <c r="Y739" t="s">
        <v>2573</v>
      </c>
      <c r="AA739" t="s">
        <v>75</v>
      </c>
      <c r="AC739" t="s">
        <v>83</v>
      </c>
      <c r="AE739" t="s">
        <v>75</v>
      </c>
      <c r="AF739" t="s">
        <v>84</v>
      </c>
      <c r="AG739" t="s">
        <v>84</v>
      </c>
      <c r="AH739" s="33">
        <f t="shared" si="34"/>
      </c>
      <c r="AI739" s="33">
        <f t="shared" si="35"/>
      </c>
    </row>
    <row r="740" ht="27.6" customHeight="1" spans="1:35" x14ac:dyDescent="0.25">
      <c r="A740" s="27" t="s">
        <v>2052</v>
      </c>
      <c r="B740">
        <f t="shared" si="33"/>
        <v>0</v>
      </c>
      <c r="C740" t="s">
        <v>64</v>
      </c>
      <c r="D740" s="27" t="s">
        <v>2577</v>
      </c>
      <c r="E740" t="s">
        <v>2578</v>
      </c>
      <c r="F740" s="28">
        <v>0</v>
      </c>
      <c r="G740" s="29">
        <v>1</v>
      </c>
      <c r="H740" s="30" t="s">
        <v>2579</v>
      </c>
      <c r="I740" t="s">
        <v>65</v>
      </c>
      <c r="J7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145</v>
      </c>
      <c r="L740" t="s">
        <v>146</v>
      </c>
      <c r="N740" s="29">
        <v>1</v>
      </c>
      <c r="P740" s="29">
        <v>1</v>
      </c>
      <c r="R740" s="29">
        <v>1</v>
      </c>
      <c r="S740" t="s">
        <v>70</v>
      </c>
      <c r="T740" t="s">
        <v>72</v>
      </c>
      <c r="U740" s="32">
        <v>30</v>
      </c>
      <c r="V740">
        <v>30</v>
      </c>
      <c r="W740" t="s">
        <v>79</v>
      </c>
      <c r="X740" t="s">
        <v>240</v>
      </c>
      <c r="Y740" t="s">
        <v>2580</v>
      </c>
      <c r="AA740" t="s">
        <v>75</v>
      </c>
      <c r="AC740" t="s">
        <v>83</v>
      </c>
      <c r="AE740" t="s">
        <v>75</v>
      </c>
      <c r="AF740" t="s">
        <v>84</v>
      </c>
      <c r="AG740" t="s">
        <v>84</v>
      </c>
      <c r="AH740" s="33">
        <f t="shared" si="34"/>
      </c>
      <c r="AI740" s="33">
        <f t="shared" si="35"/>
      </c>
    </row>
    <row r="741" ht="27.6" customHeight="1" spans="1:35" x14ac:dyDescent="0.25">
      <c r="A741" s="27" t="s">
        <v>2581</v>
      </c>
      <c r="B741">
        <f t="shared" si="33"/>
        <v>0</v>
      </c>
      <c r="C741" t="s">
        <v>64</v>
      </c>
      <c r="D741" s="27" t="s">
        <v>2582</v>
      </c>
      <c r="E741" t="s">
        <v>2583</v>
      </c>
      <c r="F741" s="28">
        <v>2</v>
      </c>
      <c r="G741" s="29">
        <v>1</v>
      </c>
      <c r="H741" s="30" t="s">
        <v>2584</v>
      </c>
      <c r="I741" t="s">
        <v>65</v>
      </c>
      <c r="J7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145</v>
      </c>
      <c r="L741" t="s">
        <v>146</v>
      </c>
      <c r="N741" s="29">
        <v>1</v>
      </c>
      <c r="P741" s="29">
        <v>1</v>
      </c>
      <c r="R741" s="29">
        <v>1</v>
      </c>
      <c r="S741" t="s">
        <v>70</v>
      </c>
      <c r="T741" t="s">
        <v>72</v>
      </c>
      <c r="U741" s="32">
        <v>30</v>
      </c>
      <c r="V741">
        <v>30</v>
      </c>
      <c r="W741" t="s">
        <v>79</v>
      </c>
      <c r="X741" t="s">
        <v>240</v>
      </c>
      <c r="Y741" t="s">
        <v>2585</v>
      </c>
      <c r="AA741" t="s">
        <v>75</v>
      </c>
      <c r="AC741" t="s">
        <v>83</v>
      </c>
      <c r="AE741" t="s">
        <v>75</v>
      </c>
      <c r="AF741" t="s">
        <v>84</v>
      </c>
      <c r="AG741" t="s">
        <v>84</v>
      </c>
      <c r="AH741" s="33">
        <f t="shared" si="34"/>
      </c>
      <c r="AI741" s="33">
        <f t="shared" si="35"/>
      </c>
    </row>
    <row r="742" ht="27.6" customHeight="1" spans="1:35" x14ac:dyDescent="0.25">
      <c r="A742" s="27" t="s">
        <v>1554</v>
      </c>
      <c r="B742">
        <f t="shared" si="33"/>
        <v>0</v>
      </c>
      <c r="C742" t="s">
        <v>64</v>
      </c>
      <c r="D742" s="27" t="s">
        <v>102</v>
      </c>
      <c r="E742" t="s">
        <v>2586</v>
      </c>
      <c r="F742" s="28">
        <v>0</v>
      </c>
      <c r="G742" s="29">
        <v>1</v>
      </c>
      <c r="H742" s="30" t="s">
        <v>2587</v>
      </c>
      <c r="I742" t="s">
        <v>65</v>
      </c>
      <c r="J7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145</v>
      </c>
      <c r="L742" t="s">
        <v>146</v>
      </c>
      <c r="N742" s="29">
        <v>1</v>
      </c>
      <c r="P742" s="29">
        <v>1</v>
      </c>
      <c r="R742" s="29">
        <v>1</v>
      </c>
      <c r="S742" t="s">
        <v>70</v>
      </c>
      <c r="T742" t="s">
        <v>72</v>
      </c>
      <c r="U742" s="32">
        <v>30</v>
      </c>
      <c r="V742">
        <v>30</v>
      </c>
      <c r="W742" t="s">
        <v>79</v>
      </c>
      <c r="X742" t="s">
        <v>240</v>
      </c>
      <c r="Y742" t="s">
        <v>1557</v>
      </c>
      <c r="AA742" t="s">
        <v>75</v>
      </c>
      <c r="AC742" t="s">
        <v>83</v>
      </c>
      <c r="AE742" t="s">
        <v>75</v>
      </c>
      <c r="AF742" t="s">
        <v>84</v>
      </c>
      <c r="AG742" t="s">
        <v>84</v>
      </c>
      <c r="AH742" s="33">
        <f t="shared" si="34"/>
      </c>
      <c r="AI742" s="33">
        <f t="shared" si="35"/>
      </c>
    </row>
    <row r="743" ht="27.6" customHeight="1" spans="1:35" x14ac:dyDescent="0.25">
      <c r="A743" s="27" t="s">
        <v>2488</v>
      </c>
      <c r="B743">
        <f t="shared" si="33"/>
        <v>0</v>
      </c>
      <c r="C743" t="s">
        <v>64</v>
      </c>
      <c r="D743" s="27" t="s">
        <v>2588</v>
      </c>
      <c r="E743" t="s">
        <v>2589</v>
      </c>
      <c r="F743" s="28">
        <v>0</v>
      </c>
      <c r="G743" s="29">
        <v>1</v>
      </c>
      <c r="H743" s="30" t="s">
        <v>2590</v>
      </c>
      <c r="I743" t="s">
        <v>65</v>
      </c>
      <c r="J7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145</v>
      </c>
      <c r="L743" t="s">
        <v>146</v>
      </c>
      <c r="N743" s="29">
        <v>1</v>
      </c>
      <c r="P743" s="29">
        <v>1</v>
      </c>
      <c r="R743" s="29">
        <v>1</v>
      </c>
      <c r="S743" t="s">
        <v>70</v>
      </c>
      <c r="T743" t="s">
        <v>72</v>
      </c>
      <c r="U743" s="32">
        <v>30</v>
      </c>
      <c r="V743">
        <v>30</v>
      </c>
      <c r="W743" t="s">
        <v>79</v>
      </c>
      <c r="X743" t="s">
        <v>240</v>
      </c>
      <c r="Y743" t="s">
        <v>2589</v>
      </c>
      <c r="AA743" t="s">
        <v>75</v>
      </c>
      <c r="AC743" t="s">
        <v>83</v>
      </c>
      <c r="AE743" t="s">
        <v>75</v>
      </c>
      <c r="AF743" t="s">
        <v>84</v>
      </c>
      <c r="AG743" t="s">
        <v>84</v>
      </c>
      <c r="AH743" s="33">
        <f t="shared" si="34"/>
      </c>
      <c r="AI743" s="33">
        <f t="shared" si="35"/>
      </c>
    </row>
    <row r="744" ht="27.6" customHeight="1" spans="1:35" x14ac:dyDescent="0.25">
      <c r="A744" s="27" t="s">
        <v>2591</v>
      </c>
      <c r="B744">
        <f t="shared" si="33"/>
        <v>0</v>
      </c>
      <c r="C744" t="s">
        <v>64</v>
      </c>
      <c r="D744" s="27" t="s">
        <v>2588</v>
      </c>
      <c r="E744" t="s">
        <v>2589</v>
      </c>
      <c r="F744" s="28">
        <v>0</v>
      </c>
      <c r="G744" s="29">
        <v>1</v>
      </c>
      <c r="H744" s="30" t="s">
        <v>2592</v>
      </c>
      <c r="I744" t="s">
        <v>65</v>
      </c>
      <c r="J7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145</v>
      </c>
      <c r="L744" t="s">
        <v>146</v>
      </c>
      <c r="N744" s="29">
        <v>1</v>
      </c>
      <c r="P744" s="29">
        <v>1</v>
      </c>
      <c r="R744" s="29">
        <v>1</v>
      </c>
      <c r="S744" t="s">
        <v>70</v>
      </c>
      <c r="T744" t="s">
        <v>72</v>
      </c>
      <c r="U744" s="32">
        <v>30</v>
      </c>
      <c r="V744">
        <v>30</v>
      </c>
      <c r="W744" t="s">
        <v>79</v>
      </c>
      <c r="X744" t="s">
        <v>240</v>
      </c>
      <c r="Y744" t="s">
        <v>2589</v>
      </c>
      <c r="AA744" t="s">
        <v>75</v>
      </c>
      <c r="AC744" t="s">
        <v>83</v>
      </c>
      <c r="AE744" t="s">
        <v>75</v>
      </c>
      <c r="AF744" t="s">
        <v>84</v>
      </c>
      <c r="AG744" t="s">
        <v>84</v>
      </c>
      <c r="AH744" s="33">
        <f t="shared" si="34"/>
      </c>
      <c r="AI744" s="33">
        <f t="shared" si="35"/>
      </c>
    </row>
    <row r="745" ht="27.6" customHeight="1" spans="1:35" x14ac:dyDescent="0.25">
      <c r="A745" s="27" t="s">
        <v>2501</v>
      </c>
      <c r="B745">
        <f t="shared" si="33"/>
        <v>0</v>
      </c>
      <c r="C745" t="s">
        <v>64</v>
      </c>
      <c r="D745" s="27" t="s">
        <v>102</v>
      </c>
      <c r="E745" t="s">
        <v>2593</v>
      </c>
      <c r="F745" s="28">
        <v>0</v>
      </c>
      <c r="G745" s="29">
        <v>1</v>
      </c>
      <c r="H745" s="30" t="s">
        <v>2594</v>
      </c>
      <c r="I745" t="s">
        <v>65</v>
      </c>
      <c r="J7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145</v>
      </c>
      <c r="L745" t="s">
        <v>146</v>
      </c>
      <c r="N745" s="29">
        <v>1</v>
      </c>
      <c r="P745" s="29">
        <v>1</v>
      </c>
      <c r="R745" s="29">
        <v>1</v>
      </c>
      <c r="S745" t="s">
        <v>70</v>
      </c>
      <c r="T745" t="s">
        <v>72</v>
      </c>
      <c r="U745" s="32">
        <v>30</v>
      </c>
      <c r="V745">
        <v>30</v>
      </c>
      <c r="W745" t="s">
        <v>79</v>
      </c>
      <c r="X745" t="s">
        <v>240</v>
      </c>
      <c r="Y745" t="s">
        <v>2595</v>
      </c>
      <c r="AA745" t="s">
        <v>75</v>
      </c>
      <c r="AC745" t="s">
        <v>83</v>
      </c>
      <c r="AE745" t="s">
        <v>75</v>
      </c>
      <c r="AF745" t="s">
        <v>84</v>
      </c>
      <c r="AG745" t="s">
        <v>84</v>
      </c>
      <c r="AH745" s="33">
        <f t="shared" si="34"/>
      </c>
      <c r="AI745" s="33">
        <f t="shared" si="35"/>
      </c>
    </row>
    <row r="746" ht="27.6" customHeight="1" spans="1:35" x14ac:dyDescent="0.25">
      <c r="A746" s="27" t="s">
        <v>2596</v>
      </c>
      <c r="B746">
        <f t="shared" si="33"/>
        <v>0</v>
      </c>
      <c r="C746" t="s">
        <v>64</v>
      </c>
      <c r="D746" s="27" t="s">
        <v>102</v>
      </c>
      <c r="E746" t="s">
        <v>2597</v>
      </c>
      <c r="F746" s="28">
        <v>0</v>
      </c>
      <c r="G746" s="29">
        <v>1</v>
      </c>
      <c r="H746" s="30" t="s">
        <v>2598</v>
      </c>
      <c r="I746" t="s">
        <v>65</v>
      </c>
      <c r="J7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145</v>
      </c>
      <c r="L746" t="s">
        <v>146</v>
      </c>
      <c r="N746" s="29">
        <v>1</v>
      </c>
      <c r="P746" s="29">
        <v>1</v>
      </c>
      <c r="R746" s="29">
        <v>1</v>
      </c>
      <c r="S746" t="s">
        <v>70</v>
      </c>
      <c r="T746" t="s">
        <v>72</v>
      </c>
      <c r="U746" s="32">
        <v>30</v>
      </c>
      <c r="V746">
        <v>30</v>
      </c>
      <c r="W746" t="s">
        <v>79</v>
      </c>
      <c r="X746" t="s">
        <v>240</v>
      </c>
      <c r="Y746" t="s">
        <v>2597</v>
      </c>
      <c r="AA746" t="s">
        <v>75</v>
      </c>
      <c r="AC746" t="s">
        <v>83</v>
      </c>
      <c r="AE746" t="s">
        <v>75</v>
      </c>
      <c r="AF746" t="s">
        <v>84</v>
      </c>
      <c r="AG746" t="s">
        <v>84</v>
      </c>
      <c r="AH746" s="33">
        <f t="shared" si="34"/>
      </c>
      <c r="AI746" s="33">
        <f t="shared" si="35"/>
      </c>
    </row>
    <row r="747" ht="27.6" customHeight="1" spans="1:35" x14ac:dyDescent="0.25">
      <c r="A747" s="27" t="s">
        <v>2599</v>
      </c>
      <c r="B747">
        <f t="shared" si="33"/>
        <v>0</v>
      </c>
      <c r="C747" t="s">
        <v>64</v>
      </c>
      <c r="D747" s="27" t="s">
        <v>102</v>
      </c>
      <c r="E747" t="s">
        <v>2600</v>
      </c>
      <c r="F747" s="28">
        <v>0</v>
      </c>
      <c r="G747" s="29">
        <v>1</v>
      </c>
      <c r="H747" s="30" t="s">
        <v>2601</v>
      </c>
      <c r="I747" t="s">
        <v>65</v>
      </c>
      <c r="J7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145</v>
      </c>
      <c r="L747" t="s">
        <v>146</v>
      </c>
      <c r="N747" s="29">
        <v>1</v>
      </c>
      <c r="P747" s="29">
        <v>1</v>
      </c>
      <c r="R747" s="29">
        <v>1</v>
      </c>
      <c r="S747" t="s">
        <v>70</v>
      </c>
      <c r="T747" t="s">
        <v>72</v>
      </c>
      <c r="U747" s="32">
        <v>30</v>
      </c>
      <c r="V747">
        <v>30</v>
      </c>
      <c r="W747" t="s">
        <v>79</v>
      </c>
      <c r="X747" t="s">
        <v>240</v>
      </c>
      <c r="Y747" t="s">
        <v>2600</v>
      </c>
      <c r="AA747" t="s">
        <v>75</v>
      </c>
      <c r="AC747" t="s">
        <v>83</v>
      </c>
      <c r="AE747" t="s">
        <v>75</v>
      </c>
      <c r="AF747" t="s">
        <v>84</v>
      </c>
      <c r="AG747" t="s">
        <v>84</v>
      </c>
      <c r="AH747" s="33">
        <f t="shared" si="34"/>
      </c>
      <c r="AI747" s="33">
        <f t="shared" si="35"/>
      </c>
    </row>
    <row r="748" ht="27.6" customHeight="1" spans="1:35" x14ac:dyDescent="0.25">
      <c r="A748" s="27" t="s">
        <v>2602</v>
      </c>
      <c r="B748">
        <f t="shared" si="33"/>
        <v>0</v>
      </c>
      <c r="C748" t="s">
        <v>64</v>
      </c>
      <c r="D748" s="27" t="s">
        <v>2603</v>
      </c>
      <c r="E748" t="s">
        <v>2604</v>
      </c>
      <c r="F748" s="28">
        <v>0</v>
      </c>
      <c r="G748" s="29">
        <v>1</v>
      </c>
      <c r="H748" s="30" t="s">
        <v>2605</v>
      </c>
      <c r="I748" t="s">
        <v>65</v>
      </c>
      <c r="J7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145</v>
      </c>
      <c r="L748" t="s">
        <v>146</v>
      </c>
      <c r="N748" s="29">
        <v>1</v>
      </c>
      <c r="P748" s="29">
        <v>1</v>
      </c>
      <c r="R748" s="29">
        <v>1</v>
      </c>
      <c r="S748" t="s">
        <v>70</v>
      </c>
      <c r="T748" t="s">
        <v>72</v>
      </c>
      <c r="U748" s="32">
        <v>30</v>
      </c>
      <c r="V748">
        <v>30</v>
      </c>
      <c r="W748" t="s">
        <v>79</v>
      </c>
      <c r="X748" t="s">
        <v>171</v>
      </c>
      <c r="Y748" t="s">
        <v>2606</v>
      </c>
      <c r="AA748" t="s">
        <v>75</v>
      </c>
      <c r="AC748" t="s">
        <v>83</v>
      </c>
      <c r="AE748" t="s">
        <v>75</v>
      </c>
      <c r="AF748" t="s">
        <v>84</v>
      </c>
      <c r="AG748" t="s">
        <v>84</v>
      </c>
      <c r="AH748" s="33">
        <f t="shared" si="34"/>
      </c>
      <c r="AI748" s="33">
        <f t="shared" si="35"/>
      </c>
    </row>
    <row r="749" ht="27.6" customHeight="1" spans="1:35" x14ac:dyDescent="0.25">
      <c r="A749" s="27" t="s">
        <v>2607</v>
      </c>
      <c r="B749">
        <f t="shared" si="33"/>
        <v>0</v>
      </c>
      <c r="C749" t="s">
        <v>64</v>
      </c>
      <c r="D749" s="27" t="s">
        <v>2603</v>
      </c>
      <c r="E749" t="s">
        <v>2604</v>
      </c>
      <c r="F749" s="28">
        <v>0</v>
      </c>
      <c r="G749" s="29">
        <v>1</v>
      </c>
      <c r="H749" s="30" t="s">
        <v>2608</v>
      </c>
      <c r="I749" t="s">
        <v>65</v>
      </c>
      <c r="J7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145</v>
      </c>
      <c r="L749" t="s">
        <v>146</v>
      </c>
      <c r="N749" s="29">
        <v>1</v>
      </c>
      <c r="P749" s="29">
        <v>1</v>
      </c>
      <c r="R749" s="29">
        <v>1</v>
      </c>
      <c r="S749" t="s">
        <v>70</v>
      </c>
      <c r="T749" t="s">
        <v>72</v>
      </c>
      <c r="U749" s="32">
        <v>30</v>
      </c>
      <c r="V749">
        <v>30</v>
      </c>
      <c r="W749" t="s">
        <v>79</v>
      </c>
      <c r="X749" t="s">
        <v>171</v>
      </c>
      <c r="Y749" t="s">
        <v>2606</v>
      </c>
      <c r="AA749" t="s">
        <v>75</v>
      </c>
      <c r="AC749" t="s">
        <v>83</v>
      </c>
      <c r="AE749" t="s">
        <v>75</v>
      </c>
      <c r="AF749" t="s">
        <v>84</v>
      </c>
      <c r="AG749" t="s">
        <v>84</v>
      </c>
      <c r="AH749" s="33">
        <f t="shared" si="34"/>
      </c>
      <c r="AI749" s="33">
        <f t="shared" si="35"/>
      </c>
    </row>
    <row r="750" ht="27.6" customHeight="1" spans="1:35" x14ac:dyDescent="0.25">
      <c r="A750" s="27" t="s">
        <v>2609</v>
      </c>
      <c r="B750">
        <f t="shared" si="33"/>
        <v>0</v>
      </c>
      <c r="C750" t="s">
        <v>64</v>
      </c>
      <c r="D750" s="27" t="s">
        <v>2610</v>
      </c>
      <c r="E750" t="s">
        <v>2611</v>
      </c>
      <c r="F750" s="28">
        <v>0</v>
      </c>
      <c r="G750" s="29">
        <v>1</v>
      </c>
      <c r="H750" s="30" t="s">
        <v>2612</v>
      </c>
      <c r="I750" t="s">
        <v>65</v>
      </c>
      <c r="J7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145</v>
      </c>
      <c r="L750" t="s">
        <v>146</v>
      </c>
      <c r="N750" s="29">
        <v>1</v>
      </c>
      <c r="P750" s="29">
        <v>1</v>
      </c>
      <c r="R750" s="29">
        <v>1</v>
      </c>
      <c r="S750" t="s">
        <v>70</v>
      </c>
      <c r="T750" t="s">
        <v>72</v>
      </c>
      <c r="U750" s="32">
        <v>30</v>
      </c>
      <c r="V750">
        <v>30</v>
      </c>
      <c r="W750" t="s">
        <v>79</v>
      </c>
      <c r="X750" t="s">
        <v>171</v>
      </c>
      <c r="Y750" t="s">
        <v>2613</v>
      </c>
      <c r="AA750" t="s">
        <v>75</v>
      </c>
      <c r="AC750" t="s">
        <v>83</v>
      </c>
      <c r="AE750" t="s">
        <v>75</v>
      </c>
      <c r="AF750" t="s">
        <v>84</v>
      </c>
      <c r="AG750" t="s">
        <v>84</v>
      </c>
      <c r="AH750" s="33">
        <f t="shared" si="34"/>
      </c>
      <c r="AI750" s="33">
        <f t="shared" si="35"/>
      </c>
    </row>
    <row r="751" ht="27.6" customHeight="1" spans="1:35" x14ac:dyDescent="0.25">
      <c r="A751" s="27" t="s">
        <v>2614</v>
      </c>
      <c r="B751">
        <f t="shared" si="33"/>
        <v>0</v>
      </c>
      <c r="C751" t="s">
        <v>64</v>
      </c>
      <c r="D751" s="27" t="s">
        <v>2610</v>
      </c>
      <c r="E751" t="s">
        <v>2611</v>
      </c>
      <c r="F751" s="28">
        <v>0</v>
      </c>
      <c r="G751" s="29">
        <v>1</v>
      </c>
      <c r="H751" s="30" t="s">
        <v>2615</v>
      </c>
      <c r="I751" t="s">
        <v>65</v>
      </c>
      <c r="J7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145</v>
      </c>
      <c r="L751" t="s">
        <v>146</v>
      </c>
      <c r="N751" s="29">
        <v>1</v>
      </c>
      <c r="P751" s="29">
        <v>1</v>
      </c>
      <c r="R751" s="29">
        <v>1</v>
      </c>
      <c r="S751" t="s">
        <v>70</v>
      </c>
      <c r="T751" t="s">
        <v>72</v>
      </c>
      <c r="U751" s="32">
        <v>30</v>
      </c>
      <c r="V751">
        <v>30</v>
      </c>
      <c r="W751" t="s">
        <v>79</v>
      </c>
      <c r="X751" t="s">
        <v>171</v>
      </c>
      <c r="Y751" t="s">
        <v>2613</v>
      </c>
      <c r="AA751" t="s">
        <v>75</v>
      </c>
      <c r="AC751" t="s">
        <v>83</v>
      </c>
      <c r="AE751" t="s">
        <v>75</v>
      </c>
      <c r="AF751" t="s">
        <v>84</v>
      </c>
      <c r="AG751" t="s">
        <v>84</v>
      </c>
      <c r="AH751" s="33">
        <f t="shared" si="34"/>
      </c>
      <c r="AI751" s="33">
        <f t="shared" si="35"/>
      </c>
    </row>
    <row r="752" ht="27.6" customHeight="1" spans="1:35" x14ac:dyDescent="0.25">
      <c r="A752" s="27" t="s">
        <v>2616</v>
      </c>
      <c r="B752">
        <f t="shared" si="33"/>
        <v>0</v>
      </c>
      <c r="C752" t="s">
        <v>64</v>
      </c>
      <c r="D752" s="27" t="s">
        <v>2617</v>
      </c>
      <c r="E752" t="s">
        <v>2618</v>
      </c>
      <c r="F752" s="28">
        <v>0</v>
      </c>
      <c r="G752" s="29">
        <v>1</v>
      </c>
      <c r="H752" s="30" t="s">
        <v>2619</v>
      </c>
      <c r="I752" t="s">
        <v>65</v>
      </c>
      <c r="J7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145</v>
      </c>
      <c r="L752" t="s">
        <v>146</v>
      </c>
      <c r="N752" s="29">
        <v>1</v>
      </c>
      <c r="P752" s="29">
        <v>1</v>
      </c>
      <c r="R752" s="29">
        <v>1</v>
      </c>
      <c r="S752" t="s">
        <v>70</v>
      </c>
      <c r="T752" t="s">
        <v>72</v>
      </c>
      <c r="U752" s="32">
        <v>30</v>
      </c>
      <c r="V752">
        <v>30</v>
      </c>
      <c r="W752" t="s">
        <v>79</v>
      </c>
      <c r="X752" t="s">
        <v>171</v>
      </c>
      <c r="Y752" t="s">
        <v>2620</v>
      </c>
      <c r="AA752" t="s">
        <v>75</v>
      </c>
      <c r="AC752" t="s">
        <v>83</v>
      </c>
      <c r="AE752" t="s">
        <v>75</v>
      </c>
      <c r="AF752" t="s">
        <v>84</v>
      </c>
      <c r="AG752" t="s">
        <v>84</v>
      </c>
      <c r="AH752" s="33">
        <f t="shared" si="34"/>
      </c>
      <c r="AI752" s="33">
        <f t="shared" si="35"/>
      </c>
    </row>
    <row r="753" ht="27.6" customHeight="1" spans="1:35" x14ac:dyDescent="0.25">
      <c r="A753" s="27" t="s">
        <v>2621</v>
      </c>
      <c r="B753">
        <f t="shared" si="33"/>
        <v>0</v>
      </c>
      <c r="C753" t="s">
        <v>64</v>
      </c>
      <c r="D753" s="27" t="s">
        <v>102</v>
      </c>
      <c r="E753" t="s">
        <v>2622</v>
      </c>
      <c r="F753" s="28">
        <v>0</v>
      </c>
      <c r="G753" s="29">
        <v>1</v>
      </c>
      <c r="H753" s="30" t="s">
        <v>2623</v>
      </c>
      <c r="I753" t="s">
        <v>65</v>
      </c>
      <c r="J7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145</v>
      </c>
      <c r="L753" t="s">
        <v>146</v>
      </c>
      <c r="N753" s="29">
        <v>1</v>
      </c>
      <c r="P753" s="29">
        <v>1</v>
      </c>
      <c r="R753" s="29">
        <v>1</v>
      </c>
      <c r="S753" t="s">
        <v>70</v>
      </c>
      <c r="T753" t="s">
        <v>72</v>
      </c>
      <c r="U753" s="32">
        <v>30</v>
      </c>
      <c r="V753">
        <v>30</v>
      </c>
      <c r="W753" t="s">
        <v>79</v>
      </c>
      <c r="X753" t="s">
        <v>770</v>
      </c>
      <c r="Y753" t="s">
        <v>2622</v>
      </c>
      <c r="AA753" t="s">
        <v>75</v>
      </c>
      <c r="AC753" t="s">
        <v>83</v>
      </c>
      <c r="AE753" t="s">
        <v>75</v>
      </c>
      <c r="AF753" t="s">
        <v>84</v>
      </c>
      <c r="AG753" t="s">
        <v>84</v>
      </c>
      <c r="AH753" s="33">
        <f t="shared" si="34"/>
      </c>
      <c r="AI753" s="33">
        <f t="shared" si="35"/>
      </c>
    </row>
    <row r="754" ht="27.6" customHeight="1" spans="1:35" x14ac:dyDescent="0.25">
      <c r="A754" s="27" t="s">
        <v>2624</v>
      </c>
      <c r="B754">
        <f t="shared" si="33"/>
        <v>0</v>
      </c>
      <c r="C754" t="s">
        <v>64</v>
      </c>
      <c r="D754" s="27" t="s">
        <v>2625</v>
      </c>
      <c r="E754" t="s">
        <v>2626</v>
      </c>
      <c r="F754" s="28">
        <v>0</v>
      </c>
      <c r="G754" s="29">
        <v>1</v>
      </c>
      <c r="H754" s="30" t="s">
        <v>2627</v>
      </c>
      <c r="I754" t="s">
        <v>65</v>
      </c>
      <c r="J7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145</v>
      </c>
      <c r="L754" t="s">
        <v>146</v>
      </c>
      <c r="N754" s="29">
        <v>1</v>
      </c>
      <c r="P754" s="29">
        <v>1</v>
      </c>
      <c r="R754" s="29">
        <v>1</v>
      </c>
      <c r="S754" t="s">
        <v>70</v>
      </c>
      <c r="T754" t="s">
        <v>72</v>
      </c>
      <c r="U754" s="32">
        <v>30</v>
      </c>
      <c r="V754">
        <v>30</v>
      </c>
      <c r="W754" t="s">
        <v>79</v>
      </c>
      <c r="X754" t="s">
        <v>171</v>
      </c>
      <c r="Y754" t="s">
        <v>2628</v>
      </c>
      <c r="AA754" t="s">
        <v>75</v>
      </c>
      <c r="AC754" t="s">
        <v>83</v>
      </c>
      <c r="AE754" t="s">
        <v>75</v>
      </c>
      <c r="AF754" t="s">
        <v>84</v>
      </c>
      <c r="AG754" t="s">
        <v>84</v>
      </c>
      <c r="AH754" s="33">
        <f t="shared" si="34"/>
      </c>
      <c r="AI754" s="33">
        <f t="shared" si="35"/>
      </c>
    </row>
    <row r="755" ht="27.6" customHeight="1" spans="1:35" x14ac:dyDescent="0.25">
      <c r="A755" s="27" t="s">
        <v>2629</v>
      </c>
      <c r="B755">
        <f t="shared" si="33"/>
        <v>0</v>
      </c>
      <c r="C755" t="s">
        <v>64</v>
      </c>
      <c r="D755" s="27" t="s">
        <v>2630</v>
      </c>
      <c r="E755" t="s">
        <v>2631</v>
      </c>
      <c r="F755" s="28">
        <v>0</v>
      </c>
      <c r="G755" s="29">
        <v>1</v>
      </c>
      <c r="H755" s="30" t="s">
        <v>2632</v>
      </c>
      <c r="I755" t="s">
        <v>65</v>
      </c>
      <c r="J7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145</v>
      </c>
      <c r="L755" t="s">
        <v>146</v>
      </c>
      <c r="N755" s="29">
        <v>1</v>
      </c>
      <c r="P755" s="29">
        <v>1</v>
      </c>
      <c r="R755" s="29">
        <v>1</v>
      </c>
      <c r="S755" t="s">
        <v>70</v>
      </c>
      <c r="T755" t="s">
        <v>72</v>
      </c>
      <c r="U755" s="32">
        <v>30</v>
      </c>
      <c r="V755">
        <v>30</v>
      </c>
      <c r="W755" t="s">
        <v>79</v>
      </c>
      <c r="X755" t="s">
        <v>171</v>
      </c>
      <c r="Y755" t="s">
        <v>2633</v>
      </c>
      <c r="AA755" t="s">
        <v>75</v>
      </c>
      <c r="AC755" t="s">
        <v>83</v>
      </c>
      <c r="AE755" t="s">
        <v>75</v>
      </c>
      <c r="AF755" t="s">
        <v>84</v>
      </c>
      <c r="AG755" t="s">
        <v>84</v>
      </c>
      <c r="AH755" s="33">
        <f t="shared" si="34"/>
      </c>
      <c r="AI755" s="33">
        <f t="shared" si="35"/>
      </c>
    </row>
    <row r="756" ht="27.6" customHeight="1" spans="1:35" x14ac:dyDescent="0.25">
      <c r="A756" s="27" t="s">
        <v>2634</v>
      </c>
      <c r="B756">
        <f t="shared" si="33"/>
        <v>0</v>
      </c>
      <c r="C756" t="s">
        <v>64</v>
      </c>
      <c r="D756" s="27" t="s">
        <v>102</v>
      </c>
      <c r="E756" t="s">
        <v>2635</v>
      </c>
      <c r="F756" s="28">
        <v>0</v>
      </c>
      <c r="G756" s="29">
        <v>1</v>
      </c>
      <c r="H756" s="30" t="s">
        <v>2636</v>
      </c>
      <c r="I756" t="s">
        <v>65</v>
      </c>
      <c r="J7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145</v>
      </c>
      <c r="L756" t="s">
        <v>146</v>
      </c>
      <c r="N756" s="29">
        <v>1</v>
      </c>
      <c r="P756" s="29">
        <v>1</v>
      </c>
      <c r="R756" s="29">
        <v>1</v>
      </c>
      <c r="S756" t="s">
        <v>70</v>
      </c>
      <c r="T756" t="s">
        <v>72</v>
      </c>
      <c r="U756" s="32">
        <v>30</v>
      </c>
      <c r="V756">
        <v>30</v>
      </c>
      <c r="W756" t="s">
        <v>79</v>
      </c>
      <c r="X756" t="s">
        <v>770</v>
      </c>
      <c r="Y756" t="s">
        <v>2635</v>
      </c>
      <c r="AA756" t="s">
        <v>75</v>
      </c>
      <c r="AC756" t="s">
        <v>83</v>
      </c>
      <c r="AE756" t="s">
        <v>75</v>
      </c>
      <c r="AF756" t="s">
        <v>84</v>
      </c>
      <c r="AG756" t="s">
        <v>84</v>
      </c>
      <c r="AH756" s="33">
        <f t="shared" si="34"/>
      </c>
      <c r="AI756" s="33">
        <f t="shared" si="35"/>
      </c>
    </row>
    <row r="757" ht="27.6" customHeight="1" spans="1:35" x14ac:dyDescent="0.25">
      <c r="A757" s="27" t="s">
        <v>2637</v>
      </c>
      <c r="B757">
        <f t="shared" si="33"/>
        <v>0</v>
      </c>
      <c r="C757" t="s">
        <v>64</v>
      </c>
      <c r="D757" s="27" t="s">
        <v>102</v>
      </c>
      <c r="E757" t="s">
        <v>2638</v>
      </c>
      <c r="F757" s="28">
        <v>0</v>
      </c>
      <c r="G757" s="29">
        <v>1</v>
      </c>
      <c r="H757" s="30" t="s">
        <v>2639</v>
      </c>
      <c r="I757" t="s">
        <v>65</v>
      </c>
      <c r="J7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145</v>
      </c>
      <c r="L757" t="s">
        <v>146</v>
      </c>
      <c r="N757" s="29">
        <v>1</v>
      </c>
      <c r="P757" s="29">
        <v>1</v>
      </c>
      <c r="R757" s="29">
        <v>1</v>
      </c>
      <c r="S757" t="s">
        <v>70</v>
      </c>
      <c r="T757" t="s">
        <v>72</v>
      </c>
      <c r="U757" s="32">
        <v>30</v>
      </c>
      <c r="V757">
        <v>30</v>
      </c>
      <c r="W757" t="s">
        <v>79</v>
      </c>
      <c r="X757" t="s">
        <v>171</v>
      </c>
      <c r="Y757" t="s">
        <v>2638</v>
      </c>
      <c r="AA757" t="s">
        <v>75</v>
      </c>
      <c r="AC757" t="s">
        <v>83</v>
      </c>
      <c r="AE757" t="s">
        <v>75</v>
      </c>
      <c r="AF757" t="s">
        <v>84</v>
      </c>
      <c r="AG757" t="s">
        <v>84</v>
      </c>
      <c r="AH757" s="33">
        <f t="shared" si="34"/>
      </c>
      <c r="AI757" s="33">
        <f t="shared" si="35"/>
      </c>
    </row>
    <row r="758" ht="27.6" customHeight="1" spans="1:35" x14ac:dyDescent="0.25">
      <c r="A758" s="27" t="s">
        <v>2640</v>
      </c>
      <c r="B758">
        <f t="shared" si="33"/>
        <v>0</v>
      </c>
      <c r="C758" t="s">
        <v>64</v>
      </c>
      <c r="D758" s="27" t="s">
        <v>102</v>
      </c>
      <c r="E758" t="s">
        <v>2641</v>
      </c>
      <c r="F758" s="28">
        <v>0</v>
      </c>
      <c r="G758" s="29">
        <v>1</v>
      </c>
      <c r="H758" s="30" t="s">
        <v>2642</v>
      </c>
      <c r="I758" t="s">
        <v>65</v>
      </c>
      <c r="J7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145</v>
      </c>
      <c r="L758" t="s">
        <v>146</v>
      </c>
      <c r="N758" s="29">
        <v>1</v>
      </c>
      <c r="P758" s="29">
        <v>1</v>
      </c>
      <c r="R758" s="29">
        <v>1</v>
      </c>
      <c r="S758" t="s">
        <v>70</v>
      </c>
      <c r="T758" t="s">
        <v>72</v>
      </c>
      <c r="U758" s="32">
        <v>30</v>
      </c>
      <c r="V758">
        <v>30</v>
      </c>
      <c r="W758" t="s">
        <v>79</v>
      </c>
      <c r="X758" t="s">
        <v>171</v>
      </c>
      <c r="Y758" t="s">
        <v>2641</v>
      </c>
      <c r="AA758" t="s">
        <v>75</v>
      </c>
      <c r="AC758" t="s">
        <v>83</v>
      </c>
      <c r="AE758" t="s">
        <v>75</v>
      </c>
      <c r="AF758" t="s">
        <v>84</v>
      </c>
      <c r="AG758" t="s">
        <v>84</v>
      </c>
      <c r="AH758" s="33">
        <f t="shared" si="34"/>
      </c>
      <c r="AI758" s="33">
        <f t="shared" si="35"/>
      </c>
    </row>
    <row r="759" ht="27.6" customHeight="1" spans="1:35" x14ac:dyDescent="0.25">
      <c r="A759" s="27" t="s">
        <v>2643</v>
      </c>
      <c r="B759">
        <f t="shared" si="33"/>
        <v>0</v>
      </c>
      <c r="C759" t="s">
        <v>64</v>
      </c>
      <c r="D759" s="27" t="s">
        <v>102</v>
      </c>
      <c r="E759" t="s">
        <v>2644</v>
      </c>
      <c r="F759" s="28">
        <v>0</v>
      </c>
      <c r="G759" s="29">
        <v>1</v>
      </c>
      <c r="H759" s="30" t="s">
        <v>2645</v>
      </c>
      <c r="I759" t="s">
        <v>65</v>
      </c>
      <c r="J7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145</v>
      </c>
      <c r="L759" t="s">
        <v>146</v>
      </c>
      <c r="N759" s="29">
        <v>1</v>
      </c>
      <c r="P759" s="29">
        <v>1</v>
      </c>
      <c r="R759" s="29">
        <v>1</v>
      </c>
      <c r="S759" t="s">
        <v>70</v>
      </c>
      <c r="T759" t="s">
        <v>72</v>
      </c>
      <c r="U759" s="32">
        <v>30</v>
      </c>
      <c r="V759">
        <v>30</v>
      </c>
      <c r="W759" t="s">
        <v>79</v>
      </c>
      <c r="X759" t="s">
        <v>770</v>
      </c>
      <c r="Y759" t="s">
        <v>2644</v>
      </c>
      <c r="AA759" t="s">
        <v>75</v>
      </c>
      <c r="AC759" t="s">
        <v>83</v>
      </c>
      <c r="AE759" t="s">
        <v>75</v>
      </c>
      <c r="AF759" t="s">
        <v>84</v>
      </c>
      <c r="AG759" t="s">
        <v>84</v>
      </c>
      <c r="AH759" s="33">
        <f t="shared" si="34"/>
      </c>
      <c r="AI759" s="33">
        <f t="shared" si="35"/>
      </c>
    </row>
    <row r="760" ht="27.6" customHeight="1" spans="1:35" x14ac:dyDescent="0.25">
      <c r="A760" s="27" t="s">
        <v>2646</v>
      </c>
      <c r="B760">
        <f t="shared" si="33"/>
        <v>0</v>
      </c>
      <c r="C760" t="s">
        <v>64</v>
      </c>
      <c r="D760" s="27" t="s">
        <v>102</v>
      </c>
      <c r="E760" t="s">
        <v>2647</v>
      </c>
      <c r="F760" s="28">
        <v>0</v>
      </c>
      <c r="G760" s="29">
        <v>1</v>
      </c>
      <c r="H760" s="30" t="s">
        <v>2648</v>
      </c>
      <c r="I760" t="s">
        <v>65</v>
      </c>
      <c r="J7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145</v>
      </c>
      <c r="L760" t="s">
        <v>146</v>
      </c>
      <c r="N760" s="29">
        <v>1</v>
      </c>
      <c r="P760" s="29">
        <v>1</v>
      </c>
      <c r="R760" s="29">
        <v>1</v>
      </c>
      <c r="S760" t="s">
        <v>70</v>
      </c>
      <c r="T760" t="s">
        <v>72</v>
      </c>
      <c r="U760" s="32">
        <v>30</v>
      </c>
      <c r="V760">
        <v>30</v>
      </c>
      <c r="W760" t="s">
        <v>79</v>
      </c>
      <c r="X760" t="s">
        <v>171</v>
      </c>
      <c r="Y760" t="s">
        <v>2649</v>
      </c>
      <c r="AA760" t="s">
        <v>75</v>
      </c>
      <c r="AC760" t="s">
        <v>83</v>
      </c>
      <c r="AE760" t="s">
        <v>75</v>
      </c>
      <c r="AF760" t="s">
        <v>84</v>
      </c>
      <c r="AG760" t="s">
        <v>84</v>
      </c>
      <c r="AH760" s="33">
        <f t="shared" si="34"/>
      </c>
      <c r="AI760" s="33">
        <f t="shared" si="35"/>
      </c>
    </row>
    <row r="761" ht="27.6" customHeight="1" spans="1:35" x14ac:dyDescent="0.25">
      <c r="A761" s="27" t="s">
        <v>2650</v>
      </c>
      <c r="B761">
        <f t="shared" si="33"/>
        <v>0</v>
      </c>
      <c r="C761" t="s">
        <v>64</v>
      </c>
      <c r="D761" s="27" t="s">
        <v>102</v>
      </c>
      <c r="E761" t="s">
        <v>2651</v>
      </c>
      <c r="F761" s="28">
        <v>0</v>
      </c>
      <c r="G761" s="29">
        <v>1</v>
      </c>
      <c r="H761" s="30" t="s">
        <v>2652</v>
      </c>
      <c r="I761" t="s">
        <v>65</v>
      </c>
      <c r="J7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145</v>
      </c>
      <c r="L761" t="s">
        <v>146</v>
      </c>
      <c r="N761" s="29">
        <v>1</v>
      </c>
      <c r="P761" s="29">
        <v>1</v>
      </c>
      <c r="R761" s="29">
        <v>1</v>
      </c>
      <c r="S761" t="s">
        <v>70</v>
      </c>
      <c r="T761" t="s">
        <v>72</v>
      </c>
      <c r="U761" s="32">
        <v>30</v>
      </c>
      <c r="V761">
        <v>30</v>
      </c>
      <c r="W761" t="s">
        <v>79</v>
      </c>
      <c r="X761" t="s">
        <v>171</v>
      </c>
      <c r="Y761" t="s">
        <v>2653</v>
      </c>
      <c r="AA761" t="s">
        <v>75</v>
      </c>
      <c r="AC761" t="s">
        <v>83</v>
      </c>
      <c r="AE761" t="s">
        <v>75</v>
      </c>
      <c r="AF761" t="s">
        <v>84</v>
      </c>
      <c r="AG761" t="s">
        <v>84</v>
      </c>
      <c r="AH761" s="33">
        <f t="shared" si="34"/>
      </c>
      <c r="AI761" s="33">
        <f t="shared" si="35"/>
      </c>
    </row>
    <row r="762" ht="27.6" customHeight="1" spans="1:35" x14ac:dyDescent="0.25">
      <c r="A762" s="27" t="s">
        <v>2654</v>
      </c>
      <c r="B762">
        <f t="shared" si="33"/>
        <v>0</v>
      </c>
      <c r="C762" t="s">
        <v>64</v>
      </c>
      <c r="D762" s="27" t="s">
        <v>102</v>
      </c>
      <c r="E762" t="s">
        <v>2655</v>
      </c>
      <c r="F762" s="28">
        <v>0</v>
      </c>
      <c r="G762" s="29">
        <v>1</v>
      </c>
      <c r="H762" s="30" t="s">
        <v>2656</v>
      </c>
      <c r="I762" t="s">
        <v>65</v>
      </c>
      <c r="J7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145</v>
      </c>
      <c r="L762" t="s">
        <v>146</v>
      </c>
      <c r="N762" s="29">
        <v>1</v>
      </c>
      <c r="P762" s="29">
        <v>1</v>
      </c>
      <c r="R762" s="29">
        <v>1</v>
      </c>
      <c r="S762" t="s">
        <v>70</v>
      </c>
      <c r="T762" t="s">
        <v>72</v>
      </c>
      <c r="U762" s="32">
        <v>30</v>
      </c>
      <c r="V762">
        <v>30</v>
      </c>
      <c r="W762" t="s">
        <v>79</v>
      </c>
      <c r="X762" t="s">
        <v>171</v>
      </c>
      <c r="Y762" t="s">
        <v>2655</v>
      </c>
      <c r="AA762" t="s">
        <v>75</v>
      </c>
      <c r="AC762" t="s">
        <v>83</v>
      </c>
      <c r="AE762" t="s">
        <v>75</v>
      </c>
      <c r="AF762" t="s">
        <v>84</v>
      </c>
      <c r="AG762" t="s">
        <v>84</v>
      </c>
      <c r="AH762" s="33">
        <f t="shared" si="34"/>
      </c>
      <c r="AI762" s="33">
        <f t="shared" si="35"/>
      </c>
    </row>
    <row r="763" ht="27.6" customHeight="1" spans="1:35" x14ac:dyDescent="0.25">
      <c r="A763" s="27" t="s">
        <v>2657</v>
      </c>
      <c r="B763">
        <f t="shared" si="33"/>
        <v>0</v>
      </c>
      <c r="C763" t="s">
        <v>64</v>
      </c>
      <c r="D763" s="27" t="s">
        <v>102</v>
      </c>
      <c r="E763" t="s">
        <v>2658</v>
      </c>
      <c r="F763" s="28">
        <v>0</v>
      </c>
      <c r="G763" s="29">
        <v>1</v>
      </c>
      <c r="H763" s="30" t="s">
        <v>2659</v>
      </c>
      <c r="I763" t="s">
        <v>65</v>
      </c>
      <c r="J7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145</v>
      </c>
      <c r="L763" t="s">
        <v>146</v>
      </c>
      <c r="N763" s="29">
        <v>1</v>
      </c>
      <c r="P763" s="29">
        <v>1</v>
      </c>
      <c r="R763" s="29">
        <v>1</v>
      </c>
      <c r="S763" t="s">
        <v>70</v>
      </c>
      <c r="T763" t="s">
        <v>72</v>
      </c>
      <c r="U763" s="32">
        <v>30</v>
      </c>
      <c r="V763">
        <v>30</v>
      </c>
      <c r="W763" t="s">
        <v>79</v>
      </c>
      <c r="X763" t="s">
        <v>171</v>
      </c>
      <c r="Y763" t="s">
        <v>2658</v>
      </c>
      <c r="AA763" t="s">
        <v>75</v>
      </c>
      <c r="AC763" t="s">
        <v>83</v>
      </c>
      <c r="AE763" t="s">
        <v>75</v>
      </c>
      <c r="AF763" t="s">
        <v>84</v>
      </c>
      <c r="AG763" t="s">
        <v>84</v>
      </c>
      <c r="AH763" s="33">
        <f t="shared" si="34"/>
      </c>
      <c r="AI763" s="33">
        <f t="shared" si="35"/>
      </c>
    </row>
    <row r="764" ht="27.6" customHeight="1" spans="1:35" x14ac:dyDescent="0.25">
      <c r="A764" s="27" t="s">
        <v>1351</v>
      </c>
      <c r="B764">
        <f t="shared" si="33"/>
        <v>0</v>
      </c>
      <c r="C764" t="s">
        <v>64</v>
      </c>
      <c r="D764" s="27" t="s">
        <v>2660</v>
      </c>
      <c r="E764" t="s">
        <v>2661</v>
      </c>
      <c r="F764" s="28">
        <v>0</v>
      </c>
      <c r="G764" s="29">
        <v>1</v>
      </c>
      <c r="H764" s="30" t="s">
        <v>2662</v>
      </c>
      <c r="I764" t="s">
        <v>65</v>
      </c>
      <c r="J7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145</v>
      </c>
      <c r="L764" t="s">
        <v>146</v>
      </c>
      <c r="N764" s="29">
        <v>1</v>
      </c>
      <c r="P764" s="29">
        <v>1</v>
      </c>
      <c r="R764" s="29">
        <v>1</v>
      </c>
      <c r="S764" t="s">
        <v>70</v>
      </c>
      <c r="T764" t="s">
        <v>72</v>
      </c>
      <c r="U764" s="32">
        <v>30</v>
      </c>
      <c r="V764">
        <v>30</v>
      </c>
      <c r="W764" t="s">
        <v>79</v>
      </c>
      <c r="X764" t="s">
        <v>171</v>
      </c>
      <c r="Y764" t="s">
        <v>2663</v>
      </c>
      <c r="AA764" t="s">
        <v>75</v>
      </c>
      <c r="AC764" t="s">
        <v>83</v>
      </c>
      <c r="AE764" t="s">
        <v>75</v>
      </c>
      <c r="AF764" t="s">
        <v>84</v>
      </c>
      <c r="AG764" t="s">
        <v>84</v>
      </c>
      <c r="AH764" s="33">
        <f t="shared" si="34"/>
      </c>
      <c r="AI764" s="33">
        <f t="shared" si="35"/>
      </c>
    </row>
    <row r="765" ht="27.6" customHeight="1" spans="1:35" x14ac:dyDescent="0.25">
      <c r="A765" s="27" t="s">
        <v>1355</v>
      </c>
      <c r="B765">
        <f t="shared" si="33"/>
        <v>0</v>
      </c>
      <c r="C765" t="s">
        <v>64</v>
      </c>
      <c r="D765" s="27" t="s">
        <v>2660</v>
      </c>
      <c r="E765" t="s">
        <v>2661</v>
      </c>
      <c r="F765" s="28">
        <v>0</v>
      </c>
      <c r="G765" s="29">
        <v>1</v>
      </c>
      <c r="H765" s="30" t="s">
        <v>2664</v>
      </c>
      <c r="I765" t="s">
        <v>65</v>
      </c>
      <c r="J7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145</v>
      </c>
      <c r="L765" t="s">
        <v>146</v>
      </c>
      <c r="N765" s="29">
        <v>1</v>
      </c>
      <c r="P765" s="29">
        <v>1</v>
      </c>
      <c r="R765" s="29">
        <v>1</v>
      </c>
      <c r="S765" t="s">
        <v>70</v>
      </c>
      <c r="T765" t="s">
        <v>72</v>
      </c>
      <c r="U765" s="32">
        <v>30</v>
      </c>
      <c r="V765">
        <v>30</v>
      </c>
      <c r="W765" t="s">
        <v>79</v>
      </c>
      <c r="X765" t="s">
        <v>171</v>
      </c>
      <c r="Y765" t="s">
        <v>2663</v>
      </c>
      <c r="AA765" t="s">
        <v>75</v>
      </c>
      <c r="AC765" t="s">
        <v>83</v>
      </c>
      <c r="AE765" t="s">
        <v>75</v>
      </c>
      <c r="AF765" t="s">
        <v>84</v>
      </c>
      <c r="AG765" t="s">
        <v>84</v>
      </c>
      <c r="AH765" s="33">
        <f t="shared" si="34"/>
      </c>
      <c r="AI765" s="33">
        <f t="shared" si="35"/>
      </c>
    </row>
    <row r="766" ht="27.6" customHeight="1" spans="1:35" x14ac:dyDescent="0.25">
      <c r="A766" s="27" t="s">
        <v>1393</v>
      </c>
      <c r="B766">
        <f t="shared" si="33"/>
        <v>0</v>
      </c>
      <c r="C766" t="s">
        <v>64</v>
      </c>
      <c r="D766" s="27" t="s">
        <v>2665</v>
      </c>
      <c r="E766" t="s">
        <v>2666</v>
      </c>
      <c r="F766" s="28">
        <v>0</v>
      </c>
      <c r="G766" s="29">
        <v>1</v>
      </c>
      <c r="H766" s="30" t="s">
        <v>2667</v>
      </c>
      <c r="I766" t="s">
        <v>65</v>
      </c>
      <c r="J7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145</v>
      </c>
      <c r="L766" t="s">
        <v>146</v>
      </c>
      <c r="N766" s="29">
        <v>1</v>
      </c>
      <c r="P766" s="29">
        <v>1</v>
      </c>
      <c r="R766" s="29">
        <v>1</v>
      </c>
      <c r="S766" t="s">
        <v>70</v>
      </c>
      <c r="T766" t="s">
        <v>72</v>
      </c>
      <c r="U766" s="32">
        <v>30</v>
      </c>
      <c r="V766">
        <v>30</v>
      </c>
      <c r="W766" t="s">
        <v>79</v>
      </c>
      <c r="X766" t="s">
        <v>171</v>
      </c>
      <c r="Y766" t="s">
        <v>2668</v>
      </c>
      <c r="AA766" t="s">
        <v>75</v>
      </c>
      <c r="AC766" t="s">
        <v>83</v>
      </c>
      <c r="AE766" t="s">
        <v>75</v>
      </c>
      <c r="AF766" t="s">
        <v>84</v>
      </c>
      <c r="AG766" t="s">
        <v>84</v>
      </c>
      <c r="AH766" s="33">
        <f t="shared" si="34"/>
      </c>
      <c r="AI766" s="33">
        <f t="shared" si="35"/>
      </c>
    </row>
    <row r="767" ht="27.6" customHeight="1" spans="1:35" x14ac:dyDescent="0.25">
      <c r="A767" s="27" t="s">
        <v>242</v>
      </c>
      <c r="B767">
        <f t="shared" si="33"/>
        <v>0</v>
      </c>
      <c r="C767" t="s">
        <v>64</v>
      </c>
      <c r="D767" s="27" t="s">
        <v>102</v>
      </c>
      <c r="E767" t="s">
        <v>2669</v>
      </c>
      <c r="F767" s="28">
        <v>0</v>
      </c>
      <c r="G767" s="29">
        <v>1</v>
      </c>
      <c r="H767" s="30" t="s">
        <v>2670</v>
      </c>
      <c r="I767" t="s">
        <v>65</v>
      </c>
      <c r="J7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145</v>
      </c>
      <c r="L767" t="s">
        <v>146</v>
      </c>
      <c r="N767" s="29">
        <v>1</v>
      </c>
      <c r="P767" s="29">
        <v>1</v>
      </c>
      <c r="R767" s="29">
        <v>1</v>
      </c>
      <c r="S767" t="s">
        <v>70</v>
      </c>
      <c r="T767" t="s">
        <v>72</v>
      </c>
      <c r="U767" s="32">
        <v>30</v>
      </c>
      <c r="V767">
        <v>30</v>
      </c>
      <c r="W767" t="s">
        <v>79</v>
      </c>
      <c r="X767" t="s">
        <v>166</v>
      </c>
      <c r="Y767" t="s">
        <v>2671</v>
      </c>
      <c r="AA767" t="s">
        <v>75</v>
      </c>
      <c r="AC767" t="s">
        <v>83</v>
      </c>
      <c r="AE767" t="s">
        <v>75</v>
      </c>
      <c r="AF767" t="s">
        <v>84</v>
      </c>
      <c r="AG767" t="s">
        <v>84</v>
      </c>
      <c r="AH767" s="33">
        <f t="shared" si="34"/>
      </c>
      <c r="AI767" s="33">
        <f t="shared" si="35"/>
      </c>
    </row>
    <row r="768" ht="27.6" customHeight="1" spans="1:35" x14ac:dyDescent="0.25">
      <c r="A768" s="27" t="s">
        <v>2672</v>
      </c>
      <c r="B768">
        <f t="shared" si="33"/>
        <v>0</v>
      </c>
      <c r="C768" t="s">
        <v>64</v>
      </c>
      <c r="D768" s="27" t="s">
        <v>2673</v>
      </c>
      <c r="E768" t="s">
        <v>2674</v>
      </c>
      <c r="F768" s="28">
        <v>0</v>
      </c>
      <c r="G768" s="29">
        <v>1</v>
      </c>
      <c r="H768" s="30" t="s">
        <v>2675</v>
      </c>
      <c r="I768" t="s">
        <v>65</v>
      </c>
      <c r="J7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145</v>
      </c>
      <c r="L768" t="s">
        <v>146</v>
      </c>
      <c r="N768" s="29">
        <v>1</v>
      </c>
      <c r="P768" s="29">
        <v>1</v>
      </c>
      <c r="R768" s="29">
        <v>1</v>
      </c>
      <c r="S768" t="s">
        <v>70</v>
      </c>
      <c r="T768" t="s">
        <v>72</v>
      </c>
      <c r="U768" s="32">
        <v>30</v>
      </c>
      <c r="V768">
        <v>30</v>
      </c>
      <c r="W768" t="s">
        <v>79</v>
      </c>
      <c r="X768" t="s">
        <v>166</v>
      </c>
      <c r="Y768" t="s">
        <v>2676</v>
      </c>
      <c r="AA768" t="s">
        <v>75</v>
      </c>
      <c r="AC768" t="s">
        <v>83</v>
      </c>
      <c r="AE768" t="s">
        <v>75</v>
      </c>
      <c r="AF768" t="s">
        <v>84</v>
      </c>
      <c r="AG768" t="s">
        <v>84</v>
      </c>
      <c r="AH768" s="33">
        <f t="shared" si="34"/>
      </c>
      <c r="AI768" s="33">
        <f t="shared" si="35"/>
      </c>
    </row>
    <row r="769" ht="27.6" customHeight="1" spans="1:35" x14ac:dyDescent="0.25">
      <c r="A769" s="27" t="s">
        <v>2677</v>
      </c>
      <c r="B769">
        <f t="shared" si="33"/>
        <v>0</v>
      </c>
      <c r="C769" t="s">
        <v>64</v>
      </c>
      <c r="D769" s="27" t="s">
        <v>2673</v>
      </c>
      <c r="E769" t="s">
        <v>2674</v>
      </c>
      <c r="F769" s="28">
        <v>0</v>
      </c>
      <c r="G769" s="29">
        <v>1</v>
      </c>
      <c r="H769" s="30" t="s">
        <v>2678</v>
      </c>
      <c r="I769" t="s">
        <v>65</v>
      </c>
      <c r="J7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145</v>
      </c>
      <c r="L769" t="s">
        <v>146</v>
      </c>
      <c r="N769" s="29">
        <v>1</v>
      </c>
      <c r="P769" s="29">
        <v>1</v>
      </c>
      <c r="R769" s="29">
        <v>1</v>
      </c>
      <c r="S769" t="s">
        <v>70</v>
      </c>
      <c r="T769" t="s">
        <v>72</v>
      </c>
      <c r="U769" s="32">
        <v>30</v>
      </c>
      <c r="V769">
        <v>30</v>
      </c>
      <c r="W769" t="s">
        <v>79</v>
      </c>
      <c r="X769" t="s">
        <v>166</v>
      </c>
      <c r="Y769" t="s">
        <v>2676</v>
      </c>
      <c r="AA769" t="s">
        <v>75</v>
      </c>
      <c r="AC769" t="s">
        <v>83</v>
      </c>
      <c r="AE769" t="s">
        <v>75</v>
      </c>
      <c r="AF769" t="s">
        <v>84</v>
      </c>
      <c r="AG769" t="s">
        <v>84</v>
      </c>
      <c r="AH769" s="33">
        <f t="shared" si="34"/>
      </c>
      <c r="AI769" s="33">
        <f t="shared" si="35"/>
      </c>
    </row>
    <row r="770" ht="27.6" customHeight="1" spans="1:35" x14ac:dyDescent="0.25">
      <c r="A770" s="27" t="s">
        <v>1123</v>
      </c>
      <c r="B770">
        <f t="shared" si="33"/>
        <v>0</v>
      </c>
      <c r="C770" t="s">
        <v>64</v>
      </c>
      <c r="D770" s="27" t="s">
        <v>102</v>
      </c>
      <c r="E770" t="s">
        <v>2679</v>
      </c>
      <c r="F770" s="28">
        <v>0</v>
      </c>
      <c r="G770" s="29">
        <v>1</v>
      </c>
      <c r="H770" s="30" t="s">
        <v>2680</v>
      </c>
      <c r="I770" t="s">
        <v>65</v>
      </c>
      <c r="J7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145</v>
      </c>
      <c r="L770" t="s">
        <v>146</v>
      </c>
      <c r="N770" s="29">
        <v>1</v>
      </c>
      <c r="P770" s="29">
        <v>1</v>
      </c>
      <c r="R770" s="29">
        <v>1</v>
      </c>
      <c r="S770" t="s">
        <v>70</v>
      </c>
      <c r="T770" t="s">
        <v>72</v>
      </c>
      <c r="U770" s="32">
        <v>30</v>
      </c>
      <c r="V770">
        <v>30</v>
      </c>
      <c r="W770" t="s">
        <v>79</v>
      </c>
      <c r="X770" t="s">
        <v>166</v>
      </c>
      <c r="Y770" t="s">
        <v>2679</v>
      </c>
      <c r="AA770" t="s">
        <v>75</v>
      </c>
      <c r="AC770" t="s">
        <v>83</v>
      </c>
      <c r="AE770" t="s">
        <v>75</v>
      </c>
      <c r="AF770" t="s">
        <v>84</v>
      </c>
      <c r="AG770" t="s">
        <v>84</v>
      </c>
      <c r="AH770" s="33">
        <f t="shared" si="34"/>
      </c>
      <c r="AI770" s="33">
        <f t="shared" si="35"/>
      </c>
    </row>
    <row r="771" ht="27.6" customHeight="1" spans="1:35" x14ac:dyDescent="0.25">
      <c r="A771" s="27" t="s">
        <v>2681</v>
      </c>
      <c r="B771">
        <f t="shared" si="33"/>
        <v>0</v>
      </c>
      <c r="C771" t="s">
        <v>64</v>
      </c>
      <c r="D771" s="27" t="s">
        <v>102</v>
      </c>
      <c r="E771" t="s">
        <v>2682</v>
      </c>
      <c r="F771" s="28">
        <v>0</v>
      </c>
      <c r="G771" s="29">
        <v>1</v>
      </c>
      <c r="H771" s="30" t="s">
        <v>2683</v>
      </c>
      <c r="I771" t="s">
        <v>65</v>
      </c>
      <c r="J7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145</v>
      </c>
      <c r="L771" t="s">
        <v>146</v>
      </c>
      <c r="N771" s="29">
        <v>1</v>
      </c>
      <c r="P771" s="29">
        <v>1</v>
      </c>
      <c r="R771" s="29">
        <v>1</v>
      </c>
      <c r="S771" t="s">
        <v>70</v>
      </c>
      <c r="T771" t="s">
        <v>72</v>
      </c>
      <c r="U771" s="32">
        <v>30</v>
      </c>
      <c r="V771">
        <v>30</v>
      </c>
      <c r="W771" t="s">
        <v>79</v>
      </c>
      <c r="X771" t="s">
        <v>166</v>
      </c>
      <c r="Y771" t="s">
        <v>2684</v>
      </c>
      <c r="AA771" t="s">
        <v>75</v>
      </c>
      <c r="AC771" t="s">
        <v>83</v>
      </c>
      <c r="AE771" t="s">
        <v>75</v>
      </c>
      <c r="AF771" t="s">
        <v>84</v>
      </c>
      <c r="AG771" t="s">
        <v>84</v>
      </c>
      <c r="AH771" s="33">
        <f t="shared" si="34"/>
      </c>
      <c r="AI771" s="33">
        <f t="shared" si="35"/>
      </c>
    </row>
    <row r="772" ht="27.6" customHeight="1" spans="1:35" x14ac:dyDescent="0.25">
      <c r="A772" s="27" t="s">
        <v>2685</v>
      </c>
      <c r="B772">
        <f t="shared" si="33"/>
        <v>0</v>
      </c>
      <c r="C772" t="s">
        <v>64</v>
      </c>
      <c r="D772" s="27" t="s">
        <v>102</v>
      </c>
      <c r="E772" t="s">
        <v>2686</v>
      </c>
      <c r="F772" s="28">
        <v>0</v>
      </c>
      <c r="G772" s="29">
        <v>1</v>
      </c>
      <c r="H772" s="30" t="s">
        <v>2687</v>
      </c>
      <c r="I772" t="s">
        <v>65</v>
      </c>
      <c r="J7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145</v>
      </c>
      <c r="L772" t="s">
        <v>146</v>
      </c>
      <c r="N772" s="29">
        <v>1</v>
      </c>
      <c r="P772" s="29">
        <v>1</v>
      </c>
      <c r="R772" s="29">
        <v>1</v>
      </c>
      <c r="S772" t="s">
        <v>70</v>
      </c>
      <c r="T772" t="s">
        <v>72</v>
      </c>
      <c r="U772" s="32">
        <v>30</v>
      </c>
      <c r="V772">
        <v>30</v>
      </c>
      <c r="W772" t="s">
        <v>79</v>
      </c>
      <c r="X772" t="s">
        <v>166</v>
      </c>
      <c r="Y772" t="s">
        <v>2686</v>
      </c>
      <c r="AA772" t="s">
        <v>75</v>
      </c>
      <c r="AC772" t="s">
        <v>83</v>
      </c>
      <c r="AE772" t="s">
        <v>75</v>
      </c>
      <c r="AF772" t="s">
        <v>84</v>
      </c>
      <c r="AG772" t="s">
        <v>84</v>
      </c>
      <c r="AH772" s="33">
        <f t="shared" si="34"/>
      </c>
      <c r="AI772" s="33">
        <f t="shared" si="35"/>
      </c>
    </row>
    <row r="773" ht="27.6" customHeight="1" spans="1:35" x14ac:dyDescent="0.25">
      <c r="A773" s="27" t="s">
        <v>2688</v>
      </c>
      <c r="B773">
        <f t="shared" si="33"/>
        <v>0</v>
      </c>
      <c r="C773" t="s">
        <v>64</v>
      </c>
      <c r="D773" s="27" t="s">
        <v>102</v>
      </c>
      <c r="E773" t="s">
        <v>2689</v>
      </c>
      <c r="F773" s="28">
        <v>0</v>
      </c>
      <c r="G773" s="29">
        <v>1</v>
      </c>
      <c r="H773" s="30" t="s">
        <v>2690</v>
      </c>
      <c r="I773" t="s">
        <v>65</v>
      </c>
      <c r="J7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145</v>
      </c>
      <c r="L773" t="s">
        <v>146</v>
      </c>
      <c r="N773" s="29">
        <v>1</v>
      </c>
      <c r="P773" s="29">
        <v>1</v>
      </c>
      <c r="R773" s="29">
        <v>1</v>
      </c>
      <c r="S773" t="s">
        <v>70</v>
      </c>
      <c r="T773" t="s">
        <v>72</v>
      </c>
      <c r="U773" s="32">
        <v>30</v>
      </c>
      <c r="V773">
        <v>30</v>
      </c>
      <c r="W773" t="s">
        <v>79</v>
      </c>
      <c r="X773" t="s">
        <v>171</v>
      </c>
      <c r="Y773" t="s">
        <v>2691</v>
      </c>
      <c r="AA773" t="s">
        <v>75</v>
      </c>
      <c r="AC773" t="s">
        <v>83</v>
      </c>
      <c r="AE773" t="s">
        <v>75</v>
      </c>
      <c r="AF773" t="s">
        <v>84</v>
      </c>
      <c r="AG773" t="s">
        <v>84</v>
      </c>
      <c r="AH773" s="33">
        <f t="shared" si="34"/>
      </c>
      <c r="AI773" s="33">
        <f t="shared" si="35"/>
      </c>
    </row>
    <row r="774" ht="27.6" customHeight="1" spans="1:35" x14ac:dyDescent="0.25">
      <c r="A774" s="27" t="s">
        <v>2692</v>
      </c>
      <c r="B774">
        <f t="shared" si="33"/>
        <v>0</v>
      </c>
      <c r="C774" t="s">
        <v>64</v>
      </c>
      <c r="D774" s="27" t="s">
        <v>102</v>
      </c>
      <c r="E774" t="s">
        <v>2693</v>
      </c>
      <c r="F774" s="28">
        <v>0</v>
      </c>
      <c r="G774" s="29">
        <v>1</v>
      </c>
      <c r="H774" s="30" t="s">
        <v>2694</v>
      </c>
      <c r="I774" t="s">
        <v>65</v>
      </c>
      <c r="J7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145</v>
      </c>
      <c r="L774" t="s">
        <v>146</v>
      </c>
      <c r="N774" s="29">
        <v>1</v>
      </c>
      <c r="P774" s="29">
        <v>1</v>
      </c>
      <c r="R774" s="29">
        <v>1</v>
      </c>
      <c r="S774" t="s">
        <v>70</v>
      </c>
      <c r="T774" t="s">
        <v>72</v>
      </c>
      <c r="U774" s="32">
        <v>30</v>
      </c>
      <c r="V774">
        <v>30</v>
      </c>
      <c r="W774" t="s">
        <v>79</v>
      </c>
      <c r="X774" t="s">
        <v>171</v>
      </c>
      <c r="Y774" t="s">
        <v>2695</v>
      </c>
      <c r="AA774" t="s">
        <v>75</v>
      </c>
      <c r="AC774" t="s">
        <v>83</v>
      </c>
      <c r="AE774" t="s">
        <v>75</v>
      </c>
      <c r="AF774" t="s">
        <v>84</v>
      </c>
      <c r="AG774" t="s">
        <v>84</v>
      </c>
      <c r="AH774" s="33">
        <f t="shared" si="34"/>
      </c>
      <c r="AI774" s="33">
        <f t="shared" si="35"/>
      </c>
    </row>
    <row r="775" ht="27.6" customHeight="1" spans="1:35" x14ac:dyDescent="0.25">
      <c r="A775" s="27" t="s">
        <v>2696</v>
      </c>
      <c r="B775">
        <f t="shared" si="33"/>
        <v>0</v>
      </c>
      <c r="C775" t="s">
        <v>64</v>
      </c>
      <c r="D775" s="27" t="s">
        <v>102</v>
      </c>
      <c r="E775" t="s">
        <v>2697</v>
      </c>
      <c r="F775" s="28">
        <v>0</v>
      </c>
      <c r="G775" s="29">
        <v>1</v>
      </c>
      <c r="H775" s="30" t="s">
        <v>2698</v>
      </c>
      <c r="I775" t="s">
        <v>65</v>
      </c>
      <c r="J7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145</v>
      </c>
      <c r="L775" t="s">
        <v>146</v>
      </c>
      <c r="N775" s="29">
        <v>1</v>
      </c>
      <c r="P775" s="29">
        <v>1</v>
      </c>
      <c r="R775" s="29">
        <v>1</v>
      </c>
      <c r="S775" t="s">
        <v>70</v>
      </c>
      <c r="T775" t="s">
        <v>72</v>
      </c>
      <c r="U775" s="32">
        <v>30</v>
      </c>
      <c r="V775">
        <v>30</v>
      </c>
      <c r="W775" t="s">
        <v>79</v>
      </c>
      <c r="X775" t="s">
        <v>171</v>
      </c>
      <c r="Y775" t="s">
        <v>2697</v>
      </c>
      <c r="AA775" t="s">
        <v>75</v>
      </c>
      <c r="AC775" t="s">
        <v>83</v>
      </c>
      <c r="AE775" t="s">
        <v>75</v>
      </c>
      <c r="AF775" t="s">
        <v>84</v>
      </c>
      <c r="AG775" t="s">
        <v>84</v>
      </c>
      <c r="AH775" s="33">
        <f t="shared" si="34"/>
      </c>
      <c r="AI775" s="33">
        <f t="shared" si="35"/>
      </c>
    </row>
    <row r="776" ht="27.6" customHeight="1" spans="1:35" x14ac:dyDescent="0.25">
      <c r="A776" s="27" t="s">
        <v>972</v>
      </c>
      <c r="B776">
        <f t="shared" ref="B776:B839" si="36">LEN(INDIRECT(ADDRESS(ROW() + (0),COLUMN() + (-1))))</f>
        <v>0</v>
      </c>
      <c r="C776" t="s">
        <v>64</v>
      </c>
      <c r="D776" s="27" t="s">
        <v>2699</v>
      </c>
      <c r="E776" t="s">
        <v>2700</v>
      </c>
      <c r="F776" s="28">
        <v>0</v>
      </c>
      <c r="G776" s="29">
        <v>1</v>
      </c>
      <c r="H776" s="30" t="s">
        <v>2701</v>
      </c>
      <c r="I776" t="s">
        <v>65</v>
      </c>
      <c r="J7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145</v>
      </c>
      <c r="L776" t="s">
        <v>146</v>
      </c>
      <c r="N776" s="29">
        <v>1</v>
      </c>
      <c r="P776" s="29">
        <v>1</v>
      </c>
      <c r="R776" s="29">
        <v>1</v>
      </c>
      <c r="S776" t="s">
        <v>70</v>
      </c>
      <c r="T776" t="s">
        <v>72</v>
      </c>
      <c r="U776" s="32">
        <v>30</v>
      </c>
      <c r="V776">
        <v>30</v>
      </c>
      <c r="W776" t="s">
        <v>79</v>
      </c>
      <c r="X776" t="s">
        <v>171</v>
      </c>
      <c r="Y776" t="s">
        <v>2702</v>
      </c>
      <c r="AA776" t="s">
        <v>75</v>
      </c>
      <c r="AC776" t="s">
        <v>83</v>
      </c>
      <c r="AE776" t="s">
        <v>75</v>
      </c>
      <c r="AF776" t="s">
        <v>84</v>
      </c>
      <c r="AG776" t="s">
        <v>84</v>
      </c>
      <c r="AH776" s="33">
        <f t="shared" ref="AH776:AH839" si="37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776" s="33">
        <f t="shared" ref="AI776:AI839" si="38">IF(TRIM(INDIRECT("A"&amp;ROW())) &lt;&gt; "",FALSE,"")</f>
      </c>
    </row>
    <row r="777" ht="27.6" customHeight="1" spans="1:35" x14ac:dyDescent="0.25">
      <c r="A777" s="27" t="s">
        <v>1402</v>
      </c>
      <c r="B777">
        <f t="shared" si="36"/>
        <v>0</v>
      </c>
      <c r="C777" t="s">
        <v>64</v>
      </c>
      <c r="D777" s="27" t="s">
        <v>102</v>
      </c>
      <c r="E777" t="s">
        <v>2703</v>
      </c>
      <c r="F777" s="28">
        <v>0</v>
      </c>
      <c r="G777" s="29">
        <v>1</v>
      </c>
      <c r="H777" s="30" t="s">
        <v>2704</v>
      </c>
      <c r="I777" t="s">
        <v>65</v>
      </c>
      <c r="J7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145</v>
      </c>
      <c r="L777" t="s">
        <v>146</v>
      </c>
      <c r="N777" s="29">
        <v>1</v>
      </c>
      <c r="P777" s="29">
        <v>1</v>
      </c>
      <c r="R777" s="29">
        <v>1</v>
      </c>
      <c r="S777" t="s">
        <v>70</v>
      </c>
      <c r="T777" t="s">
        <v>72</v>
      </c>
      <c r="U777" s="32">
        <v>30</v>
      </c>
      <c r="V777">
        <v>30</v>
      </c>
      <c r="W777" t="s">
        <v>79</v>
      </c>
      <c r="X777" t="s">
        <v>770</v>
      </c>
      <c r="Y777" t="s">
        <v>2705</v>
      </c>
      <c r="AA777" t="s">
        <v>75</v>
      </c>
      <c r="AC777" t="s">
        <v>83</v>
      </c>
      <c r="AE777" t="s">
        <v>75</v>
      </c>
      <c r="AF777" t="s">
        <v>84</v>
      </c>
      <c r="AG777" t="s">
        <v>84</v>
      </c>
      <c r="AH777" s="33">
        <f t="shared" si="37"/>
      </c>
      <c r="AI777" s="33">
        <f t="shared" si="38"/>
      </c>
    </row>
    <row r="778" ht="27.6" customHeight="1" spans="1:35" x14ac:dyDescent="0.25">
      <c r="A778" s="27" t="s">
        <v>1406</v>
      </c>
      <c r="B778">
        <f t="shared" si="36"/>
        <v>0</v>
      </c>
      <c r="C778" t="s">
        <v>64</v>
      </c>
      <c r="D778" s="27" t="s">
        <v>102</v>
      </c>
      <c r="E778" t="s">
        <v>2703</v>
      </c>
      <c r="F778" s="28">
        <v>0</v>
      </c>
      <c r="G778" s="29">
        <v>1</v>
      </c>
      <c r="H778" s="30" t="s">
        <v>2706</v>
      </c>
      <c r="I778" t="s">
        <v>65</v>
      </c>
      <c r="J7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145</v>
      </c>
      <c r="L778" t="s">
        <v>146</v>
      </c>
      <c r="N778" s="29">
        <v>1</v>
      </c>
      <c r="P778" s="29">
        <v>1</v>
      </c>
      <c r="R778" s="29">
        <v>1</v>
      </c>
      <c r="S778" t="s">
        <v>70</v>
      </c>
      <c r="T778" t="s">
        <v>72</v>
      </c>
      <c r="U778" s="32">
        <v>30</v>
      </c>
      <c r="V778">
        <v>30</v>
      </c>
      <c r="W778" t="s">
        <v>79</v>
      </c>
      <c r="X778" t="s">
        <v>770</v>
      </c>
      <c r="Y778" t="s">
        <v>2705</v>
      </c>
      <c r="AA778" t="s">
        <v>75</v>
      </c>
      <c r="AC778" t="s">
        <v>83</v>
      </c>
      <c r="AE778" t="s">
        <v>75</v>
      </c>
      <c r="AF778" t="s">
        <v>84</v>
      </c>
      <c r="AG778" t="s">
        <v>84</v>
      </c>
      <c r="AH778" s="33">
        <f t="shared" si="37"/>
      </c>
      <c r="AI778" s="33">
        <f t="shared" si="38"/>
      </c>
    </row>
    <row r="779" ht="27.6" customHeight="1" spans="1:35" x14ac:dyDescent="0.25">
      <c r="A779" s="27" t="s">
        <v>2707</v>
      </c>
      <c r="B779">
        <f t="shared" si="36"/>
        <v>0</v>
      </c>
      <c r="C779" t="s">
        <v>64</v>
      </c>
      <c r="D779" s="27" t="s">
        <v>2708</v>
      </c>
      <c r="E779" t="s">
        <v>2709</v>
      </c>
      <c r="F779" s="28">
        <v>0</v>
      </c>
      <c r="G779" s="29">
        <v>1</v>
      </c>
      <c r="H779" s="30" t="s">
        <v>2710</v>
      </c>
      <c r="I779" t="s">
        <v>65</v>
      </c>
      <c r="J7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145</v>
      </c>
      <c r="L779" t="s">
        <v>146</v>
      </c>
      <c r="N779" s="29">
        <v>1</v>
      </c>
      <c r="P779" s="29">
        <v>1</v>
      </c>
      <c r="R779" s="29">
        <v>1</v>
      </c>
      <c r="S779" t="s">
        <v>70</v>
      </c>
      <c r="T779" t="s">
        <v>72</v>
      </c>
      <c r="U779" s="32">
        <v>30</v>
      </c>
      <c r="V779">
        <v>30</v>
      </c>
      <c r="W779" t="s">
        <v>79</v>
      </c>
      <c r="X779" t="s">
        <v>770</v>
      </c>
      <c r="Y779" t="s">
        <v>2711</v>
      </c>
      <c r="AA779" t="s">
        <v>75</v>
      </c>
      <c r="AC779" t="s">
        <v>83</v>
      </c>
      <c r="AE779" t="s">
        <v>75</v>
      </c>
      <c r="AF779" t="s">
        <v>84</v>
      </c>
      <c r="AG779" t="s">
        <v>84</v>
      </c>
      <c r="AH779" s="33">
        <f t="shared" si="37"/>
      </c>
      <c r="AI779" s="33">
        <f t="shared" si="38"/>
      </c>
    </row>
    <row r="780" ht="27.6" customHeight="1" spans="1:35" x14ac:dyDescent="0.25">
      <c r="A780" s="27" t="s">
        <v>2712</v>
      </c>
      <c r="B780">
        <f t="shared" si="36"/>
        <v>0</v>
      </c>
      <c r="C780" t="s">
        <v>64</v>
      </c>
      <c r="D780" s="27" t="s">
        <v>102</v>
      </c>
      <c r="E780" t="s">
        <v>2713</v>
      </c>
      <c r="F780" s="28">
        <v>0</v>
      </c>
      <c r="G780" s="29">
        <v>1</v>
      </c>
      <c r="H780" s="30" t="s">
        <v>2714</v>
      </c>
      <c r="I780" t="s">
        <v>65</v>
      </c>
      <c r="J7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145</v>
      </c>
      <c r="L780" t="s">
        <v>146</v>
      </c>
      <c r="N780" s="29">
        <v>1</v>
      </c>
      <c r="P780" s="29">
        <v>1</v>
      </c>
      <c r="R780" s="29">
        <v>1</v>
      </c>
      <c r="S780" t="s">
        <v>70</v>
      </c>
      <c r="T780" t="s">
        <v>72</v>
      </c>
      <c r="U780" s="32">
        <v>30</v>
      </c>
      <c r="V780">
        <v>30</v>
      </c>
      <c r="W780" t="s">
        <v>79</v>
      </c>
      <c r="X780" t="s">
        <v>770</v>
      </c>
      <c r="Y780" t="s">
        <v>2713</v>
      </c>
      <c r="AA780" t="s">
        <v>75</v>
      </c>
      <c r="AC780" t="s">
        <v>83</v>
      </c>
      <c r="AE780" t="s">
        <v>75</v>
      </c>
      <c r="AF780" t="s">
        <v>84</v>
      </c>
      <c r="AG780" t="s">
        <v>84</v>
      </c>
      <c r="AH780" s="33">
        <f t="shared" si="37"/>
      </c>
      <c r="AI780" s="33">
        <f t="shared" si="38"/>
      </c>
    </row>
    <row r="781" ht="27.6" customHeight="1" spans="1:35" x14ac:dyDescent="0.25">
      <c r="A781" s="27" t="s">
        <v>2715</v>
      </c>
      <c r="B781">
        <f t="shared" si="36"/>
        <v>0</v>
      </c>
      <c r="C781" t="s">
        <v>64</v>
      </c>
      <c r="D781" s="27" t="s">
        <v>102</v>
      </c>
      <c r="E781" t="s">
        <v>2716</v>
      </c>
      <c r="F781" s="28">
        <v>0</v>
      </c>
      <c r="G781" s="29">
        <v>1</v>
      </c>
      <c r="H781" s="30" t="s">
        <v>2717</v>
      </c>
      <c r="I781" t="s">
        <v>65</v>
      </c>
      <c r="J7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145</v>
      </c>
      <c r="L781" t="s">
        <v>146</v>
      </c>
      <c r="N781" s="29">
        <v>1</v>
      </c>
      <c r="P781" s="29">
        <v>1</v>
      </c>
      <c r="R781" s="29">
        <v>1</v>
      </c>
      <c r="S781" t="s">
        <v>70</v>
      </c>
      <c r="T781" t="s">
        <v>72</v>
      </c>
      <c r="U781" s="32">
        <v>30</v>
      </c>
      <c r="V781">
        <v>30</v>
      </c>
      <c r="W781" t="s">
        <v>79</v>
      </c>
      <c r="X781" t="s">
        <v>171</v>
      </c>
      <c r="Y781" t="s">
        <v>2718</v>
      </c>
      <c r="AA781" t="s">
        <v>75</v>
      </c>
      <c r="AC781" t="s">
        <v>83</v>
      </c>
      <c r="AE781" t="s">
        <v>75</v>
      </c>
      <c r="AF781" t="s">
        <v>84</v>
      </c>
      <c r="AG781" t="s">
        <v>84</v>
      </c>
      <c r="AH781" s="33">
        <f t="shared" si="37"/>
      </c>
      <c r="AI781" s="33">
        <f t="shared" si="38"/>
      </c>
    </row>
    <row r="782" ht="27.6" customHeight="1" spans="1:35" x14ac:dyDescent="0.25">
      <c r="A782" s="27" t="s">
        <v>2719</v>
      </c>
      <c r="B782">
        <f t="shared" si="36"/>
        <v>0</v>
      </c>
      <c r="C782" t="s">
        <v>64</v>
      </c>
      <c r="D782" s="27" t="s">
        <v>102</v>
      </c>
      <c r="E782" t="s">
        <v>2720</v>
      </c>
      <c r="F782" s="28">
        <v>0</v>
      </c>
      <c r="G782" s="29">
        <v>1</v>
      </c>
      <c r="H782" s="30" t="s">
        <v>2721</v>
      </c>
      <c r="I782" t="s">
        <v>65</v>
      </c>
      <c r="J7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145</v>
      </c>
      <c r="L782" t="s">
        <v>146</v>
      </c>
      <c r="N782" s="29">
        <v>1</v>
      </c>
      <c r="P782" s="29">
        <v>1</v>
      </c>
      <c r="R782" s="29">
        <v>1</v>
      </c>
      <c r="S782" t="s">
        <v>70</v>
      </c>
      <c r="T782" t="s">
        <v>72</v>
      </c>
      <c r="U782" s="32">
        <v>30</v>
      </c>
      <c r="V782">
        <v>30</v>
      </c>
      <c r="W782" t="s">
        <v>79</v>
      </c>
      <c r="X782" t="s">
        <v>171</v>
      </c>
      <c r="Y782" t="s">
        <v>2722</v>
      </c>
      <c r="AA782" t="s">
        <v>75</v>
      </c>
      <c r="AC782" t="s">
        <v>83</v>
      </c>
      <c r="AE782" t="s">
        <v>75</v>
      </c>
      <c r="AF782" t="s">
        <v>84</v>
      </c>
      <c r="AG782" t="s">
        <v>84</v>
      </c>
      <c r="AH782" s="33">
        <f t="shared" si="37"/>
      </c>
      <c r="AI782" s="33">
        <f t="shared" si="38"/>
      </c>
    </row>
    <row r="783" ht="27.6" customHeight="1" spans="1:35" x14ac:dyDescent="0.25">
      <c r="A783" s="27" t="s">
        <v>2723</v>
      </c>
      <c r="B783">
        <f t="shared" si="36"/>
        <v>0</v>
      </c>
      <c r="C783" t="s">
        <v>64</v>
      </c>
      <c r="D783" s="27" t="s">
        <v>102</v>
      </c>
      <c r="E783" t="s">
        <v>2724</v>
      </c>
      <c r="F783" s="28">
        <v>0</v>
      </c>
      <c r="G783" s="29">
        <v>1</v>
      </c>
      <c r="H783" s="30" t="s">
        <v>2725</v>
      </c>
      <c r="I783" t="s">
        <v>65</v>
      </c>
      <c r="J7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145</v>
      </c>
      <c r="L783" t="s">
        <v>146</v>
      </c>
      <c r="N783" s="29">
        <v>1</v>
      </c>
      <c r="P783" s="29">
        <v>1</v>
      </c>
      <c r="R783" s="29">
        <v>1</v>
      </c>
      <c r="S783" t="s">
        <v>70</v>
      </c>
      <c r="T783" t="s">
        <v>72</v>
      </c>
      <c r="U783" s="32">
        <v>30</v>
      </c>
      <c r="V783">
        <v>30</v>
      </c>
      <c r="W783" t="s">
        <v>79</v>
      </c>
      <c r="X783" t="s">
        <v>171</v>
      </c>
      <c r="Y783" t="s">
        <v>2726</v>
      </c>
      <c r="AA783" t="s">
        <v>75</v>
      </c>
      <c r="AC783" t="s">
        <v>83</v>
      </c>
      <c r="AE783" t="s">
        <v>75</v>
      </c>
      <c r="AF783" t="s">
        <v>84</v>
      </c>
      <c r="AG783" t="s">
        <v>84</v>
      </c>
      <c r="AH783" s="33">
        <f t="shared" si="37"/>
      </c>
      <c r="AI783" s="33">
        <f t="shared" si="38"/>
      </c>
    </row>
    <row r="784" ht="27.6" customHeight="1" spans="1:35" x14ac:dyDescent="0.25">
      <c r="A784" s="27" t="s">
        <v>2727</v>
      </c>
      <c r="B784">
        <f t="shared" si="36"/>
        <v>0</v>
      </c>
      <c r="C784" t="s">
        <v>64</v>
      </c>
      <c r="D784" s="27" t="s">
        <v>2728</v>
      </c>
      <c r="E784" t="s">
        <v>2729</v>
      </c>
      <c r="F784" s="28">
        <v>0</v>
      </c>
      <c r="G784" s="29">
        <v>1</v>
      </c>
      <c r="H784" s="30" t="s">
        <v>2730</v>
      </c>
      <c r="I784" t="s">
        <v>65</v>
      </c>
      <c r="J7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145</v>
      </c>
      <c r="L784" t="s">
        <v>146</v>
      </c>
      <c r="N784" s="29">
        <v>1</v>
      </c>
      <c r="P784" s="29">
        <v>1</v>
      </c>
      <c r="R784" s="29">
        <v>1</v>
      </c>
      <c r="S784" t="s">
        <v>70</v>
      </c>
      <c r="T784" t="s">
        <v>72</v>
      </c>
      <c r="U784" s="32">
        <v>30</v>
      </c>
      <c r="V784">
        <v>30</v>
      </c>
      <c r="W784" t="s">
        <v>79</v>
      </c>
      <c r="X784" t="s">
        <v>171</v>
      </c>
      <c r="Y784" t="s">
        <v>2729</v>
      </c>
      <c r="AA784" t="s">
        <v>75</v>
      </c>
      <c r="AC784" t="s">
        <v>83</v>
      </c>
      <c r="AE784" t="s">
        <v>75</v>
      </c>
      <c r="AF784" t="s">
        <v>84</v>
      </c>
      <c r="AG784" t="s">
        <v>84</v>
      </c>
      <c r="AH784" s="33">
        <f t="shared" si="37"/>
      </c>
      <c r="AI784" s="33">
        <f t="shared" si="38"/>
      </c>
    </row>
    <row r="785" ht="27.6" customHeight="1" spans="1:35" x14ac:dyDescent="0.25">
      <c r="A785" s="27" t="s">
        <v>1438</v>
      </c>
      <c r="B785">
        <f t="shared" si="36"/>
        <v>0</v>
      </c>
      <c r="C785" t="s">
        <v>64</v>
      </c>
      <c r="D785" s="27" t="s">
        <v>2731</v>
      </c>
      <c r="E785" t="s">
        <v>2732</v>
      </c>
      <c r="F785" s="28">
        <v>0</v>
      </c>
      <c r="G785" s="29">
        <v>1</v>
      </c>
      <c r="H785" s="30" t="s">
        <v>2733</v>
      </c>
      <c r="I785" t="s">
        <v>65</v>
      </c>
      <c r="J7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145</v>
      </c>
      <c r="L785" t="s">
        <v>146</v>
      </c>
      <c r="N785" s="29">
        <v>1</v>
      </c>
      <c r="P785" s="29">
        <v>1</v>
      </c>
      <c r="R785" s="29">
        <v>1</v>
      </c>
      <c r="S785" t="s">
        <v>70</v>
      </c>
      <c r="T785" t="s">
        <v>72</v>
      </c>
      <c r="U785" s="32">
        <v>30</v>
      </c>
      <c r="V785">
        <v>30</v>
      </c>
      <c r="W785" t="s">
        <v>79</v>
      </c>
      <c r="X785" t="s">
        <v>171</v>
      </c>
      <c r="Y785" t="s">
        <v>2734</v>
      </c>
      <c r="AA785" t="s">
        <v>75</v>
      </c>
      <c r="AC785" t="s">
        <v>83</v>
      </c>
      <c r="AE785" t="s">
        <v>75</v>
      </c>
      <c r="AF785" t="s">
        <v>84</v>
      </c>
      <c r="AG785" t="s">
        <v>84</v>
      </c>
      <c r="AH785" s="33">
        <f t="shared" si="37"/>
      </c>
      <c r="AI785" s="33">
        <f t="shared" si="38"/>
      </c>
    </row>
    <row r="786" ht="27.6" customHeight="1" spans="1:35" x14ac:dyDescent="0.25">
      <c r="A786" s="27" t="s">
        <v>1438</v>
      </c>
      <c r="B786">
        <f t="shared" si="36"/>
        <v>0</v>
      </c>
      <c r="C786" t="s">
        <v>64</v>
      </c>
      <c r="D786" s="27" t="s">
        <v>2731</v>
      </c>
      <c r="E786" t="s">
        <v>2732</v>
      </c>
      <c r="F786" s="28">
        <v>0</v>
      </c>
      <c r="G786" s="29">
        <v>1</v>
      </c>
      <c r="H786" s="30" t="s">
        <v>2735</v>
      </c>
      <c r="I786" t="s">
        <v>65</v>
      </c>
      <c r="J7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145</v>
      </c>
      <c r="L786" t="s">
        <v>146</v>
      </c>
      <c r="N786" s="29">
        <v>1</v>
      </c>
      <c r="P786" s="29">
        <v>1</v>
      </c>
      <c r="R786" s="29">
        <v>1</v>
      </c>
      <c r="S786" t="s">
        <v>70</v>
      </c>
      <c r="T786" t="s">
        <v>72</v>
      </c>
      <c r="U786" s="32">
        <v>30</v>
      </c>
      <c r="V786">
        <v>30</v>
      </c>
      <c r="W786" t="s">
        <v>79</v>
      </c>
      <c r="X786" t="s">
        <v>171</v>
      </c>
      <c r="Y786" t="s">
        <v>2734</v>
      </c>
      <c r="AA786" t="s">
        <v>75</v>
      </c>
      <c r="AC786" t="s">
        <v>83</v>
      </c>
      <c r="AE786" t="s">
        <v>75</v>
      </c>
      <c r="AF786" t="s">
        <v>84</v>
      </c>
      <c r="AG786" t="s">
        <v>84</v>
      </c>
      <c r="AH786" s="33">
        <f t="shared" si="37"/>
      </c>
      <c r="AI786" s="33">
        <f t="shared" si="38"/>
      </c>
    </row>
    <row r="787" ht="27.6" customHeight="1" spans="1:35" x14ac:dyDescent="0.25">
      <c r="A787" s="27" t="s">
        <v>2736</v>
      </c>
      <c r="B787">
        <f t="shared" si="36"/>
        <v>0</v>
      </c>
      <c r="C787" t="s">
        <v>64</v>
      </c>
      <c r="D787" s="27" t="s">
        <v>102</v>
      </c>
      <c r="E787" t="s">
        <v>2737</v>
      </c>
      <c r="F787" s="28">
        <v>0</v>
      </c>
      <c r="G787" s="29">
        <v>1</v>
      </c>
      <c r="H787" s="30" t="s">
        <v>2738</v>
      </c>
      <c r="I787" t="s">
        <v>65</v>
      </c>
      <c r="J7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145</v>
      </c>
      <c r="L787" t="s">
        <v>146</v>
      </c>
      <c r="N787" s="29">
        <v>1</v>
      </c>
      <c r="P787" s="29">
        <v>1</v>
      </c>
      <c r="R787" s="29">
        <v>1</v>
      </c>
      <c r="S787" t="s">
        <v>70</v>
      </c>
      <c r="T787" t="s">
        <v>72</v>
      </c>
      <c r="U787" s="32">
        <v>30</v>
      </c>
      <c r="V787">
        <v>30</v>
      </c>
      <c r="W787" t="s">
        <v>79</v>
      </c>
      <c r="X787" t="s">
        <v>171</v>
      </c>
      <c r="Y787" t="s">
        <v>2739</v>
      </c>
      <c r="AA787" t="s">
        <v>75</v>
      </c>
      <c r="AC787" t="s">
        <v>83</v>
      </c>
      <c r="AE787" t="s">
        <v>75</v>
      </c>
      <c r="AF787" t="s">
        <v>84</v>
      </c>
      <c r="AG787" t="s">
        <v>84</v>
      </c>
      <c r="AH787" s="33">
        <f t="shared" si="37"/>
      </c>
      <c r="AI787" s="33">
        <f t="shared" si="38"/>
      </c>
    </row>
    <row r="788" ht="27.6" customHeight="1" spans="1:35" x14ac:dyDescent="0.25">
      <c r="A788" s="27" t="s">
        <v>587</v>
      </c>
      <c r="B788">
        <f t="shared" si="36"/>
        <v>0</v>
      </c>
      <c r="C788" t="s">
        <v>64</v>
      </c>
      <c r="D788" s="27" t="s">
        <v>102</v>
      </c>
      <c r="E788" t="s">
        <v>2740</v>
      </c>
      <c r="F788" s="28">
        <v>0</v>
      </c>
      <c r="G788" s="29">
        <v>1</v>
      </c>
      <c r="H788" s="30" t="s">
        <v>2741</v>
      </c>
      <c r="I788" t="s">
        <v>65</v>
      </c>
      <c r="J7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145</v>
      </c>
      <c r="L788" t="s">
        <v>146</v>
      </c>
      <c r="N788" s="29">
        <v>1</v>
      </c>
      <c r="P788" s="29">
        <v>1</v>
      </c>
      <c r="R788" s="29">
        <v>1</v>
      </c>
      <c r="S788" t="s">
        <v>70</v>
      </c>
      <c r="T788" t="s">
        <v>72</v>
      </c>
      <c r="U788" s="32">
        <v>30</v>
      </c>
      <c r="V788">
        <v>30</v>
      </c>
      <c r="W788" t="s">
        <v>79</v>
      </c>
      <c r="X788" t="s">
        <v>171</v>
      </c>
      <c r="Y788" t="s">
        <v>2742</v>
      </c>
      <c r="AA788" t="s">
        <v>75</v>
      </c>
      <c r="AC788" t="s">
        <v>83</v>
      </c>
      <c r="AE788" t="s">
        <v>75</v>
      </c>
      <c r="AF788" t="s">
        <v>84</v>
      </c>
      <c r="AG788" t="s">
        <v>84</v>
      </c>
      <c r="AH788" s="33">
        <f t="shared" si="37"/>
      </c>
      <c r="AI788" s="33">
        <f t="shared" si="38"/>
      </c>
    </row>
    <row r="789" ht="27.6" customHeight="1" spans="1:35" x14ac:dyDescent="0.25">
      <c r="A789" s="27" t="s">
        <v>689</v>
      </c>
      <c r="B789">
        <f t="shared" si="36"/>
        <v>0</v>
      </c>
      <c r="C789" t="s">
        <v>64</v>
      </c>
      <c r="D789" s="27" t="s">
        <v>102</v>
      </c>
      <c r="E789" t="s">
        <v>2740</v>
      </c>
      <c r="F789" s="28">
        <v>0</v>
      </c>
      <c r="G789" s="29">
        <v>1</v>
      </c>
      <c r="H789" s="30" t="s">
        <v>2743</v>
      </c>
      <c r="I789" t="s">
        <v>65</v>
      </c>
      <c r="J7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145</v>
      </c>
      <c r="L789" t="s">
        <v>146</v>
      </c>
      <c r="N789" s="29">
        <v>1</v>
      </c>
      <c r="P789" s="29">
        <v>1</v>
      </c>
      <c r="R789" s="29">
        <v>1</v>
      </c>
      <c r="S789" t="s">
        <v>70</v>
      </c>
      <c r="T789" t="s">
        <v>72</v>
      </c>
      <c r="U789" s="32">
        <v>30</v>
      </c>
      <c r="V789">
        <v>30</v>
      </c>
      <c r="W789" t="s">
        <v>79</v>
      </c>
      <c r="X789" t="s">
        <v>171</v>
      </c>
      <c r="Y789" t="s">
        <v>2742</v>
      </c>
      <c r="AA789" t="s">
        <v>75</v>
      </c>
      <c r="AC789" t="s">
        <v>83</v>
      </c>
      <c r="AE789" t="s">
        <v>75</v>
      </c>
      <c r="AF789" t="s">
        <v>84</v>
      </c>
      <c r="AG789" t="s">
        <v>84</v>
      </c>
      <c r="AH789" s="33">
        <f t="shared" si="37"/>
      </c>
      <c r="AI789" s="33">
        <f t="shared" si="38"/>
      </c>
    </row>
    <row r="790" ht="27.6" customHeight="1" spans="1:35" x14ac:dyDescent="0.25">
      <c r="A790" s="27" t="s">
        <v>2744</v>
      </c>
      <c r="B790">
        <f t="shared" si="36"/>
        <v>0</v>
      </c>
      <c r="C790" t="s">
        <v>64</v>
      </c>
      <c r="D790" s="27" t="s">
        <v>102</v>
      </c>
      <c r="E790" t="s">
        <v>2745</v>
      </c>
      <c r="F790" s="28">
        <v>0</v>
      </c>
      <c r="G790" s="29">
        <v>1</v>
      </c>
      <c r="H790" s="30" t="s">
        <v>2746</v>
      </c>
      <c r="I790" t="s">
        <v>65</v>
      </c>
      <c r="J7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145</v>
      </c>
      <c r="L790" t="s">
        <v>146</v>
      </c>
      <c r="N790" s="29">
        <v>1</v>
      </c>
      <c r="P790" s="29">
        <v>1</v>
      </c>
      <c r="R790" s="29">
        <v>1</v>
      </c>
      <c r="S790" t="s">
        <v>70</v>
      </c>
      <c r="T790" t="s">
        <v>72</v>
      </c>
      <c r="U790" s="32">
        <v>30</v>
      </c>
      <c r="V790">
        <v>30</v>
      </c>
      <c r="W790" t="s">
        <v>79</v>
      </c>
      <c r="X790" t="s">
        <v>171</v>
      </c>
      <c r="Y790" t="s">
        <v>2745</v>
      </c>
      <c r="AA790" t="s">
        <v>75</v>
      </c>
      <c r="AC790" t="s">
        <v>83</v>
      </c>
      <c r="AE790" t="s">
        <v>75</v>
      </c>
      <c r="AF790" t="s">
        <v>84</v>
      </c>
      <c r="AG790" t="s">
        <v>84</v>
      </c>
      <c r="AH790" s="33">
        <f t="shared" si="37"/>
      </c>
      <c r="AI790" s="33">
        <f t="shared" si="38"/>
      </c>
    </row>
    <row r="791" ht="27.6" customHeight="1" spans="1:35" x14ac:dyDescent="0.25">
      <c r="A791" s="27" t="s">
        <v>2747</v>
      </c>
      <c r="B791">
        <f t="shared" si="36"/>
        <v>0</v>
      </c>
      <c r="C791" t="s">
        <v>64</v>
      </c>
      <c r="D791" s="27" t="s">
        <v>102</v>
      </c>
      <c r="E791" t="s">
        <v>2748</v>
      </c>
      <c r="F791" s="28">
        <v>0</v>
      </c>
      <c r="G791" s="29">
        <v>1</v>
      </c>
      <c r="H791" s="30" t="s">
        <v>2749</v>
      </c>
      <c r="I791" t="s">
        <v>65</v>
      </c>
      <c r="J7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145</v>
      </c>
      <c r="L791" t="s">
        <v>146</v>
      </c>
      <c r="N791" s="29">
        <v>1</v>
      </c>
      <c r="P791" s="29">
        <v>1</v>
      </c>
      <c r="R791" s="29">
        <v>1</v>
      </c>
      <c r="S791" t="s">
        <v>70</v>
      </c>
      <c r="T791" t="s">
        <v>72</v>
      </c>
      <c r="U791" s="32">
        <v>30</v>
      </c>
      <c r="V791">
        <v>30</v>
      </c>
      <c r="W791" t="s">
        <v>79</v>
      </c>
      <c r="X791" t="s">
        <v>770</v>
      </c>
      <c r="Y791" t="s">
        <v>2750</v>
      </c>
      <c r="AA791" t="s">
        <v>75</v>
      </c>
      <c r="AC791" t="s">
        <v>83</v>
      </c>
      <c r="AE791" t="s">
        <v>75</v>
      </c>
      <c r="AF791" t="s">
        <v>84</v>
      </c>
      <c r="AG791" t="s">
        <v>84</v>
      </c>
      <c r="AH791" s="33">
        <f t="shared" si="37"/>
      </c>
      <c r="AI791" s="33">
        <f t="shared" si="38"/>
      </c>
    </row>
    <row r="792" ht="27.6" customHeight="1" spans="1:35" x14ac:dyDescent="0.25">
      <c r="A792" s="27" t="s">
        <v>2751</v>
      </c>
      <c r="B792">
        <f t="shared" si="36"/>
        <v>0</v>
      </c>
      <c r="C792" t="s">
        <v>64</v>
      </c>
      <c r="D792" s="27" t="s">
        <v>102</v>
      </c>
      <c r="E792" t="s">
        <v>2752</v>
      </c>
      <c r="F792" s="28">
        <v>0</v>
      </c>
      <c r="G792" s="29">
        <v>1</v>
      </c>
      <c r="H792" s="30" t="s">
        <v>2753</v>
      </c>
      <c r="I792" t="s">
        <v>65</v>
      </c>
      <c r="J7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145</v>
      </c>
      <c r="L792" t="s">
        <v>146</v>
      </c>
      <c r="N792" s="29">
        <v>1</v>
      </c>
      <c r="P792" s="29">
        <v>1</v>
      </c>
      <c r="R792" s="29">
        <v>1</v>
      </c>
      <c r="S792" t="s">
        <v>70</v>
      </c>
      <c r="T792" t="s">
        <v>72</v>
      </c>
      <c r="U792" s="32">
        <v>30</v>
      </c>
      <c r="V792">
        <v>30</v>
      </c>
      <c r="W792" t="s">
        <v>79</v>
      </c>
      <c r="X792" t="s">
        <v>770</v>
      </c>
      <c r="Y792" t="s">
        <v>2754</v>
      </c>
      <c r="AA792" t="s">
        <v>75</v>
      </c>
      <c r="AC792" t="s">
        <v>83</v>
      </c>
      <c r="AE792" t="s">
        <v>75</v>
      </c>
      <c r="AF792" t="s">
        <v>84</v>
      </c>
      <c r="AG792" t="s">
        <v>84</v>
      </c>
      <c r="AH792" s="33">
        <f t="shared" si="37"/>
      </c>
      <c r="AI792" s="33">
        <f t="shared" si="38"/>
      </c>
    </row>
    <row r="793" ht="27.6" customHeight="1" spans="1:35" x14ac:dyDescent="0.25">
      <c r="A793" s="27" t="s">
        <v>2095</v>
      </c>
      <c r="B793">
        <f t="shared" si="36"/>
        <v>0</v>
      </c>
      <c r="C793" t="s">
        <v>64</v>
      </c>
      <c r="D793" s="27" t="s">
        <v>102</v>
      </c>
      <c r="E793" t="s">
        <v>2755</v>
      </c>
      <c r="F793" s="28">
        <v>0</v>
      </c>
      <c r="G793" s="29">
        <v>1</v>
      </c>
      <c r="H793" s="30" t="s">
        <v>2756</v>
      </c>
      <c r="I793" t="s">
        <v>65</v>
      </c>
      <c r="J7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145</v>
      </c>
      <c r="L793" t="s">
        <v>146</v>
      </c>
      <c r="N793" s="29">
        <v>1</v>
      </c>
      <c r="P793" s="29">
        <v>1</v>
      </c>
      <c r="R793" s="29">
        <v>1</v>
      </c>
      <c r="S793" t="s">
        <v>70</v>
      </c>
      <c r="T793" t="s">
        <v>72</v>
      </c>
      <c r="U793" s="32">
        <v>30</v>
      </c>
      <c r="V793">
        <v>30</v>
      </c>
      <c r="W793" t="s">
        <v>79</v>
      </c>
      <c r="X793" t="s">
        <v>171</v>
      </c>
      <c r="Y793" t="s">
        <v>2757</v>
      </c>
      <c r="AA793" t="s">
        <v>75</v>
      </c>
      <c r="AC793" t="s">
        <v>83</v>
      </c>
      <c r="AE793" t="s">
        <v>75</v>
      </c>
      <c r="AF793" t="s">
        <v>84</v>
      </c>
      <c r="AG793" t="s">
        <v>84</v>
      </c>
      <c r="AH793" s="33">
        <f t="shared" si="37"/>
      </c>
      <c r="AI793" s="33">
        <f t="shared" si="38"/>
      </c>
    </row>
    <row r="794" ht="27.6" customHeight="1" spans="1:35" x14ac:dyDescent="0.25">
      <c r="A794" s="27" t="s">
        <v>976</v>
      </c>
      <c r="B794">
        <f t="shared" si="36"/>
        <v>0</v>
      </c>
      <c r="C794" t="s">
        <v>64</v>
      </c>
      <c r="D794" s="27" t="s">
        <v>2758</v>
      </c>
      <c r="E794" t="s">
        <v>2759</v>
      </c>
      <c r="F794" s="28">
        <v>0</v>
      </c>
      <c r="G794" s="29">
        <v>1</v>
      </c>
      <c r="H794" s="30" t="s">
        <v>2760</v>
      </c>
      <c r="I794" t="s">
        <v>65</v>
      </c>
      <c r="J7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145</v>
      </c>
      <c r="L794" t="s">
        <v>146</v>
      </c>
      <c r="N794" s="29">
        <v>1</v>
      </c>
      <c r="P794" s="29">
        <v>1</v>
      </c>
      <c r="R794" s="29">
        <v>1</v>
      </c>
      <c r="S794" t="s">
        <v>70</v>
      </c>
      <c r="T794" t="s">
        <v>72</v>
      </c>
      <c r="U794" s="32">
        <v>30</v>
      </c>
      <c r="V794">
        <v>30</v>
      </c>
      <c r="W794" t="s">
        <v>79</v>
      </c>
      <c r="X794" t="s">
        <v>171</v>
      </c>
      <c r="Y794" t="s">
        <v>981</v>
      </c>
      <c r="AA794" t="s">
        <v>75</v>
      </c>
      <c r="AC794" t="s">
        <v>83</v>
      </c>
      <c r="AE794" t="s">
        <v>75</v>
      </c>
      <c r="AF794" t="s">
        <v>84</v>
      </c>
      <c r="AG794" t="s">
        <v>84</v>
      </c>
      <c r="AH794" s="33">
        <f t="shared" si="37"/>
      </c>
      <c r="AI794" s="33">
        <f t="shared" si="38"/>
      </c>
    </row>
    <row r="795" ht="27.6" customHeight="1" spans="1:35" x14ac:dyDescent="0.25">
      <c r="A795" s="27" t="s">
        <v>2761</v>
      </c>
      <c r="B795">
        <f t="shared" si="36"/>
        <v>0</v>
      </c>
      <c r="C795" t="s">
        <v>64</v>
      </c>
      <c r="D795" s="27" t="s">
        <v>102</v>
      </c>
      <c r="E795" t="s">
        <v>2762</v>
      </c>
      <c r="F795" s="28">
        <v>0</v>
      </c>
      <c r="G795" s="29">
        <v>1</v>
      </c>
      <c r="H795" s="30" t="s">
        <v>2763</v>
      </c>
      <c r="I795" t="s">
        <v>65</v>
      </c>
      <c r="J7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145</v>
      </c>
      <c r="L795" t="s">
        <v>146</v>
      </c>
      <c r="N795" s="29">
        <v>1</v>
      </c>
      <c r="P795" s="29">
        <v>1</v>
      </c>
      <c r="R795" s="29">
        <v>1</v>
      </c>
      <c r="S795" t="s">
        <v>70</v>
      </c>
      <c r="T795" t="s">
        <v>72</v>
      </c>
      <c r="U795" s="32">
        <v>30</v>
      </c>
      <c r="V795">
        <v>30</v>
      </c>
      <c r="W795" t="s">
        <v>79</v>
      </c>
      <c r="X795" t="s">
        <v>171</v>
      </c>
      <c r="Y795" t="s">
        <v>2764</v>
      </c>
      <c r="AA795" t="s">
        <v>75</v>
      </c>
      <c r="AC795" t="s">
        <v>83</v>
      </c>
      <c r="AE795" t="s">
        <v>75</v>
      </c>
      <c r="AF795" t="s">
        <v>84</v>
      </c>
      <c r="AG795" t="s">
        <v>84</v>
      </c>
      <c r="AH795" s="33">
        <f t="shared" si="37"/>
      </c>
      <c r="AI795" s="33">
        <f t="shared" si="38"/>
      </c>
    </row>
    <row r="796" ht="27.6" customHeight="1" spans="1:35" x14ac:dyDescent="0.25">
      <c r="A796" s="27" t="s">
        <v>2765</v>
      </c>
      <c r="B796">
        <f t="shared" si="36"/>
        <v>0</v>
      </c>
      <c r="C796" t="s">
        <v>64</v>
      </c>
      <c r="D796" s="27" t="s">
        <v>102</v>
      </c>
      <c r="E796" t="s">
        <v>2766</v>
      </c>
      <c r="F796" s="28">
        <v>0</v>
      </c>
      <c r="G796" s="29">
        <v>1</v>
      </c>
      <c r="H796" s="30" t="s">
        <v>2767</v>
      </c>
      <c r="I796" t="s">
        <v>65</v>
      </c>
      <c r="J7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145</v>
      </c>
      <c r="L796" t="s">
        <v>146</v>
      </c>
      <c r="N796" s="29">
        <v>1</v>
      </c>
      <c r="P796" s="29">
        <v>1</v>
      </c>
      <c r="R796" s="29">
        <v>1</v>
      </c>
      <c r="S796" t="s">
        <v>70</v>
      </c>
      <c r="T796" t="s">
        <v>72</v>
      </c>
      <c r="U796" s="32">
        <v>30</v>
      </c>
      <c r="V796">
        <v>30</v>
      </c>
      <c r="W796" t="s">
        <v>79</v>
      </c>
      <c r="X796" t="s">
        <v>171</v>
      </c>
      <c r="Y796" t="s">
        <v>2768</v>
      </c>
      <c r="AA796" t="s">
        <v>75</v>
      </c>
      <c r="AC796" t="s">
        <v>83</v>
      </c>
      <c r="AE796" t="s">
        <v>75</v>
      </c>
      <c r="AF796" t="s">
        <v>84</v>
      </c>
      <c r="AG796" t="s">
        <v>84</v>
      </c>
      <c r="AH796" s="33">
        <f t="shared" si="37"/>
      </c>
      <c r="AI796" s="33">
        <f t="shared" si="38"/>
      </c>
    </row>
    <row r="797" ht="27.6" customHeight="1" spans="1:35" x14ac:dyDescent="0.25">
      <c r="A797" s="27" t="s">
        <v>2769</v>
      </c>
      <c r="B797">
        <f t="shared" si="36"/>
        <v>0</v>
      </c>
      <c r="C797" t="s">
        <v>64</v>
      </c>
      <c r="D797" s="27" t="s">
        <v>2770</v>
      </c>
      <c r="E797" t="s">
        <v>2771</v>
      </c>
      <c r="F797" s="28">
        <v>0</v>
      </c>
      <c r="G797" s="29">
        <v>1</v>
      </c>
      <c r="H797" s="30" t="s">
        <v>2772</v>
      </c>
      <c r="I797" t="s">
        <v>65</v>
      </c>
      <c r="J7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145</v>
      </c>
      <c r="L797" t="s">
        <v>146</v>
      </c>
      <c r="N797" s="29">
        <v>1</v>
      </c>
      <c r="P797" s="29">
        <v>1</v>
      </c>
      <c r="R797" s="29">
        <v>1</v>
      </c>
      <c r="S797" t="s">
        <v>70</v>
      </c>
      <c r="T797" t="s">
        <v>72</v>
      </c>
      <c r="U797" s="32">
        <v>30</v>
      </c>
      <c r="V797">
        <v>30</v>
      </c>
      <c r="W797" t="s">
        <v>79</v>
      </c>
      <c r="X797" t="s">
        <v>171</v>
      </c>
      <c r="Y797" t="s">
        <v>2773</v>
      </c>
      <c r="AA797" t="s">
        <v>75</v>
      </c>
      <c r="AC797" t="s">
        <v>83</v>
      </c>
      <c r="AE797" t="s">
        <v>75</v>
      </c>
      <c r="AF797" t="s">
        <v>84</v>
      </c>
      <c r="AG797" t="s">
        <v>84</v>
      </c>
      <c r="AH797" s="33">
        <f t="shared" si="37"/>
      </c>
      <c r="AI797" s="33">
        <f t="shared" si="38"/>
      </c>
    </row>
    <row r="798" ht="27.6" customHeight="1" spans="1:35" x14ac:dyDescent="0.25">
      <c r="A798" s="27" t="s">
        <v>2774</v>
      </c>
      <c r="B798">
        <f t="shared" si="36"/>
        <v>0</v>
      </c>
      <c r="C798" t="s">
        <v>64</v>
      </c>
      <c r="D798" s="27" t="s">
        <v>2775</v>
      </c>
      <c r="E798" t="s">
        <v>2776</v>
      </c>
      <c r="F798" s="28">
        <v>0</v>
      </c>
      <c r="G798" s="29">
        <v>1</v>
      </c>
      <c r="H798" s="30" t="s">
        <v>2777</v>
      </c>
      <c r="I798" t="s">
        <v>65</v>
      </c>
      <c r="J7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145</v>
      </c>
      <c r="L798" t="s">
        <v>146</v>
      </c>
      <c r="N798" s="29">
        <v>1</v>
      </c>
      <c r="P798" s="29">
        <v>1</v>
      </c>
      <c r="R798" s="29">
        <v>1</v>
      </c>
      <c r="S798" t="s">
        <v>70</v>
      </c>
      <c r="T798" t="s">
        <v>72</v>
      </c>
      <c r="U798" s="32">
        <v>30</v>
      </c>
      <c r="V798">
        <v>30</v>
      </c>
      <c r="W798" t="s">
        <v>79</v>
      </c>
      <c r="X798" t="s">
        <v>171</v>
      </c>
      <c r="Y798" t="s">
        <v>2778</v>
      </c>
      <c r="AA798" t="s">
        <v>75</v>
      </c>
      <c r="AC798" t="s">
        <v>83</v>
      </c>
      <c r="AE798" t="s">
        <v>75</v>
      </c>
      <c r="AF798" t="s">
        <v>84</v>
      </c>
      <c r="AG798" t="s">
        <v>84</v>
      </c>
      <c r="AH798" s="33">
        <f t="shared" si="37"/>
      </c>
      <c r="AI798" s="33">
        <f t="shared" si="38"/>
      </c>
    </row>
    <row r="799" ht="27.6" customHeight="1" spans="1:35" x14ac:dyDescent="0.25">
      <c r="A799" s="27" t="s">
        <v>2779</v>
      </c>
      <c r="B799">
        <f t="shared" si="36"/>
        <v>0</v>
      </c>
      <c r="C799" t="s">
        <v>64</v>
      </c>
      <c r="D799" s="27" t="s">
        <v>102</v>
      </c>
      <c r="E799" t="s">
        <v>2780</v>
      </c>
      <c r="F799" s="28">
        <v>0</v>
      </c>
      <c r="G799" s="29">
        <v>1</v>
      </c>
      <c r="H799" s="30" t="s">
        <v>2781</v>
      </c>
      <c r="I799" t="s">
        <v>65</v>
      </c>
      <c r="J7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145</v>
      </c>
      <c r="L799" t="s">
        <v>146</v>
      </c>
      <c r="N799" s="29">
        <v>1</v>
      </c>
      <c r="P799" s="29">
        <v>1</v>
      </c>
      <c r="R799" s="29">
        <v>1</v>
      </c>
      <c r="S799" t="s">
        <v>70</v>
      </c>
      <c r="T799" t="s">
        <v>72</v>
      </c>
      <c r="U799" s="32">
        <v>30</v>
      </c>
      <c r="V799">
        <v>30</v>
      </c>
      <c r="W799" t="s">
        <v>79</v>
      </c>
      <c r="X799" t="s">
        <v>166</v>
      </c>
      <c r="Y799" t="s">
        <v>2782</v>
      </c>
      <c r="AA799" t="s">
        <v>75</v>
      </c>
      <c r="AC799" t="s">
        <v>83</v>
      </c>
      <c r="AE799" t="s">
        <v>75</v>
      </c>
      <c r="AF799" t="s">
        <v>84</v>
      </c>
      <c r="AG799" t="s">
        <v>84</v>
      </c>
      <c r="AH799" s="33">
        <f t="shared" si="37"/>
      </c>
      <c r="AI799" s="33">
        <f t="shared" si="38"/>
      </c>
    </row>
    <row r="800" ht="27.6" customHeight="1" spans="1:35" x14ac:dyDescent="0.25">
      <c r="A800" s="27" t="s">
        <v>2779</v>
      </c>
      <c r="B800">
        <f t="shared" si="36"/>
        <v>0</v>
      </c>
      <c r="C800" t="s">
        <v>64</v>
      </c>
      <c r="D800" s="27" t="s">
        <v>2783</v>
      </c>
      <c r="E800" t="s">
        <v>2784</v>
      </c>
      <c r="F800" s="28">
        <v>0</v>
      </c>
      <c r="G800" s="29">
        <v>1</v>
      </c>
      <c r="H800" s="30" t="s">
        <v>2785</v>
      </c>
      <c r="I800" t="s">
        <v>65</v>
      </c>
      <c r="J8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145</v>
      </c>
      <c r="L800" t="s">
        <v>146</v>
      </c>
      <c r="N800" s="29">
        <v>1</v>
      </c>
      <c r="P800" s="29">
        <v>1</v>
      </c>
      <c r="R800" s="29">
        <v>1</v>
      </c>
      <c r="S800" t="s">
        <v>70</v>
      </c>
      <c r="T800" t="s">
        <v>72</v>
      </c>
      <c r="U800" s="32">
        <v>30</v>
      </c>
      <c r="V800">
        <v>30</v>
      </c>
      <c r="W800" t="s">
        <v>79</v>
      </c>
      <c r="X800" t="s">
        <v>171</v>
      </c>
      <c r="Y800" t="s">
        <v>2782</v>
      </c>
      <c r="AA800" t="s">
        <v>75</v>
      </c>
      <c r="AC800" t="s">
        <v>83</v>
      </c>
      <c r="AE800" t="s">
        <v>75</v>
      </c>
      <c r="AF800" t="s">
        <v>84</v>
      </c>
      <c r="AG800" t="s">
        <v>84</v>
      </c>
      <c r="AH800" s="33">
        <f t="shared" si="37"/>
      </c>
      <c r="AI800" s="33">
        <f t="shared" si="38"/>
      </c>
    </row>
    <row r="801" ht="27.6" customHeight="1" spans="1:35" x14ac:dyDescent="0.25">
      <c r="A801" s="27" t="s">
        <v>2786</v>
      </c>
      <c r="B801">
        <f t="shared" si="36"/>
        <v>0</v>
      </c>
      <c r="C801" t="s">
        <v>64</v>
      </c>
      <c r="D801" s="27" t="s">
        <v>102</v>
      </c>
      <c r="E801" t="s">
        <v>2787</v>
      </c>
      <c r="F801" s="28">
        <v>0</v>
      </c>
      <c r="G801" s="29">
        <v>1</v>
      </c>
      <c r="H801" s="30" t="s">
        <v>2788</v>
      </c>
      <c r="I801" t="s">
        <v>65</v>
      </c>
      <c r="J8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145</v>
      </c>
      <c r="L801" t="s">
        <v>146</v>
      </c>
      <c r="N801" s="29">
        <v>1</v>
      </c>
      <c r="P801" s="29">
        <v>1</v>
      </c>
      <c r="R801" s="29">
        <v>1</v>
      </c>
      <c r="S801" t="s">
        <v>70</v>
      </c>
      <c r="T801" t="s">
        <v>72</v>
      </c>
      <c r="U801" s="32">
        <v>30</v>
      </c>
      <c r="V801">
        <v>30</v>
      </c>
      <c r="W801" t="s">
        <v>79</v>
      </c>
      <c r="X801" t="s">
        <v>171</v>
      </c>
      <c r="Y801" t="s">
        <v>2782</v>
      </c>
      <c r="AA801" t="s">
        <v>75</v>
      </c>
      <c r="AC801" t="s">
        <v>83</v>
      </c>
      <c r="AE801" t="s">
        <v>75</v>
      </c>
      <c r="AF801" t="s">
        <v>84</v>
      </c>
      <c r="AG801" t="s">
        <v>84</v>
      </c>
      <c r="AH801" s="33">
        <f t="shared" si="37"/>
      </c>
      <c r="AI801" s="33">
        <f t="shared" si="38"/>
      </c>
    </row>
    <row r="802" ht="27.6" customHeight="1" spans="1:35" x14ac:dyDescent="0.25">
      <c r="A802" s="27" t="s">
        <v>2789</v>
      </c>
      <c r="B802">
        <f t="shared" si="36"/>
        <v>0</v>
      </c>
      <c r="C802" t="s">
        <v>64</v>
      </c>
      <c r="D802" s="27" t="s">
        <v>2790</v>
      </c>
      <c r="E802" t="s">
        <v>2791</v>
      </c>
      <c r="F802" s="28">
        <v>0</v>
      </c>
      <c r="G802" s="29">
        <v>1</v>
      </c>
      <c r="H802" s="30" t="s">
        <v>2792</v>
      </c>
      <c r="I802" t="s">
        <v>65</v>
      </c>
      <c r="J8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145</v>
      </c>
      <c r="L802" t="s">
        <v>146</v>
      </c>
      <c r="N802" s="29">
        <v>1</v>
      </c>
      <c r="P802" s="29">
        <v>1</v>
      </c>
      <c r="R802" s="29">
        <v>1</v>
      </c>
      <c r="S802" t="s">
        <v>70</v>
      </c>
      <c r="T802" t="s">
        <v>72</v>
      </c>
      <c r="U802" s="32">
        <v>30</v>
      </c>
      <c r="V802">
        <v>30</v>
      </c>
      <c r="W802" t="s">
        <v>79</v>
      </c>
      <c r="X802" t="s">
        <v>171</v>
      </c>
      <c r="Y802" t="s">
        <v>2793</v>
      </c>
      <c r="AA802" t="s">
        <v>75</v>
      </c>
      <c r="AC802" t="s">
        <v>83</v>
      </c>
      <c r="AE802" t="s">
        <v>75</v>
      </c>
      <c r="AF802" t="s">
        <v>84</v>
      </c>
      <c r="AG802" t="s">
        <v>84</v>
      </c>
      <c r="AH802" s="33">
        <f t="shared" si="37"/>
      </c>
      <c r="AI802" s="33">
        <f t="shared" si="38"/>
      </c>
    </row>
    <row r="803" ht="27.6" customHeight="1" spans="1:35" x14ac:dyDescent="0.25">
      <c r="A803" s="27" t="s">
        <v>2794</v>
      </c>
      <c r="B803">
        <f t="shared" si="36"/>
        <v>0</v>
      </c>
      <c r="C803" t="s">
        <v>64</v>
      </c>
      <c r="D803" s="27" t="s">
        <v>2795</v>
      </c>
      <c r="E803" t="s">
        <v>2796</v>
      </c>
      <c r="F803" s="28">
        <v>0</v>
      </c>
      <c r="G803" s="29">
        <v>1</v>
      </c>
      <c r="H803" s="30" t="s">
        <v>2797</v>
      </c>
      <c r="I803" t="s">
        <v>65</v>
      </c>
      <c r="J8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145</v>
      </c>
      <c r="L803" t="s">
        <v>146</v>
      </c>
      <c r="N803" s="29">
        <v>1</v>
      </c>
      <c r="P803" s="29">
        <v>1</v>
      </c>
      <c r="R803" s="29">
        <v>1</v>
      </c>
      <c r="S803" t="s">
        <v>70</v>
      </c>
      <c r="T803" t="s">
        <v>72</v>
      </c>
      <c r="U803" s="32">
        <v>30</v>
      </c>
      <c r="V803">
        <v>30</v>
      </c>
      <c r="W803" t="s">
        <v>79</v>
      </c>
      <c r="X803" t="s">
        <v>171</v>
      </c>
      <c r="Y803" t="s">
        <v>2798</v>
      </c>
      <c r="AA803" t="s">
        <v>75</v>
      </c>
      <c r="AC803" t="s">
        <v>83</v>
      </c>
      <c r="AE803" t="s">
        <v>75</v>
      </c>
      <c r="AF803" t="s">
        <v>84</v>
      </c>
      <c r="AG803" t="s">
        <v>84</v>
      </c>
      <c r="AH803" s="33">
        <f t="shared" si="37"/>
      </c>
      <c r="AI803" s="33">
        <f t="shared" si="38"/>
      </c>
    </row>
    <row r="804" ht="27.6" customHeight="1" spans="1:35" x14ac:dyDescent="0.25">
      <c r="A804" s="27" t="s">
        <v>2799</v>
      </c>
      <c r="B804">
        <f t="shared" si="36"/>
        <v>0</v>
      </c>
      <c r="C804" t="s">
        <v>64</v>
      </c>
      <c r="D804" s="27" t="s">
        <v>2795</v>
      </c>
      <c r="E804" t="s">
        <v>2796</v>
      </c>
      <c r="F804" s="28">
        <v>0</v>
      </c>
      <c r="G804" s="29">
        <v>1</v>
      </c>
      <c r="H804" s="30" t="s">
        <v>2800</v>
      </c>
      <c r="I804" t="s">
        <v>65</v>
      </c>
      <c r="J8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145</v>
      </c>
      <c r="L804" t="s">
        <v>146</v>
      </c>
      <c r="N804" s="29">
        <v>1</v>
      </c>
      <c r="P804" s="29">
        <v>1</v>
      </c>
      <c r="R804" s="29">
        <v>1</v>
      </c>
      <c r="S804" t="s">
        <v>70</v>
      </c>
      <c r="T804" t="s">
        <v>72</v>
      </c>
      <c r="U804" s="32">
        <v>30</v>
      </c>
      <c r="V804">
        <v>30</v>
      </c>
      <c r="W804" t="s">
        <v>79</v>
      </c>
      <c r="X804" t="s">
        <v>171</v>
      </c>
      <c r="Y804" t="s">
        <v>2798</v>
      </c>
      <c r="AA804" t="s">
        <v>75</v>
      </c>
      <c r="AC804" t="s">
        <v>83</v>
      </c>
      <c r="AE804" t="s">
        <v>75</v>
      </c>
      <c r="AF804" t="s">
        <v>84</v>
      </c>
      <c r="AG804" t="s">
        <v>84</v>
      </c>
      <c r="AH804" s="33">
        <f t="shared" si="37"/>
      </c>
      <c r="AI804" s="33">
        <f t="shared" si="38"/>
      </c>
    </row>
    <row r="805" ht="27.6" customHeight="1" spans="1:35" x14ac:dyDescent="0.25">
      <c r="A805" s="27" t="s">
        <v>2801</v>
      </c>
      <c r="B805">
        <f t="shared" si="36"/>
        <v>0</v>
      </c>
      <c r="C805" t="s">
        <v>64</v>
      </c>
      <c r="D805" s="27" t="s">
        <v>2802</v>
      </c>
      <c r="E805" t="s">
        <v>2803</v>
      </c>
      <c r="F805" s="28">
        <v>0</v>
      </c>
      <c r="G805" s="29">
        <v>1</v>
      </c>
      <c r="H805" s="30" t="s">
        <v>2804</v>
      </c>
      <c r="I805" t="s">
        <v>65</v>
      </c>
      <c r="J8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145</v>
      </c>
      <c r="L805" t="s">
        <v>146</v>
      </c>
      <c r="N805" s="29">
        <v>1</v>
      </c>
      <c r="P805" s="29">
        <v>1</v>
      </c>
      <c r="R805" s="29">
        <v>1</v>
      </c>
      <c r="S805" t="s">
        <v>70</v>
      </c>
      <c r="T805" t="s">
        <v>72</v>
      </c>
      <c r="U805" s="32">
        <v>30</v>
      </c>
      <c r="V805">
        <v>30</v>
      </c>
      <c r="W805" t="s">
        <v>79</v>
      </c>
      <c r="X805" t="s">
        <v>171</v>
      </c>
      <c r="Y805" t="s">
        <v>2805</v>
      </c>
      <c r="AA805" t="s">
        <v>75</v>
      </c>
      <c r="AC805" t="s">
        <v>83</v>
      </c>
      <c r="AE805" t="s">
        <v>75</v>
      </c>
      <c r="AF805" t="s">
        <v>84</v>
      </c>
      <c r="AG805" t="s">
        <v>84</v>
      </c>
      <c r="AH805" s="33">
        <f t="shared" si="37"/>
      </c>
      <c r="AI805" s="33">
        <f t="shared" si="38"/>
      </c>
    </row>
    <row r="806" ht="27.6" customHeight="1" spans="1:35" x14ac:dyDescent="0.25">
      <c r="A806" s="27" t="s">
        <v>2806</v>
      </c>
      <c r="B806">
        <f t="shared" si="36"/>
        <v>0</v>
      </c>
      <c r="C806" t="s">
        <v>64</v>
      </c>
      <c r="D806" s="27" t="s">
        <v>2802</v>
      </c>
      <c r="E806" t="s">
        <v>2803</v>
      </c>
      <c r="F806" s="28">
        <v>0</v>
      </c>
      <c r="G806" s="29">
        <v>1</v>
      </c>
      <c r="H806" s="30" t="s">
        <v>2807</v>
      </c>
      <c r="I806" t="s">
        <v>65</v>
      </c>
      <c r="J8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145</v>
      </c>
      <c r="L806" t="s">
        <v>146</v>
      </c>
      <c r="N806" s="29">
        <v>1</v>
      </c>
      <c r="P806" s="29">
        <v>1</v>
      </c>
      <c r="R806" s="29">
        <v>1</v>
      </c>
      <c r="S806" t="s">
        <v>70</v>
      </c>
      <c r="T806" t="s">
        <v>72</v>
      </c>
      <c r="U806" s="32">
        <v>30</v>
      </c>
      <c r="V806">
        <v>30</v>
      </c>
      <c r="W806" t="s">
        <v>79</v>
      </c>
      <c r="X806" t="s">
        <v>171</v>
      </c>
      <c r="Y806" t="s">
        <v>2805</v>
      </c>
      <c r="AA806" t="s">
        <v>75</v>
      </c>
      <c r="AC806" t="s">
        <v>83</v>
      </c>
      <c r="AE806" t="s">
        <v>75</v>
      </c>
      <c r="AF806" t="s">
        <v>84</v>
      </c>
      <c r="AG806" t="s">
        <v>84</v>
      </c>
      <c r="AH806" s="33">
        <f t="shared" si="37"/>
      </c>
      <c r="AI806" s="33">
        <f t="shared" si="38"/>
      </c>
    </row>
    <row r="807" ht="27.6" customHeight="1" spans="1:35" x14ac:dyDescent="0.25">
      <c r="A807" s="27" t="s">
        <v>2808</v>
      </c>
      <c r="B807">
        <f t="shared" si="36"/>
        <v>0</v>
      </c>
      <c r="C807" t="s">
        <v>64</v>
      </c>
      <c r="D807" s="27" t="s">
        <v>102</v>
      </c>
      <c r="E807" t="s">
        <v>2809</v>
      </c>
      <c r="F807" s="28">
        <v>0</v>
      </c>
      <c r="G807" s="29">
        <v>1</v>
      </c>
      <c r="H807" s="30" t="s">
        <v>2810</v>
      </c>
      <c r="I807" t="s">
        <v>65</v>
      </c>
      <c r="J8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145</v>
      </c>
      <c r="L807" t="s">
        <v>146</v>
      </c>
      <c r="N807" s="29">
        <v>1</v>
      </c>
      <c r="P807" s="29">
        <v>1</v>
      </c>
      <c r="R807" s="29">
        <v>1</v>
      </c>
      <c r="S807" t="s">
        <v>70</v>
      </c>
      <c r="T807" t="s">
        <v>72</v>
      </c>
      <c r="U807" s="32">
        <v>30</v>
      </c>
      <c r="V807">
        <v>30</v>
      </c>
      <c r="W807" t="s">
        <v>79</v>
      </c>
      <c r="X807" t="s">
        <v>171</v>
      </c>
      <c r="Y807" t="s">
        <v>2809</v>
      </c>
      <c r="AA807" t="s">
        <v>75</v>
      </c>
      <c r="AC807" t="s">
        <v>83</v>
      </c>
      <c r="AE807" t="s">
        <v>75</v>
      </c>
      <c r="AF807" t="s">
        <v>84</v>
      </c>
      <c r="AG807" t="s">
        <v>84</v>
      </c>
      <c r="AH807" s="33">
        <f t="shared" si="37"/>
      </c>
      <c r="AI807" s="33">
        <f t="shared" si="38"/>
      </c>
    </row>
    <row r="808" ht="27.6" customHeight="1" spans="1:35" x14ac:dyDescent="0.25">
      <c r="A808" s="27" t="s">
        <v>2811</v>
      </c>
      <c r="B808">
        <f t="shared" si="36"/>
        <v>0</v>
      </c>
      <c r="C808" t="s">
        <v>64</v>
      </c>
      <c r="D808" s="27" t="s">
        <v>102</v>
      </c>
      <c r="E808" t="s">
        <v>2812</v>
      </c>
      <c r="F808" s="28">
        <v>0</v>
      </c>
      <c r="G808" s="29">
        <v>1</v>
      </c>
      <c r="H808" s="30" t="s">
        <v>2813</v>
      </c>
      <c r="I808" t="s">
        <v>65</v>
      </c>
      <c r="J8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145</v>
      </c>
      <c r="L808" t="s">
        <v>146</v>
      </c>
      <c r="N808" s="29">
        <v>1</v>
      </c>
      <c r="P808" s="29">
        <v>1</v>
      </c>
      <c r="R808" s="29">
        <v>1</v>
      </c>
      <c r="S808" t="s">
        <v>70</v>
      </c>
      <c r="T808" t="s">
        <v>72</v>
      </c>
      <c r="U808" s="32">
        <v>30</v>
      </c>
      <c r="V808">
        <v>30</v>
      </c>
      <c r="W808" t="s">
        <v>79</v>
      </c>
      <c r="X808" t="s">
        <v>171</v>
      </c>
      <c r="Y808" t="s">
        <v>2812</v>
      </c>
      <c r="AA808" t="s">
        <v>75</v>
      </c>
      <c r="AC808" t="s">
        <v>83</v>
      </c>
      <c r="AE808" t="s">
        <v>75</v>
      </c>
      <c r="AF808" t="s">
        <v>84</v>
      </c>
      <c r="AG808" t="s">
        <v>84</v>
      </c>
      <c r="AH808" s="33">
        <f t="shared" si="37"/>
      </c>
      <c r="AI808" s="33">
        <f t="shared" si="38"/>
      </c>
    </row>
    <row r="809" ht="27.6" customHeight="1" spans="1:35" x14ac:dyDescent="0.25">
      <c r="A809" s="27" t="s">
        <v>2814</v>
      </c>
      <c r="B809">
        <f t="shared" si="36"/>
        <v>0</v>
      </c>
      <c r="C809" t="s">
        <v>64</v>
      </c>
      <c r="D809" s="27" t="s">
        <v>102</v>
      </c>
      <c r="E809" t="s">
        <v>2815</v>
      </c>
      <c r="F809" s="28">
        <v>0</v>
      </c>
      <c r="G809" s="29">
        <v>1</v>
      </c>
      <c r="H809" s="30" t="s">
        <v>2816</v>
      </c>
      <c r="I809" t="s">
        <v>65</v>
      </c>
      <c r="J8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145</v>
      </c>
      <c r="L809" t="s">
        <v>146</v>
      </c>
      <c r="N809" s="29">
        <v>1</v>
      </c>
      <c r="P809" s="29">
        <v>1</v>
      </c>
      <c r="R809" s="29">
        <v>1</v>
      </c>
      <c r="S809" t="s">
        <v>70</v>
      </c>
      <c r="T809" t="s">
        <v>72</v>
      </c>
      <c r="U809" s="32">
        <v>30</v>
      </c>
      <c r="V809">
        <v>30</v>
      </c>
      <c r="W809" t="s">
        <v>79</v>
      </c>
      <c r="X809" t="s">
        <v>770</v>
      </c>
      <c r="Y809" t="s">
        <v>2815</v>
      </c>
      <c r="AA809" t="s">
        <v>75</v>
      </c>
      <c r="AC809" t="s">
        <v>83</v>
      </c>
      <c r="AE809" t="s">
        <v>75</v>
      </c>
      <c r="AF809" t="s">
        <v>84</v>
      </c>
      <c r="AG809" t="s">
        <v>84</v>
      </c>
      <c r="AH809" s="33">
        <f t="shared" si="37"/>
      </c>
      <c r="AI809" s="33">
        <f t="shared" si="38"/>
      </c>
    </row>
    <row r="810" ht="27.6" customHeight="1" spans="1:35" x14ac:dyDescent="0.25">
      <c r="A810" s="27" t="s">
        <v>2817</v>
      </c>
      <c r="B810">
        <f t="shared" si="36"/>
        <v>0</v>
      </c>
      <c r="C810" t="s">
        <v>64</v>
      </c>
      <c r="D810" s="27" t="s">
        <v>102</v>
      </c>
      <c r="E810" t="s">
        <v>2818</v>
      </c>
      <c r="F810" s="28">
        <v>0</v>
      </c>
      <c r="G810" s="29">
        <v>1</v>
      </c>
      <c r="H810" s="30" t="s">
        <v>2819</v>
      </c>
      <c r="I810" t="s">
        <v>65</v>
      </c>
      <c r="J8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145</v>
      </c>
      <c r="L810" t="s">
        <v>146</v>
      </c>
      <c r="N810" s="29">
        <v>1</v>
      </c>
      <c r="P810" s="29">
        <v>1</v>
      </c>
      <c r="R810" s="29">
        <v>1</v>
      </c>
      <c r="S810" t="s">
        <v>70</v>
      </c>
      <c r="T810" t="s">
        <v>72</v>
      </c>
      <c r="U810" s="32">
        <v>30</v>
      </c>
      <c r="V810">
        <v>30</v>
      </c>
      <c r="W810" t="s">
        <v>79</v>
      </c>
      <c r="X810" t="s">
        <v>770</v>
      </c>
      <c r="Y810" t="s">
        <v>2818</v>
      </c>
      <c r="AA810" t="s">
        <v>75</v>
      </c>
      <c r="AC810" t="s">
        <v>83</v>
      </c>
      <c r="AE810" t="s">
        <v>75</v>
      </c>
      <c r="AF810" t="s">
        <v>84</v>
      </c>
      <c r="AG810" t="s">
        <v>84</v>
      </c>
      <c r="AH810" s="33">
        <f t="shared" si="37"/>
      </c>
      <c r="AI810" s="33">
        <f t="shared" si="38"/>
      </c>
    </row>
    <row r="811" ht="27.6" customHeight="1" spans="1:35" x14ac:dyDescent="0.25">
      <c r="A811" s="27" t="s">
        <v>2820</v>
      </c>
      <c r="B811">
        <f t="shared" si="36"/>
        <v>0</v>
      </c>
      <c r="C811" t="s">
        <v>64</v>
      </c>
      <c r="D811" s="27" t="s">
        <v>102</v>
      </c>
      <c r="E811" t="s">
        <v>2821</v>
      </c>
      <c r="F811" s="28">
        <v>0</v>
      </c>
      <c r="G811" s="29">
        <v>1</v>
      </c>
      <c r="H811" s="30" t="s">
        <v>2822</v>
      </c>
      <c r="I811" t="s">
        <v>65</v>
      </c>
      <c r="J8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145</v>
      </c>
      <c r="L811" t="s">
        <v>146</v>
      </c>
      <c r="N811" s="29">
        <v>1</v>
      </c>
      <c r="P811" s="29">
        <v>1</v>
      </c>
      <c r="R811" s="29">
        <v>1</v>
      </c>
      <c r="S811" t="s">
        <v>70</v>
      </c>
      <c r="T811" t="s">
        <v>72</v>
      </c>
      <c r="U811" s="32">
        <v>30</v>
      </c>
      <c r="V811">
        <v>30</v>
      </c>
      <c r="W811" t="s">
        <v>79</v>
      </c>
      <c r="X811" t="s">
        <v>171</v>
      </c>
      <c r="Y811" t="s">
        <v>2821</v>
      </c>
      <c r="AA811" t="s">
        <v>75</v>
      </c>
      <c r="AC811" t="s">
        <v>83</v>
      </c>
      <c r="AE811" t="s">
        <v>75</v>
      </c>
      <c r="AF811" t="s">
        <v>84</v>
      </c>
      <c r="AG811" t="s">
        <v>84</v>
      </c>
      <c r="AH811" s="33">
        <f t="shared" si="37"/>
      </c>
      <c r="AI811" s="33">
        <f t="shared" si="38"/>
      </c>
    </row>
    <row r="812" ht="27.6" customHeight="1" spans="1:35" x14ac:dyDescent="0.25">
      <c r="A812" s="27" t="s">
        <v>2823</v>
      </c>
      <c r="B812">
        <f t="shared" si="36"/>
        <v>0</v>
      </c>
      <c r="C812" t="s">
        <v>64</v>
      </c>
      <c r="D812" s="27" t="s">
        <v>102</v>
      </c>
      <c r="E812" t="s">
        <v>2824</v>
      </c>
      <c r="F812" s="28">
        <v>0</v>
      </c>
      <c r="G812" s="29">
        <v>1</v>
      </c>
      <c r="H812" s="30" t="s">
        <v>2825</v>
      </c>
      <c r="I812" t="s">
        <v>65</v>
      </c>
      <c r="J8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145</v>
      </c>
      <c r="L812" t="s">
        <v>146</v>
      </c>
      <c r="N812" s="29">
        <v>1</v>
      </c>
      <c r="P812" s="29">
        <v>1</v>
      </c>
      <c r="R812" s="29">
        <v>1</v>
      </c>
      <c r="S812" t="s">
        <v>70</v>
      </c>
      <c r="T812" t="s">
        <v>72</v>
      </c>
      <c r="U812" s="32">
        <v>30</v>
      </c>
      <c r="V812">
        <v>30</v>
      </c>
      <c r="W812" t="s">
        <v>79</v>
      </c>
      <c r="X812" t="s">
        <v>171</v>
      </c>
      <c r="Y812" t="s">
        <v>2824</v>
      </c>
      <c r="AA812" t="s">
        <v>75</v>
      </c>
      <c r="AC812" t="s">
        <v>83</v>
      </c>
      <c r="AE812" t="s">
        <v>75</v>
      </c>
      <c r="AF812" t="s">
        <v>84</v>
      </c>
      <c r="AG812" t="s">
        <v>84</v>
      </c>
      <c r="AH812" s="33">
        <f t="shared" si="37"/>
      </c>
      <c r="AI812" s="33">
        <f t="shared" si="38"/>
      </c>
    </row>
    <row r="813" ht="27.6" customHeight="1" spans="1:35" x14ac:dyDescent="0.25">
      <c r="A813" s="27" t="s">
        <v>1046</v>
      </c>
      <c r="B813">
        <f t="shared" si="36"/>
        <v>0</v>
      </c>
      <c r="C813" t="s">
        <v>64</v>
      </c>
      <c r="D813" s="27" t="s">
        <v>102</v>
      </c>
      <c r="E813" t="s">
        <v>2826</v>
      </c>
      <c r="F813" s="28">
        <v>0</v>
      </c>
      <c r="G813" s="29">
        <v>1</v>
      </c>
      <c r="H813" s="30" t="s">
        <v>2827</v>
      </c>
      <c r="I813" t="s">
        <v>65</v>
      </c>
      <c r="J8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145</v>
      </c>
      <c r="L813" t="s">
        <v>146</v>
      </c>
      <c r="N813" s="29">
        <v>1</v>
      </c>
      <c r="P813" s="29">
        <v>1</v>
      </c>
      <c r="R813" s="29">
        <v>1</v>
      </c>
      <c r="S813" t="s">
        <v>70</v>
      </c>
      <c r="T813" t="s">
        <v>72</v>
      </c>
      <c r="U813" s="32">
        <v>30</v>
      </c>
      <c r="V813">
        <v>30</v>
      </c>
      <c r="W813" t="s">
        <v>79</v>
      </c>
      <c r="X813" t="s">
        <v>171</v>
      </c>
      <c r="Y813" t="s">
        <v>2828</v>
      </c>
      <c r="AA813" t="s">
        <v>75</v>
      </c>
      <c r="AC813" t="s">
        <v>83</v>
      </c>
      <c r="AE813" t="s">
        <v>75</v>
      </c>
      <c r="AF813" t="s">
        <v>84</v>
      </c>
      <c r="AG813" t="s">
        <v>84</v>
      </c>
      <c r="AH813" s="33">
        <f t="shared" si="37"/>
      </c>
      <c r="AI813" s="33">
        <f t="shared" si="38"/>
      </c>
    </row>
    <row r="814" ht="27.6" customHeight="1" spans="1:35" x14ac:dyDescent="0.25">
      <c r="A814" s="27" t="s">
        <v>1050</v>
      </c>
      <c r="B814">
        <f t="shared" si="36"/>
        <v>0</v>
      </c>
      <c r="C814" t="s">
        <v>64</v>
      </c>
      <c r="D814" s="27" t="s">
        <v>102</v>
      </c>
      <c r="E814" t="s">
        <v>2826</v>
      </c>
      <c r="F814" s="28">
        <v>0</v>
      </c>
      <c r="G814" s="29">
        <v>1</v>
      </c>
      <c r="H814" s="30" t="s">
        <v>2829</v>
      </c>
      <c r="I814" t="s">
        <v>65</v>
      </c>
      <c r="J8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145</v>
      </c>
      <c r="L814" t="s">
        <v>146</v>
      </c>
      <c r="N814" s="29">
        <v>1</v>
      </c>
      <c r="P814" s="29">
        <v>1</v>
      </c>
      <c r="R814" s="29">
        <v>1</v>
      </c>
      <c r="S814" t="s">
        <v>70</v>
      </c>
      <c r="T814" t="s">
        <v>72</v>
      </c>
      <c r="U814" s="32">
        <v>30</v>
      </c>
      <c r="V814">
        <v>30</v>
      </c>
      <c r="W814" t="s">
        <v>79</v>
      </c>
      <c r="X814" t="s">
        <v>171</v>
      </c>
      <c r="Y814" t="s">
        <v>2828</v>
      </c>
      <c r="AA814" t="s">
        <v>75</v>
      </c>
      <c r="AC814" t="s">
        <v>83</v>
      </c>
      <c r="AE814" t="s">
        <v>75</v>
      </c>
      <c r="AF814" t="s">
        <v>84</v>
      </c>
      <c r="AG814" t="s">
        <v>84</v>
      </c>
      <c r="AH814" s="33">
        <f t="shared" si="37"/>
      </c>
      <c r="AI814" s="33">
        <f t="shared" si="38"/>
      </c>
    </row>
    <row r="815" ht="27.6" customHeight="1" spans="1:35" x14ac:dyDescent="0.25">
      <c r="A815" s="27" t="s">
        <v>2830</v>
      </c>
      <c r="B815">
        <f t="shared" si="36"/>
        <v>0</v>
      </c>
      <c r="C815" t="s">
        <v>64</v>
      </c>
      <c r="D815" s="27" t="s">
        <v>102</v>
      </c>
      <c r="E815" t="s">
        <v>2831</v>
      </c>
      <c r="F815" s="28">
        <v>0</v>
      </c>
      <c r="G815" s="29">
        <v>1</v>
      </c>
      <c r="H815" s="30" t="s">
        <v>2832</v>
      </c>
      <c r="I815" t="s">
        <v>65</v>
      </c>
      <c r="J8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145</v>
      </c>
      <c r="L815" t="s">
        <v>146</v>
      </c>
      <c r="N815" s="29">
        <v>1</v>
      </c>
      <c r="P815" s="29">
        <v>1</v>
      </c>
      <c r="R815" s="29">
        <v>1</v>
      </c>
      <c r="S815" t="s">
        <v>70</v>
      </c>
      <c r="T815" t="s">
        <v>72</v>
      </c>
      <c r="U815" s="32">
        <v>30</v>
      </c>
      <c r="V815">
        <v>30</v>
      </c>
      <c r="W815" t="s">
        <v>79</v>
      </c>
      <c r="X815" t="s">
        <v>171</v>
      </c>
      <c r="Y815" t="s">
        <v>2833</v>
      </c>
      <c r="AA815" t="s">
        <v>75</v>
      </c>
      <c r="AC815" t="s">
        <v>83</v>
      </c>
      <c r="AE815" t="s">
        <v>75</v>
      </c>
      <c r="AF815" t="s">
        <v>84</v>
      </c>
      <c r="AG815" t="s">
        <v>84</v>
      </c>
      <c r="AH815" s="33">
        <f t="shared" si="37"/>
      </c>
      <c r="AI815" s="33">
        <f t="shared" si="38"/>
      </c>
    </row>
    <row r="816" ht="27.6" customHeight="1" spans="1:35" x14ac:dyDescent="0.25">
      <c r="A816" s="27" t="s">
        <v>2834</v>
      </c>
      <c r="B816">
        <f t="shared" si="36"/>
        <v>0</v>
      </c>
      <c r="C816" t="s">
        <v>64</v>
      </c>
      <c r="D816" s="27" t="s">
        <v>102</v>
      </c>
      <c r="E816" t="s">
        <v>2831</v>
      </c>
      <c r="F816" s="28">
        <v>0</v>
      </c>
      <c r="G816" s="29">
        <v>1</v>
      </c>
      <c r="H816" s="30" t="s">
        <v>2835</v>
      </c>
      <c r="I816" t="s">
        <v>65</v>
      </c>
      <c r="J8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145</v>
      </c>
      <c r="L816" t="s">
        <v>146</v>
      </c>
      <c r="N816" s="29">
        <v>1</v>
      </c>
      <c r="P816" s="29">
        <v>1</v>
      </c>
      <c r="R816" s="29">
        <v>1</v>
      </c>
      <c r="S816" t="s">
        <v>70</v>
      </c>
      <c r="T816" t="s">
        <v>72</v>
      </c>
      <c r="U816" s="32">
        <v>30</v>
      </c>
      <c r="V816">
        <v>30</v>
      </c>
      <c r="W816" t="s">
        <v>79</v>
      </c>
      <c r="X816" t="s">
        <v>171</v>
      </c>
      <c r="Y816" t="s">
        <v>2833</v>
      </c>
      <c r="AA816" t="s">
        <v>75</v>
      </c>
      <c r="AC816" t="s">
        <v>83</v>
      </c>
      <c r="AE816" t="s">
        <v>75</v>
      </c>
      <c r="AF816" t="s">
        <v>84</v>
      </c>
      <c r="AG816" t="s">
        <v>84</v>
      </c>
      <c r="AH816" s="33">
        <f t="shared" si="37"/>
      </c>
      <c r="AI816" s="33">
        <f t="shared" si="38"/>
      </c>
    </row>
    <row r="817" ht="27.6" customHeight="1" spans="1:35" x14ac:dyDescent="0.25">
      <c r="A817" s="27" t="s">
        <v>2836</v>
      </c>
      <c r="B817">
        <f t="shared" si="36"/>
        <v>0</v>
      </c>
      <c r="C817" t="s">
        <v>64</v>
      </c>
      <c r="D817" s="27" t="s">
        <v>102</v>
      </c>
      <c r="E817" t="s">
        <v>2837</v>
      </c>
      <c r="F817" s="28">
        <v>0</v>
      </c>
      <c r="G817" s="29">
        <v>1</v>
      </c>
      <c r="H817" s="30" t="s">
        <v>2838</v>
      </c>
      <c r="I817" t="s">
        <v>65</v>
      </c>
      <c r="J8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145</v>
      </c>
      <c r="L817" t="s">
        <v>146</v>
      </c>
      <c r="N817" s="29">
        <v>1</v>
      </c>
      <c r="P817" s="29">
        <v>1</v>
      </c>
      <c r="R817" s="29">
        <v>1</v>
      </c>
      <c r="S817" t="s">
        <v>70</v>
      </c>
      <c r="T817" t="s">
        <v>72</v>
      </c>
      <c r="U817" s="32">
        <v>30</v>
      </c>
      <c r="V817">
        <v>30</v>
      </c>
      <c r="W817" t="s">
        <v>79</v>
      </c>
      <c r="X817" t="s">
        <v>171</v>
      </c>
      <c r="Y817" t="s">
        <v>2839</v>
      </c>
      <c r="AA817" t="s">
        <v>75</v>
      </c>
      <c r="AC817" t="s">
        <v>83</v>
      </c>
      <c r="AE817" t="s">
        <v>75</v>
      </c>
      <c r="AF817" t="s">
        <v>84</v>
      </c>
      <c r="AG817" t="s">
        <v>84</v>
      </c>
      <c r="AH817" s="33">
        <f t="shared" si="37"/>
      </c>
      <c r="AI817" s="33">
        <f t="shared" si="38"/>
      </c>
    </row>
    <row r="818" ht="27.6" customHeight="1" spans="1:35" x14ac:dyDescent="0.25">
      <c r="A818" s="27" t="s">
        <v>2840</v>
      </c>
      <c r="B818">
        <f t="shared" si="36"/>
        <v>0</v>
      </c>
      <c r="C818" t="s">
        <v>64</v>
      </c>
      <c r="D818" s="27" t="s">
        <v>102</v>
      </c>
      <c r="E818" t="s">
        <v>2837</v>
      </c>
      <c r="F818" s="28">
        <v>0</v>
      </c>
      <c r="G818" s="29">
        <v>1</v>
      </c>
      <c r="H818" s="30" t="s">
        <v>2841</v>
      </c>
      <c r="I818" t="s">
        <v>65</v>
      </c>
      <c r="J8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145</v>
      </c>
      <c r="L818" t="s">
        <v>146</v>
      </c>
      <c r="N818" s="29">
        <v>1</v>
      </c>
      <c r="P818" s="29">
        <v>1</v>
      </c>
      <c r="R818" s="29">
        <v>1</v>
      </c>
      <c r="S818" t="s">
        <v>70</v>
      </c>
      <c r="T818" t="s">
        <v>72</v>
      </c>
      <c r="U818" s="32">
        <v>30</v>
      </c>
      <c r="V818">
        <v>30</v>
      </c>
      <c r="W818" t="s">
        <v>79</v>
      </c>
      <c r="X818" t="s">
        <v>171</v>
      </c>
      <c r="Y818" t="s">
        <v>2839</v>
      </c>
      <c r="AA818" t="s">
        <v>75</v>
      </c>
      <c r="AC818" t="s">
        <v>83</v>
      </c>
      <c r="AE818" t="s">
        <v>75</v>
      </c>
      <c r="AF818" t="s">
        <v>84</v>
      </c>
      <c r="AG818" t="s">
        <v>84</v>
      </c>
      <c r="AH818" s="33">
        <f t="shared" si="37"/>
      </c>
      <c r="AI818" s="33">
        <f t="shared" si="38"/>
      </c>
    </row>
    <row r="819" ht="27.6" customHeight="1" spans="1:35" x14ac:dyDescent="0.25">
      <c r="A819" s="27" t="s">
        <v>2842</v>
      </c>
      <c r="B819">
        <f t="shared" si="36"/>
        <v>0</v>
      </c>
      <c r="C819" t="s">
        <v>64</v>
      </c>
      <c r="D819" s="27" t="s">
        <v>102</v>
      </c>
      <c r="E819" t="s">
        <v>2837</v>
      </c>
      <c r="F819" s="28">
        <v>0</v>
      </c>
      <c r="G819" s="29">
        <v>1</v>
      </c>
      <c r="H819" s="30" t="s">
        <v>2843</v>
      </c>
      <c r="I819" t="s">
        <v>65</v>
      </c>
      <c r="J8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145</v>
      </c>
      <c r="L819" t="s">
        <v>146</v>
      </c>
      <c r="N819" s="29">
        <v>1</v>
      </c>
      <c r="P819" s="29">
        <v>1</v>
      </c>
      <c r="R819" s="29">
        <v>1</v>
      </c>
      <c r="S819" t="s">
        <v>70</v>
      </c>
      <c r="T819" t="s">
        <v>72</v>
      </c>
      <c r="U819" s="32">
        <v>30</v>
      </c>
      <c r="V819">
        <v>30</v>
      </c>
      <c r="W819" t="s">
        <v>79</v>
      </c>
      <c r="X819" t="s">
        <v>171</v>
      </c>
      <c r="Y819" t="s">
        <v>2839</v>
      </c>
      <c r="AA819" t="s">
        <v>75</v>
      </c>
      <c r="AC819" t="s">
        <v>83</v>
      </c>
      <c r="AE819" t="s">
        <v>75</v>
      </c>
      <c r="AF819" t="s">
        <v>84</v>
      </c>
      <c r="AG819" t="s">
        <v>84</v>
      </c>
      <c r="AH819" s="33">
        <f t="shared" si="37"/>
      </c>
      <c r="AI819" s="33">
        <f t="shared" si="38"/>
      </c>
    </row>
    <row r="820" ht="27.6" customHeight="1" spans="1:35" x14ac:dyDescent="0.25">
      <c r="A820" s="27" t="s">
        <v>2844</v>
      </c>
      <c r="B820">
        <f t="shared" si="36"/>
        <v>0</v>
      </c>
      <c r="C820" t="s">
        <v>64</v>
      </c>
      <c r="D820" s="27" t="s">
        <v>102</v>
      </c>
      <c r="E820" t="s">
        <v>2845</v>
      </c>
      <c r="F820" s="28">
        <v>0</v>
      </c>
      <c r="G820" s="29">
        <v>1</v>
      </c>
      <c r="H820" s="30" t="s">
        <v>2846</v>
      </c>
      <c r="I820" t="s">
        <v>65</v>
      </c>
      <c r="J8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145</v>
      </c>
      <c r="L820" t="s">
        <v>146</v>
      </c>
      <c r="N820" s="29">
        <v>1</v>
      </c>
      <c r="P820" s="29">
        <v>1</v>
      </c>
      <c r="R820" s="29">
        <v>1</v>
      </c>
      <c r="S820" t="s">
        <v>70</v>
      </c>
      <c r="T820" t="s">
        <v>72</v>
      </c>
      <c r="U820" s="32">
        <v>30</v>
      </c>
      <c r="V820">
        <v>30</v>
      </c>
      <c r="W820" t="s">
        <v>79</v>
      </c>
      <c r="X820" t="s">
        <v>171</v>
      </c>
      <c r="Y820" t="s">
        <v>2847</v>
      </c>
      <c r="AA820" t="s">
        <v>75</v>
      </c>
      <c r="AC820" t="s">
        <v>83</v>
      </c>
      <c r="AE820" t="s">
        <v>75</v>
      </c>
      <c r="AF820" t="s">
        <v>84</v>
      </c>
      <c r="AG820" t="s">
        <v>84</v>
      </c>
      <c r="AH820" s="33">
        <f t="shared" si="37"/>
      </c>
      <c r="AI820" s="33">
        <f t="shared" si="38"/>
      </c>
    </row>
    <row r="821" ht="27.6" customHeight="1" spans="1:35" x14ac:dyDescent="0.25">
      <c r="A821" s="27" t="s">
        <v>2848</v>
      </c>
      <c r="B821">
        <f t="shared" si="36"/>
        <v>0</v>
      </c>
      <c r="C821" t="s">
        <v>64</v>
      </c>
      <c r="D821" s="27" t="s">
        <v>102</v>
      </c>
      <c r="E821" t="s">
        <v>2845</v>
      </c>
      <c r="F821" s="28">
        <v>0</v>
      </c>
      <c r="G821" s="29">
        <v>1</v>
      </c>
      <c r="H821" s="30" t="s">
        <v>2849</v>
      </c>
      <c r="I821" t="s">
        <v>65</v>
      </c>
      <c r="J8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145</v>
      </c>
      <c r="L821" t="s">
        <v>146</v>
      </c>
      <c r="N821" s="29">
        <v>1</v>
      </c>
      <c r="P821" s="29">
        <v>1</v>
      </c>
      <c r="R821" s="29">
        <v>1</v>
      </c>
      <c r="S821" t="s">
        <v>70</v>
      </c>
      <c r="T821" t="s">
        <v>72</v>
      </c>
      <c r="U821" s="32">
        <v>30</v>
      </c>
      <c r="V821">
        <v>30</v>
      </c>
      <c r="W821" t="s">
        <v>79</v>
      </c>
      <c r="X821" t="s">
        <v>171</v>
      </c>
      <c r="Y821" t="s">
        <v>2847</v>
      </c>
      <c r="AA821" t="s">
        <v>75</v>
      </c>
      <c r="AC821" t="s">
        <v>83</v>
      </c>
      <c r="AE821" t="s">
        <v>75</v>
      </c>
      <c r="AF821" t="s">
        <v>84</v>
      </c>
      <c r="AG821" t="s">
        <v>84</v>
      </c>
      <c r="AH821" s="33">
        <f t="shared" si="37"/>
      </c>
      <c r="AI821" s="33">
        <f t="shared" si="38"/>
      </c>
    </row>
    <row r="822" ht="27.6" customHeight="1" spans="1:35" x14ac:dyDescent="0.25">
      <c r="A822" s="27" t="s">
        <v>2850</v>
      </c>
      <c r="B822">
        <f t="shared" si="36"/>
        <v>0</v>
      </c>
      <c r="C822" t="s">
        <v>64</v>
      </c>
      <c r="D822" s="27" t="s">
        <v>102</v>
      </c>
      <c r="E822" t="s">
        <v>2845</v>
      </c>
      <c r="F822" s="28">
        <v>0</v>
      </c>
      <c r="G822" s="29">
        <v>1</v>
      </c>
      <c r="H822" s="30" t="s">
        <v>2851</v>
      </c>
      <c r="I822" t="s">
        <v>65</v>
      </c>
      <c r="J8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145</v>
      </c>
      <c r="L822" t="s">
        <v>146</v>
      </c>
      <c r="N822" s="29">
        <v>1</v>
      </c>
      <c r="P822" s="29">
        <v>1</v>
      </c>
      <c r="R822" s="29">
        <v>1</v>
      </c>
      <c r="S822" t="s">
        <v>70</v>
      </c>
      <c r="T822" t="s">
        <v>72</v>
      </c>
      <c r="U822" s="32">
        <v>30</v>
      </c>
      <c r="V822">
        <v>30</v>
      </c>
      <c r="W822" t="s">
        <v>79</v>
      </c>
      <c r="X822" t="s">
        <v>171</v>
      </c>
      <c r="Y822" t="s">
        <v>2847</v>
      </c>
      <c r="AA822" t="s">
        <v>75</v>
      </c>
      <c r="AC822" t="s">
        <v>83</v>
      </c>
      <c r="AE822" t="s">
        <v>75</v>
      </c>
      <c r="AF822" t="s">
        <v>84</v>
      </c>
      <c r="AG822" t="s">
        <v>84</v>
      </c>
      <c r="AH822" s="33">
        <f t="shared" si="37"/>
      </c>
      <c r="AI822" s="33">
        <f t="shared" si="38"/>
      </c>
    </row>
    <row r="823" ht="27.6" customHeight="1" spans="1:35" x14ac:dyDescent="0.25">
      <c r="A823" s="27" t="s">
        <v>2852</v>
      </c>
      <c r="B823">
        <f t="shared" si="36"/>
        <v>0</v>
      </c>
      <c r="C823" t="s">
        <v>64</v>
      </c>
      <c r="D823" s="27" t="s">
        <v>2853</v>
      </c>
      <c r="E823" t="s">
        <v>2854</v>
      </c>
      <c r="F823" s="28">
        <v>0</v>
      </c>
      <c r="G823" s="29">
        <v>1</v>
      </c>
      <c r="H823" s="30" t="s">
        <v>2855</v>
      </c>
      <c r="I823" t="s">
        <v>65</v>
      </c>
      <c r="J8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145</v>
      </c>
      <c r="L823" t="s">
        <v>146</v>
      </c>
      <c r="N823" s="29">
        <v>1</v>
      </c>
      <c r="P823" s="29">
        <v>1</v>
      </c>
      <c r="R823" s="29">
        <v>1</v>
      </c>
      <c r="S823" t="s">
        <v>70</v>
      </c>
      <c r="T823" t="s">
        <v>72</v>
      </c>
      <c r="U823" s="32">
        <v>30</v>
      </c>
      <c r="V823">
        <v>30</v>
      </c>
      <c r="W823" t="s">
        <v>79</v>
      </c>
      <c r="X823" t="s">
        <v>166</v>
      </c>
      <c r="Y823" t="s">
        <v>2856</v>
      </c>
      <c r="AA823" t="s">
        <v>75</v>
      </c>
      <c r="AC823" t="s">
        <v>83</v>
      </c>
      <c r="AE823" t="s">
        <v>75</v>
      </c>
      <c r="AF823" t="s">
        <v>84</v>
      </c>
      <c r="AG823" t="s">
        <v>84</v>
      </c>
      <c r="AH823" s="33">
        <f t="shared" si="37"/>
      </c>
      <c r="AI823" s="33">
        <f t="shared" si="38"/>
      </c>
    </row>
    <row r="824" ht="27.6" customHeight="1" spans="1:35" x14ac:dyDescent="0.25">
      <c r="A824" s="27" t="s">
        <v>2857</v>
      </c>
      <c r="B824">
        <f t="shared" si="36"/>
        <v>0</v>
      </c>
      <c r="C824" t="s">
        <v>64</v>
      </c>
      <c r="D824" s="27" t="s">
        <v>102</v>
      </c>
      <c r="E824" t="s">
        <v>2858</v>
      </c>
      <c r="F824" s="28">
        <v>0</v>
      </c>
      <c r="G824" s="29">
        <v>1</v>
      </c>
      <c r="H824" s="30" t="s">
        <v>2859</v>
      </c>
      <c r="I824" t="s">
        <v>65</v>
      </c>
      <c r="J8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145</v>
      </c>
      <c r="L824" t="s">
        <v>146</v>
      </c>
      <c r="N824" s="29">
        <v>1</v>
      </c>
      <c r="P824" s="29">
        <v>1</v>
      </c>
      <c r="R824" s="29">
        <v>1</v>
      </c>
      <c r="S824" t="s">
        <v>70</v>
      </c>
      <c r="T824" t="s">
        <v>72</v>
      </c>
      <c r="U824" s="32">
        <v>30</v>
      </c>
      <c r="V824">
        <v>30</v>
      </c>
      <c r="W824" t="s">
        <v>79</v>
      </c>
      <c r="X824" t="s">
        <v>171</v>
      </c>
      <c r="Y824" t="s">
        <v>2860</v>
      </c>
      <c r="AA824" t="s">
        <v>75</v>
      </c>
      <c r="AC824" t="s">
        <v>83</v>
      </c>
      <c r="AE824" t="s">
        <v>75</v>
      </c>
      <c r="AF824" t="s">
        <v>84</v>
      </c>
      <c r="AG824" t="s">
        <v>84</v>
      </c>
      <c r="AH824" s="33">
        <f t="shared" si="37"/>
      </c>
      <c r="AI824" s="33">
        <f t="shared" si="38"/>
      </c>
    </row>
    <row r="825" ht="27.6" customHeight="1" spans="1:35" x14ac:dyDescent="0.25">
      <c r="A825" s="27" t="s">
        <v>1055</v>
      </c>
      <c r="B825">
        <f t="shared" si="36"/>
        <v>0</v>
      </c>
      <c r="C825" t="s">
        <v>64</v>
      </c>
      <c r="D825" s="27" t="s">
        <v>2861</v>
      </c>
      <c r="E825" t="s">
        <v>2862</v>
      </c>
      <c r="F825" s="28">
        <v>0</v>
      </c>
      <c r="G825" s="29">
        <v>1</v>
      </c>
      <c r="H825" s="30" t="s">
        <v>2863</v>
      </c>
      <c r="I825" t="s">
        <v>65</v>
      </c>
      <c r="J8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145</v>
      </c>
      <c r="L825" t="s">
        <v>146</v>
      </c>
      <c r="N825" s="29">
        <v>1</v>
      </c>
      <c r="P825" s="29">
        <v>1</v>
      </c>
      <c r="R825" s="29">
        <v>1</v>
      </c>
      <c r="S825" t="s">
        <v>70</v>
      </c>
      <c r="T825" t="s">
        <v>72</v>
      </c>
      <c r="U825" s="32">
        <v>30</v>
      </c>
      <c r="V825">
        <v>30</v>
      </c>
      <c r="W825" t="s">
        <v>79</v>
      </c>
      <c r="X825" t="s">
        <v>171</v>
      </c>
      <c r="Y825" t="s">
        <v>2864</v>
      </c>
      <c r="AA825" t="s">
        <v>75</v>
      </c>
      <c r="AC825" t="s">
        <v>83</v>
      </c>
      <c r="AE825" t="s">
        <v>75</v>
      </c>
      <c r="AF825" t="s">
        <v>84</v>
      </c>
      <c r="AG825" t="s">
        <v>84</v>
      </c>
      <c r="AH825" s="33">
        <f t="shared" si="37"/>
      </c>
      <c r="AI825" s="33">
        <f t="shared" si="38"/>
      </c>
    </row>
    <row r="826" ht="27.6" customHeight="1" spans="1:35" x14ac:dyDescent="0.25">
      <c r="A826" s="27" t="s">
        <v>1059</v>
      </c>
      <c r="B826">
        <f t="shared" si="36"/>
        <v>0</v>
      </c>
      <c r="C826" t="s">
        <v>64</v>
      </c>
      <c r="D826" s="27" t="s">
        <v>2865</v>
      </c>
      <c r="E826" t="s">
        <v>2866</v>
      </c>
      <c r="F826" s="28">
        <v>0</v>
      </c>
      <c r="G826" s="29">
        <v>1</v>
      </c>
      <c r="H826" s="30" t="s">
        <v>2867</v>
      </c>
      <c r="I826" t="s">
        <v>65</v>
      </c>
      <c r="J8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145</v>
      </c>
      <c r="L826" t="s">
        <v>146</v>
      </c>
      <c r="N826" s="29">
        <v>1</v>
      </c>
      <c r="P826" s="29">
        <v>1</v>
      </c>
      <c r="R826" s="29">
        <v>1</v>
      </c>
      <c r="S826" t="s">
        <v>70</v>
      </c>
      <c r="T826" t="s">
        <v>72</v>
      </c>
      <c r="U826" s="32">
        <v>30</v>
      </c>
      <c r="V826">
        <v>30</v>
      </c>
      <c r="W826" t="s">
        <v>79</v>
      </c>
      <c r="X826" t="s">
        <v>171</v>
      </c>
      <c r="Y826" t="s">
        <v>2868</v>
      </c>
      <c r="AA826" t="s">
        <v>75</v>
      </c>
      <c r="AC826" t="s">
        <v>83</v>
      </c>
      <c r="AE826" t="s">
        <v>75</v>
      </c>
      <c r="AF826" t="s">
        <v>84</v>
      </c>
      <c r="AG826" t="s">
        <v>84</v>
      </c>
      <c r="AH826" s="33">
        <f t="shared" si="37"/>
      </c>
      <c r="AI826" s="33">
        <f t="shared" si="38"/>
      </c>
    </row>
    <row r="827" ht="27.6" customHeight="1" spans="1:35" x14ac:dyDescent="0.25">
      <c r="A827" s="27" t="s">
        <v>1104</v>
      </c>
      <c r="B827">
        <f t="shared" si="36"/>
        <v>0</v>
      </c>
      <c r="C827" t="s">
        <v>64</v>
      </c>
      <c r="D827" s="27" t="s">
        <v>102</v>
      </c>
      <c r="E827" t="s">
        <v>2869</v>
      </c>
      <c r="F827" s="28">
        <v>0</v>
      </c>
      <c r="G827" s="29">
        <v>1</v>
      </c>
      <c r="H827" s="30" t="s">
        <v>2870</v>
      </c>
      <c r="I827" t="s">
        <v>65</v>
      </c>
      <c r="J8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145</v>
      </c>
      <c r="L827" t="s">
        <v>146</v>
      </c>
      <c r="N827" s="29">
        <v>1</v>
      </c>
      <c r="P827" s="29">
        <v>1</v>
      </c>
      <c r="R827" s="29">
        <v>1</v>
      </c>
      <c r="S827" t="s">
        <v>70</v>
      </c>
      <c r="T827" t="s">
        <v>72</v>
      </c>
      <c r="U827" s="32">
        <v>30</v>
      </c>
      <c r="V827">
        <v>30</v>
      </c>
      <c r="W827" t="s">
        <v>79</v>
      </c>
      <c r="X827" t="s">
        <v>171</v>
      </c>
      <c r="Y827" t="s">
        <v>2871</v>
      </c>
      <c r="AA827" t="s">
        <v>75</v>
      </c>
      <c r="AC827" t="s">
        <v>83</v>
      </c>
      <c r="AE827" t="s">
        <v>75</v>
      </c>
      <c r="AF827" t="s">
        <v>84</v>
      </c>
      <c r="AG827" t="s">
        <v>84</v>
      </c>
      <c r="AH827" s="33">
        <f t="shared" si="37"/>
      </c>
      <c r="AI827" s="33">
        <f t="shared" si="38"/>
      </c>
    </row>
    <row r="828" ht="27.6" customHeight="1" spans="1:35" x14ac:dyDescent="0.25">
      <c r="A828" s="27" t="s">
        <v>1108</v>
      </c>
      <c r="B828">
        <f t="shared" si="36"/>
        <v>0</v>
      </c>
      <c r="C828" t="s">
        <v>64</v>
      </c>
      <c r="D828" s="27" t="s">
        <v>102</v>
      </c>
      <c r="E828" t="s">
        <v>2872</v>
      </c>
      <c r="F828" s="28">
        <v>0</v>
      </c>
      <c r="G828" s="29">
        <v>1</v>
      </c>
      <c r="H828" s="30" t="s">
        <v>2873</v>
      </c>
      <c r="I828" t="s">
        <v>65</v>
      </c>
      <c r="J8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145</v>
      </c>
      <c r="L828" t="s">
        <v>146</v>
      </c>
      <c r="N828" s="29">
        <v>1</v>
      </c>
      <c r="P828" s="29">
        <v>1</v>
      </c>
      <c r="R828" s="29">
        <v>1</v>
      </c>
      <c r="S828" t="s">
        <v>70</v>
      </c>
      <c r="T828" t="s">
        <v>72</v>
      </c>
      <c r="U828" s="32">
        <v>30</v>
      </c>
      <c r="V828">
        <v>30</v>
      </c>
      <c r="W828" t="s">
        <v>79</v>
      </c>
      <c r="X828" t="s">
        <v>770</v>
      </c>
      <c r="Y828" t="s">
        <v>2874</v>
      </c>
      <c r="AA828" t="s">
        <v>75</v>
      </c>
      <c r="AC828" t="s">
        <v>83</v>
      </c>
      <c r="AE828" t="s">
        <v>75</v>
      </c>
      <c r="AF828" t="s">
        <v>84</v>
      </c>
      <c r="AG828" t="s">
        <v>84</v>
      </c>
      <c r="AH828" s="33">
        <f t="shared" si="37"/>
      </c>
      <c r="AI828" s="33">
        <f t="shared" si="38"/>
      </c>
    </row>
    <row r="829" ht="27.6" customHeight="1" spans="1:35" x14ac:dyDescent="0.25">
      <c r="A829" s="27" t="s">
        <v>2875</v>
      </c>
      <c r="B829">
        <f t="shared" si="36"/>
        <v>0</v>
      </c>
      <c r="C829" t="s">
        <v>64</v>
      </c>
      <c r="D829" s="27" t="s">
        <v>102</v>
      </c>
      <c r="E829" t="s">
        <v>2876</v>
      </c>
      <c r="F829" s="28">
        <v>0</v>
      </c>
      <c r="G829" s="29">
        <v>1</v>
      </c>
      <c r="H829" s="30" t="s">
        <v>2877</v>
      </c>
      <c r="I829" t="s">
        <v>65</v>
      </c>
      <c r="J8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145</v>
      </c>
      <c r="L829" t="s">
        <v>146</v>
      </c>
      <c r="N829" s="29">
        <v>1</v>
      </c>
      <c r="P829" s="29">
        <v>1</v>
      </c>
      <c r="R829" s="29">
        <v>1</v>
      </c>
      <c r="S829" t="s">
        <v>70</v>
      </c>
      <c r="T829" t="s">
        <v>72</v>
      </c>
      <c r="U829" s="32">
        <v>30</v>
      </c>
      <c r="V829">
        <v>30</v>
      </c>
      <c r="W829" t="s">
        <v>79</v>
      </c>
      <c r="X829" t="s">
        <v>171</v>
      </c>
      <c r="Y829" t="s">
        <v>2876</v>
      </c>
      <c r="AA829" t="s">
        <v>75</v>
      </c>
      <c r="AC829" t="s">
        <v>83</v>
      </c>
      <c r="AE829" t="s">
        <v>75</v>
      </c>
      <c r="AF829" t="s">
        <v>84</v>
      </c>
      <c r="AG829" t="s">
        <v>84</v>
      </c>
      <c r="AH829" s="33">
        <f t="shared" si="37"/>
      </c>
      <c r="AI829" s="33">
        <f t="shared" si="38"/>
      </c>
    </row>
    <row r="830" ht="27.6" customHeight="1" spans="1:35" x14ac:dyDescent="0.25">
      <c r="A830" s="27" t="s">
        <v>2878</v>
      </c>
      <c r="B830">
        <f t="shared" si="36"/>
        <v>0</v>
      </c>
      <c r="C830" t="s">
        <v>64</v>
      </c>
      <c r="D830" s="27" t="s">
        <v>102</v>
      </c>
      <c r="E830" t="s">
        <v>2879</v>
      </c>
      <c r="F830" s="28">
        <v>0</v>
      </c>
      <c r="G830" s="29">
        <v>1</v>
      </c>
      <c r="H830" s="30" t="s">
        <v>2880</v>
      </c>
      <c r="I830" t="s">
        <v>65</v>
      </c>
      <c r="J8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145</v>
      </c>
      <c r="L830" t="s">
        <v>146</v>
      </c>
      <c r="N830" s="29">
        <v>1</v>
      </c>
      <c r="P830" s="29">
        <v>1</v>
      </c>
      <c r="R830" s="29">
        <v>1</v>
      </c>
      <c r="S830" t="s">
        <v>70</v>
      </c>
      <c r="T830" t="s">
        <v>72</v>
      </c>
      <c r="U830" s="32">
        <v>30</v>
      </c>
      <c r="V830">
        <v>30</v>
      </c>
      <c r="W830" t="s">
        <v>79</v>
      </c>
      <c r="X830" t="s">
        <v>171</v>
      </c>
      <c r="Y830" t="s">
        <v>2879</v>
      </c>
      <c r="AA830" t="s">
        <v>75</v>
      </c>
      <c r="AC830" t="s">
        <v>83</v>
      </c>
      <c r="AE830" t="s">
        <v>75</v>
      </c>
      <c r="AF830" t="s">
        <v>84</v>
      </c>
      <c r="AG830" t="s">
        <v>84</v>
      </c>
      <c r="AH830" s="33">
        <f t="shared" si="37"/>
      </c>
      <c r="AI830" s="33">
        <f t="shared" si="38"/>
      </c>
    </row>
    <row r="831" ht="27.6" customHeight="1" spans="1:35" x14ac:dyDescent="0.25">
      <c r="A831" s="27" t="s">
        <v>2881</v>
      </c>
      <c r="B831">
        <f t="shared" si="36"/>
        <v>0</v>
      </c>
      <c r="C831" t="s">
        <v>64</v>
      </c>
      <c r="D831" s="27" t="s">
        <v>102</v>
      </c>
      <c r="E831" t="s">
        <v>2882</v>
      </c>
      <c r="F831" s="28">
        <v>0</v>
      </c>
      <c r="G831" s="29">
        <v>1</v>
      </c>
      <c r="H831" s="30" t="s">
        <v>2883</v>
      </c>
      <c r="I831" t="s">
        <v>65</v>
      </c>
      <c r="J8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145</v>
      </c>
      <c r="L831" t="s">
        <v>146</v>
      </c>
      <c r="N831" s="29">
        <v>1</v>
      </c>
      <c r="P831" s="29">
        <v>1</v>
      </c>
      <c r="R831" s="29">
        <v>1</v>
      </c>
      <c r="S831" t="s">
        <v>70</v>
      </c>
      <c r="T831" t="s">
        <v>72</v>
      </c>
      <c r="U831" s="32">
        <v>30</v>
      </c>
      <c r="V831">
        <v>30</v>
      </c>
      <c r="W831" t="s">
        <v>79</v>
      </c>
      <c r="X831" t="s">
        <v>770</v>
      </c>
      <c r="Y831" t="s">
        <v>2884</v>
      </c>
      <c r="AA831" t="s">
        <v>75</v>
      </c>
      <c r="AC831" t="s">
        <v>83</v>
      </c>
      <c r="AE831" t="s">
        <v>75</v>
      </c>
      <c r="AF831" t="s">
        <v>84</v>
      </c>
      <c r="AG831" t="s">
        <v>84</v>
      </c>
      <c r="AH831" s="33">
        <f t="shared" si="37"/>
      </c>
      <c r="AI831" s="33">
        <f t="shared" si="38"/>
      </c>
    </row>
    <row r="832" ht="27.6" customHeight="1" spans="1:35" x14ac:dyDescent="0.25">
      <c r="A832" s="27" t="s">
        <v>2885</v>
      </c>
      <c r="B832">
        <f t="shared" si="36"/>
        <v>0</v>
      </c>
      <c r="C832" t="s">
        <v>64</v>
      </c>
      <c r="D832" s="27" t="s">
        <v>102</v>
      </c>
      <c r="E832" t="s">
        <v>2886</v>
      </c>
      <c r="F832" s="28">
        <v>0</v>
      </c>
      <c r="G832" s="29">
        <v>1</v>
      </c>
      <c r="H832" s="30" t="s">
        <v>2887</v>
      </c>
      <c r="I832" t="s">
        <v>65</v>
      </c>
      <c r="J8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145</v>
      </c>
      <c r="L832" t="s">
        <v>146</v>
      </c>
      <c r="N832" s="29">
        <v>1</v>
      </c>
      <c r="P832" s="29">
        <v>1</v>
      </c>
      <c r="R832" s="29">
        <v>1</v>
      </c>
      <c r="S832" t="s">
        <v>70</v>
      </c>
      <c r="T832" t="s">
        <v>72</v>
      </c>
      <c r="U832" s="32">
        <v>30</v>
      </c>
      <c r="V832">
        <v>30</v>
      </c>
      <c r="W832" t="s">
        <v>79</v>
      </c>
      <c r="X832" t="s">
        <v>770</v>
      </c>
      <c r="Y832" t="s">
        <v>2888</v>
      </c>
      <c r="AA832" t="s">
        <v>75</v>
      </c>
      <c r="AC832" t="s">
        <v>83</v>
      </c>
      <c r="AE832" t="s">
        <v>75</v>
      </c>
      <c r="AF832" t="s">
        <v>84</v>
      </c>
      <c r="AG832" t="s">
        <v>84</v>
      </c>
      <c r="AH832" s="33">
        <f t="shared" si="37"/>
      </c>
      <c r="AI832" s="33">
        <f t="shared" si="38"/>
      </c>
    </row>
    <row r="833" ht="27.6" customHeight="1" spans="1:35" x14ac:dyDescent="0.25">
      <c r="A833" s="27" t="s">
        <v>1187</v>
      </c>
      <c r="B833">
        <f t="shared" si="36"/>
        <v>0</v>
      </c>
      <c r="C833" t="s">
        <v>64</v>
      </c>
      <c r="D833" s="27" t="s">
        <v>102</v>
      </c>
      <c r="E833" t="s">
        <v>2889</v>
      </c>
      <c r="F833" s="28">
        <v>0</v>
      </c>
      <c r="G833" s="29">
        <v>1</v>
      </c>
      <c r="H833" s="30" t="s">
        <v>2890</v>
      </c>
      <c r="I833" t="s">
        <v>65</v>
      </c>
      <c r="J8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145</v>
      </c>
      <c r="L833" t="s">
        <v>146</v>
      </c>
      <c r="N833" s="29">
        <v>1</v>
      </c>
      <c r="P833" s="29">
        <v>1</v>
      </c>
      <c r="R833" s="29">
        <v>1</v>
      </c>
      <c r="S833" t="s">
        <v>70</v>
      </c>
      <c r="T833" t="s">
        <v>72</v>
      </c>
      <c r="U833" s="32">
        <v>30</v>
      </c>
      <c r="V833">
        <v>30</v>
      </c>
      <c r="W833" t="s">
        <v>79</v>
      </c>
      <c r="X833" t="s">
        <v>770</v>
      </c>
      <c r="Y833" t="s">
        <v>2891</v>
      </c>
      <c r="AA833" t="s">
        <v>75</v>
      </c>
      <c r="AC833" t="s">
        <v>83</v>
      </c>
      <c r="AE833" t="s">
        <v>75</v>
      </c>
      <c r="AF833" t="s">
        <v>84</v>
      </c>
      <c r="AG833" t="s">
        <v>84</v>
      </c>
      <c r="AH833" s="33">
        <f t="shared" si="37"/>
      </c>
      <c r="AI833" s="33">
        <f t="shared" si="38"/>
      </c>
    </row>
    <row r="834" ht="27.6" customHeight="1" spans="1:35" x14ac:dyDescent="0.25">
      <c r="A834" s="27" t="s">
        <v>1191</v>
      </c>
      <c r="B834">
        <f t="shared" si="36"/>
        <v>0</v>
      </c>
      <c r="C834" t="s">
        <v>64</v>
      </c>
      <c r="D834" s="27" t="s">
        <v>102</v>
      </c>
      <c r="E834" t="s">
        <v>2892</v>
      </c>
      <c r="F834" s="28">
        <v>0</v>
      </c>
      <c r="G834" s="29">
        <v>1</v>
      </c>
      <c r="H834" s="30" t="s">
        <v>2893</v>
      </c>
      <c r="I834" t="s">
        <v>65</v>
      </c>
      <c r="J8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145</v>
      </c>
      <c r="L834" t="s">
        <v>146</v>
      </c>
      <c r="N834" s="29">
        <v>1</v>
      </c>
      <c r="P834" s="29">
        <v>1</v>
      </c>
      <c r="R834" s="29">
        <v>1</v>
      </c>
      <c r="S834" t="s">
        <v>70</v>
      </c>
      <c r="T834" t="s">
        <v>72</v>
      </c>
      <c r="U834" s="32">
        <v>30</v>
      </c>
      <c r="V834">
        <v>30</v>
      </c>
      <c r="W834" t="s">
        <v>79</v>
      </c>
      <c r="X834" t="s">
        <v>770</v>
      </c>
      <c r="Y834" t="s">
        <v>2894</v>
      </c>
      <c r="AA834" t="s">
        <v>75</v>
      </c>
      <c r="AC834" t="s">
        <v>83</v>
      </c>
      <c r="AE834" t="s">
        <v>75</v>
      </c>
      <c r="AF834" t="s">
        <v>84</v>
      </c>
      <c r="AG834" t="s">
        <v>84</v>
      </c>
      <c r="AH834" s="33">
        <f t="shared" si="37"/>
      </c>
      <c r="AI834" s="33">
        <f t="shared" si="38"/>
      </c>
    </row>
    <row r="835" ht="27.6" customHeight="1" spans="1:35" x14ac:dyDescent="0.25">
      <c r="A835" s="27" t="s">
        <v>1199</v>
      </c>
      <c r="B835">
        <f t="shared" si="36"/>
        <v>0</v>
      </c>
      <c r="C835" t="s">
        <v>64</v>
      </c>
      <c r="D835" s="27" t="s">
        <v>102</v>
      </c>
      <c r="E835" t="s">
        <v>2895</v>
      </c>
      <c r="F835" s="28">
        <v>0</v>
      </c>
      <c r="G835" s="29">
        <v>1</v>
      </c>
      <c r="H835" s="30" t="s">
        <v>2896</v>
      </c>
      <c r="I835" t="s">
        <v>65</v>
      </c>
      <c r="J8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145</v>
      </c>
      <c r="L835" t="s">
        <v>146</v>
      </c>
      <c r="N835" s="29">
        <v>1</v>
      </c>
      <c r="P835" s="29">
        <v>1</v>
      </c>
      <c r="R835" s="29">
        <v>1</v>
      </c>
      <c r="S835" t="s">
        <v>70</v>
      </c>
      <c r="T835" t="s">
        <v>72</v>
      </c>
      <c r="U835" s="32">
        <v>30</v>
      </c>
      <c r="V835">
        <v>30</v>
      </c>
      <c r="W835" t="s">
        <v>79</v>
      </c>
      <c r="X835" t="s">
        <v>770</v>
      </c>
      <c r="Y835" t="s">
        <v>2897</v>
      </c>
      <c r="AA835" t="s">
        <v>75</v>
      </c>
      <c r="AC835" t="s">
        <v>83</v>
      </c>
      <c r="AE835" t="s">
        <v>75</v>
      </c>
      <c r="AF835" t="s">
        <v>84</v>
      </c>
      <c r="AG835" t="s">
        <v>84</v>
      </c>
      <c r="AH835" s="33">
        <f t="shared" si="37"/>
      </c>
      <c r="AI835" s="33">
        <f t="shared" si="38"/>
      </c>
    </row>
    <row r="836" ht="27.6" customHeight="1" spans="1:35" x14ac:dyDescent="0.25">
      <c r="A836" s="27" t="s">
        <v>2898</v>
      </c>
      <c r="B836">
        <f t="shared" si="36"/>
        <v>0</v>
      </c>
      <c r="C836" t="s">
        <v>64</v>
      </c>
      <c r="D836" s="27" t="s">
        <v>102</v>
      </c>
      <c r="E836" t="s">
        <v>2899</v>
      </c>
      <c r="F836" s="28">
        <v>0</v>
      </c>
      <c r="G836" s="29">
        <v>1</v>
      </c>
      <c r="H836" s="30" t="s">
        <v>2900</v>
      </c>
      <c r="I836" t="s">
        <v>65</v>
      </c>
      <c r="J8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145</v>
      </c>
      <c r="L836" t="s">
        <v>146</v>
      </c>
      <c r="N836" s="29">
        <v>1</v>
      </c>
      <c r="P836" s="29">
        <v>1</v>
      </c>
      <c r="R836" s="29">
        <v>1</v>
      </c>
      <c r="S836" t="s">
        <v>70</v>
      </c>
      <c r="T836" t="s">
        <v>72</v>
      </c>
      <c r="U836" s="32">
        <v>30</v>
      </c>
      <c r="V836">
        <v>30</v>
      </c>
      <c r="W836" t="s">
        <v>79</v>
      </c>
      <c r="X836" t="s">
        <v>171</v>
      </c>
      <c r="Y836" t="s">
        <v>2901</v>
      </c>
      <c r="AA836" t="s">
        <v>75</v>
      </c>
      <c r="AC836" t="s">
        <v>83</v>
      </c>
      <c r="AE836" t="s">
        <v>75</v>
      </c>
      <c r="AF836" t="s">
        <v>84</v>
      </c>
      <c r="AG836" t="s">
        <v>84</v>
      </c>
      <c r="AH836" s="33">
        <f t="shared" si="37"/>
      </c>
      <c r="AI836" s="33">
        <f t="shared" si="38"/>
      </c>
    </row>
    <row r="837" ht="27.6" customHeight="1" spans="1:35" x14ac:dyDescent="0.25">
      <c r="A837" s="27" t="s">
        <v>2902</v>
      </c>
      <c r="B837">
        <f t="shared" si="36"/>
        <v>0</v>
      </c>
      <c r="C837" t="s">
        <v>64</v>
      </c>
      <c r="D837" s="27" t="s">
        <v>102</v>
      </c>
      <c r="E837" t="s">
        <v>2903</v>
      </c>
      <c r="F837" s="28">
        <v>0</v>
      </c>
      <c r="G837" s="29">
        <v>1</v>
      </c>
      <c r="H837" s="30" t="s">
        <v>2904</v>
      </c>
      <c r="I837" t="s">
        <v>65</v>
      </c>
      <c r="J8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145</v>
      </c>
      <c r="L837" t="s">
        <v>146</v>
      </c>
      <c r="N837" s="29">
        <v>1</v>
      </c>
      <c r="P837" s="29">
        <v>1</v>
      </c>
      <c r="R837" s="29">
        <v>1</v>
      </c>
      <c r="S837" t="s">
        <v>70</v>
      </c>
      <c r="T837" t="s">
        <v>72</v>
      </c>
      <c r="U837" s="32">
        <v>30</v>
      </c>
      <c r="V837">
        <v>30</v>
      </c>
      <c r="W837" t="s">
        <v>79</v>
      </c>
      <c r="X837" t="s">
        <v>171</v>
      </c>
      <c r="Y837" t="s">
        <v>2905</v>
      </c>
      <c r="AA837" t="s">
        <v>75</v>
      </c>
      <c r="AC837" t="s">
        <v>83</v>
      </c>
      <c r="AE837" t="s">
        <v>75</v>
      </c>
      <c r="AF837" t="s">
        <v>84</v>
      </c>
      <c r="AG837" t="s">
        <v>84</v>
      </c>
      <c r="AH837" s="33">
        <f t="shared" si="37"/>
      </c>
      <c r="AI837" s="33">
        <f t="shared" si="38"/>
      </c>
    </row>
    <row r="838" ht="27.6" customHeight="1" spans="1:35" x14ac:dyDescent="0.25">
      <c r="A838" s="27" t="s">
        <v>2906</v>
      </c>
      <c r="B838">
        <f t="shared" si="36"/>
        <v>0</v>
      </c>
      <c r="C838" t="s">
        <v>64</v>
      </c>
      <c r="D838" s="27" t="s">
        <v>102</v>
      </c>
      <c r="E838" t="s">
        <v>2907</v>
      </c>
      <c r="F838" s="28">
        <v>0</v>
      </c>
      <c r="G838" s="29">
        <v>1</v>
      </c>
      <c r="H838" s="30" t="s">
        <v>2908</v>
      </c>
      <c r="I838" t="s">
        <v>65</v>
      </c>
      <c r="J8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145</v>
      </c>
      <c r="L838" t="s">
        <v>146</v>
      </c>
      <c r="N838" s="29">
        <v>1</v>
      </c>
      <c r="P838" s="29">
        <v>1</v>
      </c>
      <c r="R838" s="29">
        <v>1</v>
      </c>
      <c r="S838" t="s">
        <v>70</v>
      </c>
      <c r="T838" t="s">
        <v>72</v>
      </c>
      <c r="U838" s="32">
        <v>30</v>
      </c>
      <c r="V838">
        <v>30</v>
      </c>
      <c r="W838" t="s">
        <v>79</v>
      </c>
      <c r="X838" t="s">
        <v>770</v>
      </c>
      <c r="Y838" t="s">
        <v>2909</v>
      </c>
      <c r="AA838" t="s">
        <v>75</v>
      </c>
      <c r="AC838" t="s">
        <v>83</v>
      </c>
      <c r="AE838" t="s">
        <v>75</v>
      </c>
      <c r="AF838" t="s">
        <v>84</v>
      </c>
      <c r="AG838" t="s">
        <v>84</v>
      </c>
      <c r="AH838" s="33">
        <f t="shared" si="37"/>
      </c>
      <c r="AI838" s="33">
        <f t="shared" si="38"/>
      </c>
    </row>
    <row r="839" ht="27.6" customHeight="1" spans="1:35" x14ac:dyDescent="0.25">
      <c r="A839" s="27" t="s">
        <v>1254</v>
      </c>
      <c r="B839">
        <f t="shared" si="36"/>
        <v>0</v>
      </c>
      <c r="C839" t="s">
        <v>64</v>
      </c>
      <c r="D839" s="27" t="s">
        <v>102</v>
      </c>
      <c r="E839" t="s">
        <v>2910</v>
      </c>
      <c r="F839" s="28">
        <v>0</v>
      </c>
      <c r="G839" s="29">
        <v>1</v>
      </c>
      <c r="H839" s="30" t="s">
        <v>2911</v>
      </c>
      <c r="I839" t="s">
        <v>65</v>
      </c>
      <c r="J8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145</v>
      </c>
      <c r="L839" t="s">
        <v>146</v>
      </c>
      <c r="N839" s="29">
        <v>1</v>
      </c>
      <c r="P839" s="29">
        <v>1</v>
      </c>
      <c r="R839" s="29">
        <v>1</v>
      </c>
      <c r="S839" t="s">
        <v>70</v>
      </c>
      <c r="T839" t="s">
        <v>72</v>
      </c>
      <c r="U839" s="32">
        <v>30</v>
      </c>
      <c r="V839">
        <v>30</v>
      </c>
      <c r="W839" t="s">
        <v>79</v>
      </c>
      <c r="X839" t="s">
        <v>770</v>
      </c>
      <c r="Y839" t="s">
        <v>2912</v>
      </c>
      <c r="AA839" t="s">
        <v>75</v>
      </c>
      <c r="AC839" t="s">
        <v>83</v>
      </c>
      <c r="AE839" t="s">
        <v>75</v>
      </c>
      <c r="AF839" t="s">
        <v>84</v>
      </c>
      <c r="AG839" t="s">
        <v>84</v>
      </c>
      <c r="AH839" s="33">
        <f t="shared" si="37"/>
      </c>
      <c r="AI839" s="33">
        <f t="shared" si="38"/>
      </c>
    </row>
    <row r="840" ht="27.6" customHeight="1" spans="1:35" x14ac:dyDescent="0.25">
      <c r="A840" s="27" t="s">
        <v>2913</v>
      </c>
      <c r="B840">
        <f t="shared" ref="B840:B903" si="39">LEN(INDIRECT(ADDRESS(ROW() + (0),COLUMN() + (-1))))</f>
        <v>0</v>
      </c>
      <c r="C840" t="s">
        <v>64</v>
      </c>
      <c r="D840" s="27" t="s">
        <v>102</v>
      </c>
      <c r="E840" t="s">
        <v>2914</v>
      </c>
      <c r="F840" s="28">
        <v>0</v>
      </c>
      <c r="G840" s="29">
        <v>1</v>
      </c>
      <c r="H840" s="30" t="s">
        <v>2915</v>
      </c>
      <c r="I840" t="s">
        <v>65</v>
      </c>
      <c r="J8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145</v>
      </c>
      <c r="L840" t="s">
        <v>146</v>
      </c>
      <c r="N840" s="29">
        <v>1</v>
      </c>
      <c r="P840" s="29">
        <v>1</v>
      </c>
      <c r="R840" s="29">
        <v>1</v>
      </c>
      <c r="S840" t="s">
        <v>70</v>
      </c>
      <c r="T840" t="s">
        <v>72</v>
      </c>
      <c r="U840" s="32">
        <v>30</v>
      </c>
      <c r="V840">
        <v>30</v>
      </c>
      <c r="W840" t="s">
        <v>79</v>
      </c>
      <c r="X840" t="s">
        <v>171</v>
      </c>
      <c r="Y840" t="s">
        <v>2914</v>
      </c>
      <c r="AA840" t="s">
        <v>75</v>
      </c>
      <c r="AC840" t="s">
        <v>83</v>
      </c>
      <c r="AE840" t="s">
        <v>75</v>
      </c>
      <c r="AF840" t="s">
        <v>84</v>
      </c>
      <c r="AG840" t="s">
        <v>84</v>
      </c>
      <c r="AH840" s="33">
        <f t="shared" ref="AH840:AH903" si="40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840" s="33">
        <f t="shared" ref="AI840:AI903" si="41">IF(TRIM(INDIRECT("A"&amp;ROW())) &lt;&gt; "",FALSE,"")</f>
      </c>
    </row>
    <row r="841" ht="27.6" customHeight="1" spans="1:35" x14ac:dyDescent="0.25">
      <c r="A841" s="27" t="s">
        <v>2916</v>
      </c>
      <c r="B841">
        <f t="shared" si="39"/>
        <v>0</v>
      </c>
      <c r="C841" t="s">
        <v>64</v>
      </c>
      <c r="D841" s="27" t="s">
        <v>102</v>
      </c>
      <c r="E841" t="s">
        <v>2917</v>
      </c>
      <c r="F841" s="28">
        <v>0</v>
      </c>
      <c r="G841" s="29">
        <v>1</v>
      </c>
      <c r="H841" s="30" t="s">
        <v>2918</v>
      </c>
      <c r="I841" t="s">
        <v>65</v>
      </c>
      <c r="J8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145</v>
      </c>
      <c r="L841" t="s">
        <v>146</v>
      </c>
      <c r="N841" s="29">
        <v>1</v>
      </c>
      <c r="P841" s="29">
        <v>1</v>
      </c>
      <c r="R841" s="29">
        <v>1</v>
      </c>
      <c r="S841" t="s">
        <v>70</v>
      </c>
      <c r="T841" t="s">
        <v>72</v>
      </c>
      <c r="U841" s="32">
        <v>30</v>
      </c>
      <c r="V841">
        <v>30</v>
      </c>
      <c r="W841" t="s">
        <v>79</v>
      </c>
      <c r="X841" t="s">
        <v>770</v>
      </c>
      <c r="Y841" t="s">
        <v>2917</v>
      </c>
      <c r="AA841" t="s">
        <v>75</v>
      </c>
      <c r="AC841" t="s">
        <v>83</v>
      </c>
      <c r="AE841" t="s">
        <v>75</v>
      </c>
      <c r="AF841" t="s">
        <v>84</v>
      </c>
      <c r="AG841" t="s">
        <v>84</v>
      </c>
      <c r="AH841" s="33">
        <f t="shared" si="40"/>
      </c>
      <c r="AI841" s="33">
        <f t="shared" si="41"/>
      </c>
    </row>
    <row r="842" ht="27.6" customHeight="1" spans="1:35" x14ac:dyDescent="0.25">
      <c r="A842" s="27" t="s">
        <v>2919</v>
      </c>
      <c r="B842">
        <f t="shared" si="39"/>
        <v>0</v>
      </c>
      <c r="C842" t="s">
        <v>64</v>
      </c>
      <c r="D842" s="27" t="s">
        <v>102</v>
      </c>
      <c r="E842" t="s">
        <v>2920</v>
      </c>
      <c r="F842" s="28">
        <v>0</v>
      </c>
      <c r="G842" s="29">
        <v>1</v>
      </c>
      <c r="H842" s="30" t="s">
        <v>2921</v>
      </c>
      <c r="I842" t="s">
        <v>65</v>
      </c>
      <c r="J8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145</v>
      </c>
      <c r="L842" t="s">
        <v>146</v>
      </c>
      <c r="N842" s="29">
        <v>1</v>
      </c>
      <c r="P842" s="29">
        <v>1</v>
      </c>
      <c r="R842" s="29">
        <v>1</v>
      </c>
      <c r="S842" t="s">
        <v>70</v>
      </c>
      <c r="T842" t="s">
        <v>72</v>
      </c>
      <c r="U842" s="32">
        <v>30</v>
      </c>
      <c r="V842">
        <v>30</v>
      </c>
      <c r="W842" t="s">
        <v>79</v>
      </c>
      <c r="X842" t="s">
        <v>770</v>
      </c>
      <c r="Y842" t="s">
        <v>2920</v>
      </c>
      <c r="AA842" t="s">
        <v>75</v>
      </c>
      <c r="AC842" t="s">
        <v>83</v>
      </c>
      <c r="AE842" t="s">
        <v>75</v>
      </c>
      <c r="AF842" t="s">
        <v>84</v>
      </c>
      <c r="AG842" t="s">
        <v>84</v>
      </c>
      <c r="AH842" s="33">
        <f t="shared" si="40"/>
      </c>
      <c r="AI842" s="33">
        <f t="shared" si="41"/>
      </c>
    </row>
    <row r="843" ht="27.6" customHeight="1" spans="1:35" x14ac:dyDescent="0.25">
      <c r="A843" s="27" t="s">
        <v>2922</v>
      </c>
      <c r="B843">
        <f t="shared" si="39"/>
        <v>0</v>
      </c>
      <c r="C843" t="s">
        <v>64</v>
      </c>
      <c r="D843" s="27" t="s">
        <v>102</v>
      </c>
      <c r="E843" t="s">
        <v>2923</v>
      </c>
      <c r="F843" s="28">
        <v>0</v>
      </c>
      <c r="G843" s="29">
        <v>1</v>
      </c>
      <c r="H843" s="30" t="s">
        <v>2924</v>
      </c>
      <c r="I843" t="s">
        <v>65</v>
      </c>
      <c r="J8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145</v>
      </c>
      <c r="L843" t="s">
        <v>146</v>
      </c>
      <c r="N843" s="29">
        <v>1</v>
      </c>
      <c r="P843" s="29">
        <v>1</v>
      </c>
      <c r="R843" s="29">
        <v>1</v>
      </c>
      <c r="S843" t="s">
        <v>70</v>
      </c>
      <c r="T843" t="s">
        <v>72</v>
      </c>
      <c r="U843" s="32">
        <v>30</v>
      </c>
      <c r="V843">
        <v>30</v>
      </c>
      <c r="W843" t="s">
        <v>79</v>
      </c>
      <c r="X843" t="s">
        <v>770</v>
      </c>
      <c r="Y843" t="s">
        <v>2925</v>
      </c>
      <c r="AA843" t="s">
        <v>75</v>
      </c>
      <c r="AC843" t="s">
        <v>83</v>
      </c>
      <c r="AE843" t="s">
        <v>75</v>
      </c>
      <c r="AF843" t="s">
        <v>84</v>
      </c>
      <c r="AG843" t="s">
        <v>84</v>
      </c>
      <c r="AH843" s="33">
        <f t="shared" si="40"/>
      </c>
      <c r="AI843" s="33">
        <f t="shared" si="41"/>
      </c>
    </row>
    <row r="844" ht="27.6" customHeight="1" spans="1:35" x14ac:dyDescent="0.25">
      <c r="A844" s="27" t="s">
        <v>2926</v>
      </c>
      <c r="B844">
        <f t="shared" si="39"/>
        <v>0</v>
      </c>
      <c r="C844" t="s">
        <v>64</v>
      </c>
      <c r="D844" s="27" t="s">
        <v>102</v>
      </c>
      <c r="E844" t="s">
        <v>2927</v>
      </c>
      <c r="F844" s="28">
        <v>0</v>
      </c>
      <c r="G844" s="29">
        <v>1</v>
      </c>
      <c r="H844" s="30" t="s">
        <v>2928</v>
      </c>
      <c r="I844" t="s">
        <v>65</v>
      </c>
      <c r="J8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145</v>
      </c>
      <c r="L844" t="s">
        <v>146</v>
      </c>
      <c r="N844" s="29">
        <v>1</v>
      </c>
      <c r="P844" s="29">
        <v>1</v>
      </c>
      <c r="R844" s="29">
        <v>1</v>
      </c>
      <c r="S844" t="s">
        <v>70</v>
      </c>
      <c r="T844" t="s">
        <v>72</v>
      </c>
      <c r="U844" s="32">
        <v>30</v>
      </c>
      <c r="V844">
        <v>30</v>
      </c>
      <c r="W844" t="s">
        <v>79</v>
      </c>
      <c r="X844" t="s">
        <v>770</v>
      </c>
      <c r="Y844" t="s">
        <v>2929</v>
      </c>
      <c r="AA844" t="s">
        <v>75</v>
      </c>
      <c r="AC844" t="s">
        <v>83</v>
      </c>
      <c r="AE844" t="s">
        <v>75</v>
      </c>
      <c r="AF844" t="s">
        <v>84</v>
      </c>
      <c r="AG844" t="s">
        <v>84</v>
      </c>
      <c r="AH844" s="33">
        <f t="shared" si="40"/>
      </c>
      <c r="AI844" s="33">
        <f t="shared" si="41"/>
      </c>
    </row>
    <row r="845" ht="27.6" customHeight="1" spans="1:35" x14ac:dyDescent="0.25">
      <c r="A845" s="27" t="s">
        <v>2930</v>
      </c>
      <c r="B845">
        <f t="shared" si="39"/>
        <v>0</v>
      </c>
      <c r="C845" t="s">
        <v>64</v>
      </c>
      <c r="D845" s="27" t="s">
        <v>102</v>
      </c>
      <c r="E845" t="s">
        <v>2931</v>
      </c>
      <c r="F845" s="28">
        <v>0</v>
      </c>
      <c r="G845" s="29">
        <v>1</v>
      </c>
      <c r="H845" s="30" t="s">
        <v>2932</v>
      </c>
      <c r="I845" t="s">
        <v>65</v>
      </c>
      <c r="J8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145</v>
      </c>
      <c r="L845" t="s">
        <v>146</v>
      </c>
      <c r="N845" s="29">
        <v>1</v>
      </c>
      <c r="P845" s="29">
        <v>1</v>
      </c>
      <c r="R845" s="29">
        <v>1</v>
      </c>
      <c r="S845" t="s">
        <v>70</v>
      </c>
      <c r="T845" t="s">
        <v>72</v>
      </c>
      <c r="U845" s="32">
        <v>30</v>
      </c>
      <c r="V845">
        <v>30</v>
      </c>
      <c r="W845" t="s">
        <v>79</v>
      </c>
      <c r="X845" t="s">
        <v>171</v>
      </c>
      <c r="Y845" t="s">
        <v>2933</v>
      </c>
      <c r="AA845" t="s">
        <v>75</v>
      </c>
      <c r="AC845" t="s">
        <v>83</v>
      </c>
      <c r="AE845" t="s">
        <v>75</v>
      </c>
      <c r="AF845" t="s">
        <v>84</v>
      </c>
      <c r="AG845" t="s">
        <v>84</v>
      </c>
      <c r="AH845" s="33">
        <f t="shared" si="40"/>
      </c>
      <c r="AI845" s="33">
        <f t="shared" si="41"/>
      </c>
    </row>
    <row r="846" ht="27.6" customHeight="1" spans="1:35" x14ac:dyDescent="0.25">
      <c r="A846" s="27" t="s">
        <v>2934</v>
      </c>
      <c r="B846">
        <f t="shared" si="39"/>
        <v>0</v>
      </c>
      <c r="C846" t="s">
        <v>64</v>
      </c>
      <c r="D846" s="27" t="s">
        <v>102</v>
      </c>
      <c r="E846" t="s">
        <v>2935</v>
      </c>
      <c r="F846" s="28">
        <v>0</v>
      </c>
      <c r="G846" s="29">
        <v>1</v>
      </c>
      <c r="H846" s="30" t="s">
        <v>2936</v>
      </c>
      <c r="I846" t="s">
        <v>65</v>
      </c>
      <c r="J8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145</v>
      </c>
      <c r="L846" t="s">
        <v>146</v>
      </c>
      <c r="N846" s="29">
        <v>1</v>
      </c>
      <c r="P846" s="29">
        <v>1</v>
      </c>
      <c r="R846" s="29">
        <v>1</v>
      </c>
      <c r="S846" t="s">
        <v>70</v>
      </c>
      <c r="T846" t="s">
        <v>72</v>
      </c>
      <c r="U846" s="32">
        <v>30</v>
      </c>
      <c r="V846">
        <v>30</v>
      </c>
      <c r="W846" t="s">
        <v>79</v>
      </c>
      <c r="X846" t="s">
        <v>171</v>
      </c>
      <c r="Y846" t="s">
        <v>2933</v>
      </c>
      <c r="AA846" t="s">
        <v>75</v>
      </c>
      <c r="AC846" t="s">
        <v>83</v>
      </c>
      <c r="AE846" t="s">
        <v>75</v>
      </c>
      <c r="AF846" t="s">
        <v>84</v>
      </c>
      <c r="AG846" t="s">
        <v>84</v>
      </c>
      <c r="AH846" s="33">
        <f t="shared" si="40"/>
      </c>
      <c r="AI846" s="33">
        <f t="shared" si="41"/>
      </c>
    </row>
    <row r="847" ht="27.6" customHeight="1" spans="1:35" x14ac:dyDescent="0.25">
      <c r="A847" s="27" t="s">
        <v>1118</v>
      </c>
      <c r="B847">
        <f t="shared" si="39"/>
        <v>0</v>
      </c>
      <c r="C847" t="s">
        <v>64</v>
      </c>
      <c r="D847" s="27" t="s">
        <v>102</v>
      </c>
      <c r="E847" t="s">
        <v>2937</v>
      </c>
      <c r="F847" s="28">
        <v>0</v>
      </c>
      <c r="G847" s="29">
        <v>1</v>
      </c>
      <c r="H847" s="30" t="s">
        <v>2938</v>
      </c>
      <c r="I847" t="s">
        <v>65</v>
      </c>
      <c r="J8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145</v>
      </c>
      <c r="L847" t="s">
        <v>146</v>
      </c>
      <c r="N847" s="29">
        <v>1</v>
      </c>
      <c r="P847" s="29">
        <v>1</v>
      </c>
      <c r="R847" s="29">
        <v>1</v>
      </c>
      <c r="S847" t="s">
        <v>70</v>
      </c>
      <c r="T847" t="s">
        <v>72</v>
      </c>
      <c r="U847" s="32">
        <v>30</v>
      </c>
      <c r="V847">
        <v>30</v>
      </c>
      <c r="W847" t="s">
        <v>79</v>
      </c>
      <c r="X847" t="s">
        <v>171</v>
      </c>
      <c r="Y847" t="s">
        <v>2939</v>
      </c>
      <c r="AA847" t="s">
        <v>75</v>
      </c>
      <c r="AC847" t="s">
        <v>83</v>
      </c>
      <c r="AE847" t="s">
        <v>75</v>
      </c>
      <c r="AF847" t="s">
        <v>84</v>
      </c>
      <c r="AG847" t="s">
        <v>84</v>
      </c>
      <c r="AH847" s="33">
        <f t="shared" si="40"/>
      </c>
      <c r="AI847" s="33">
        <f t="shared" si="41"/>
      </c>
    </row>
    <row r="848" ht="27.6" customHeight="1" spans="1:35" x14ac:dyDescent="0.25">
      <c r="A848" s="27" t="s">
        <v>1127</v>
      </c>
      <c r="B848">
        <f t="shared" si="39"/>
        <v>0</v>
      </c>
      <c r="C848" t="s">
        <v>64</v>
      </c>
      <c r="D848" s="27" t="s">
        <v>102</v>
      </c>
      <c r="E848" t="s">
        <v>2940</v>
      </c>
      <c r="F848" s="28">
        <v>0</v>
      </c>
      <c r="G848" s="29">
        <v>1</v>
      </c>
      <c r="H848" s="30" t="s">
        <v>2941</v>
      </c>
      <c r="I848" t="s">
        <v>65</v>
      </c>
      <c r="J8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145</v>
      </c>
      <c r="L848" t="s">
        <v>146</v>
      </c>
      <c r="N848" s="29">
        <v>1</v>
      </c>
      <c r="P848" s="29">
        <v>1</v>
      </c>
      <c r="R848" s="29">
        <v>1</v>
      </c>
      <c r="S848" t="s">
        <v>70</v>
      </c>
      <c r="T848" t="s">
        <v>72</v>
      </c>
      <c r="U848" s="32">
        <v>30</v>
      </c>
      <c r="V848">
        <v>30</v>
      </c>
      <c r="W848" t="s">
        <v>79</v>
      </c>
      <c r="X848" t="s">
        <v>171</v>
      </c>
      <c r="Y848" t="s">
        <v>2939</v>
      </c>
      <c r="AA848" t="s">
        <v>75</v>
      </c>
      <c r="AC848" t="s">
        <v>83</v>
      </c>
      <c r="AE848" t="s">
        <v>75</v>
      </c>
      <c r="AF848" t="s">
        <v>84</v>
      </c>
      <c r="AG848" t="s">
        <v>84</v>
      </c>
      <c r="AH848" s="33">
        <f t="shared" si="40"/>
      </c>
      <c r="AI848" s="33">
        <f t="shared" si="41"/>
      </c>
    </row>
    <row r="849" ht="27.6" customHeight="1" spans="1:35" x14ac:dyDescent="0.25">
      <c r="A849" s="27" t="s">
        <v>2942</v>
      </c>
      <c r="B849">
        <f t="shared" si="39"/>
        <v>0</v>
      </c>
      <c r="C849" t="s">
        <v>64</v>
      </c>
      <c r="D849" s="27" t="s">
        <v>102</v>
      </c>
      <c r="E849" t="s">
        <v>2943</v>
      </c>
      <c r="F849" s="28">
        <v>0</v>
      </c>
      <c r="G849" s="29">
        <v>1</v>
      </c>
      <c r="H849" s="30" t="s">
        <v>2944</v>
      </c>
      <c r="I849" t="s">
        <v>65</v>
      </c>
      <c r="J8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145</v>
      </c>
      <c r="L849" t="s">
        <v>146</v>
      </c>
      <c r="N849" s="29">
        <v>1</v>
      </c>
      <c r="P849" s="29">
        <v>1</v>
      </c>
      <c r="R849" s="29">
        <v>1</v>
      </c>
      <c r="S849" t="s">
        <v>70</v>
      </c>
      <c r="T849" t="s">
        <v>72</v>
      </c>
      <c r="U849" s="32">
        <v>30</v>
      </c>
      <c r="V849">
        <v>30</v>
      </c>
      <c r="W849" t="s">
        <v>79</v>
      </c>
      <c r="X849" t="s">
        <v>171</v>
      </c>
      <c r="Y849" t="s">
        <v>2943</v>
      </c>
      <c r="AA849" t="s">
        <v>75</v>
      </c>
      <c r="AC849" t="s">
        <v>83</v>
      </c>
      <c r="AE849" t="s">
        <v>75</v>
      </c>
      <c r="AF849" t="s">
        <v>84</v>
      </c>
      <c r="AG849" t="s">
        <v>84</v>
      </c>
      <c r="AH849" s="33">
        <f t="shared" si="40"/>
      </c>
      <c r="AI849" s="33">
        <f t="shared" si="41"/>
      </c>
    </row>
    <row r="850" ht="27.6" customHeight="1" spans="1:35" x14ac:dyDescent="0.25">
      <c r="A850" s="27" t="s">
        <v>2945</v>
      </c>
      <c r="B850">
        <f t="shared" si="39"/>
        <v>0</v>
      </c>
      <c r="C850" t="s">
        <v>64</v>
      </c>
      <c r="D850" s="27" t="s">
        <v>102</v>
      </c>
      <c r="E850" t="s">
        <v>2946</v>
      </c>
      <c r="F850" s="28">
        <v>0</v>
      </c>
      <c r="G850" s="29">
        <v>1</v>
      </c>
      <c r="H850" s="30" t="s">
        <v>2947</v>
      </c>
      <c r="I850" t="s">
        <v>65</v>
      </c>
      <c r="J8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145</v>
      </c>
      <c r="L850" t="s">
        <v>146</v>
      </c>
      <c r="N850" s="29">
        <v>1</v>
      </c>
      <c r="P850" s="29">
        <v>1</v>
      </c>
      <c r="R850" s="29">
        <v>1</v>
      </c>
      <c r="S850" t="s">
        <v>70</v>
      </c>
      <c r="T850" t="s">
        <v>72</v>
      </c>
      <c r="U850" s="32">
        <v>30</v>
      </c>
      <c r="V850">
        <v>30</v>
      </c>
      <c r="W850" t="s">
        <v>79</v>
      </c>
      <c r="X850" t="s">
        <v>171</v>
      </c>
      <c r="Y850" t="s">
        <v>2946</v>
      </c>
      <c r="AA850" t="s">
        <v>75</v>
      </c>
      <c r="AC850" t="s">
        <v>83</v>
      </c>
      <c r="AE850" t="s">
        <v>75</v>
      </c>
      <c r="AF850" t="s">
        <v>84</v>
      </c>
      <c r="AG850" t="s">
        <v>84</v>
      </c>
      <c r="AH850" s="33">
        <f t="shared" si="40"/>
      </c>
      <c r="AI850" s="33">
        <f t="shared" si="41"/>
      </c>
    </row>
    <row r="851" ht="27.6" customHeight="1" spans="1:35" x14ac:dyDescent="0.25">
      <c r="A851" s="27" t="s">
        <v>1270</v>
      </c>
      <c r="B851">
        <f t="shared" si="39"/>
        <v>0</v>
      </c>
      <c r="C851" t="s">
        <v>64</v>
      </c>
      <c r="D851" s="27" t="s">
        <v>102</v>
      </c>
      <c r="E851" t="s">
        <v>2948</v>
      </c>
      <c r="F851" s="28">
        <v>0</v>
      </c>
      <c r="G851" s="29">
        <v>1</v>
      </c>
      <c r="H851" s="30" t="s">
        <v>2949</v>
      </c>
      <c r="I851" t="s">
        <v>65</v>
      </c>
      <c r="J8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145</v>
      </c>
      <c r="L851" t="s">
        <v>146</v>
      </c>
      <c r="N851" s="29">
        <v>1</v>
      </c>
      <c r="P851" s="29">
        <v>1</v>
      </c>
      <c r="R851" s="29">
        <v>1</v>
      </c>
      <c r="S851" t="s">
        <v>70</v>
      </c>
      <c r="T851" t="s">
        <v>72</v>
      </c>
      <c r="U851" s="32">
        <v>30</v>
      </c>
      <c r="V851">
        <v>30</v>
      </c>
      <c r="W851" t="s">
        <v>79</v>
      </c>
      <c r="X851" t="s">
        <v>171</v>
      </c>
      <c r="Y851" t="s">
        <v>2950</v>
      </c>
      <c r="AA851" t="s">
        <v>75</v>
      </c>
      <c r="AC851" t="s">
        <v>83</v>
      </c>
      <c r="AE851" t="s">
        <v>75</v>
      </c>
      <c r="AF851" t="s">
        <v>84</v>
      </c>
      <c r="AG851" t="s">
        <v>84</v>
      </c>
      <c r="AH851" s="33">
        <f t="shared" si="40"/>
      </c>
      <c r="AI851" s="33">
        <f t="shared" si="41"/>
      </c>
    </row>
    <row r="852" ht="27.6" customHeight="1" spans="1:35" x14ac:dyDescent="0.25">
      <c r="A852" s="27" t="s">
        <v>1274</v>
      </c>
      <c r="B852">
        <f t="shared" si="39"/>
        <v>0</v>
      </c>
      <c r="C852" t="s">
        <v>64</v>
      </c>
      <c r="D852" s="27" t="s">
        <v>102</v>
      </c>
      <c r="E852" t="s">
        <v>2951</v>
      </c>
      <c r="F852" s="28">
        <v>0</v>
      </c>
      <c r="G852" s="29">
        <v>1</v>
      </c>
      <c r="H852" s="30" t="s">
        <v>2952</v>
      </c>
      <c r="I852" t="s">
        <v>65</v>
      </c>
      <c r="J8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145</v>
      </c>
      <c r="L852" t="s">
        <v>146</v>
      </c>
      <c r="N852" s="29">
        <v>1</v>
      </c>
      <c r="P852" s="29">
        <v>1</v>
      </c>
      <c r="R852" s="29">
        <v>1</v>
      </c>
      <c r="S852" t="s">
        <v>70</v>
      </c>
      <c r="T852" t="s">
        <v>72</v>
      </c>
      <c r="U852" s="32">
        <v>30</v>
      </c>
      <c r="V852">
        <v>30</v>
      </c>
      <c r="W852" t="s">
        <v>79</v>
      </c>
      <c r="X852" t="s">
        <v>770</v>
      </c>
      <c r="Y852" t="s">
        <v>2953</v>
      </c>
      <c r="AA852" t="s">
        <v>75</v>
      </c>
      <c r="AC852" t="s">
        <v>83</v>
      </c>
      <c r="AE852" t="s">
        <v>75</v>
      </c>
      <c r="AF852" t="s">
        <v>84</v>
      </c>
      <c r="AG852" t="s">
        <v>84</v>
      </c>
      <c r="AH852" s="33">
        <f t="shared" si="40"/>
      </c>
      <c r="AI852" s="33">
        <f t="shared" si="41"/>
      </c>
    </row>
    <row r="853" ht="27.6" customHeight="1" spans="1:35" x14ac:dyDescent="0.25">
      <c r="A853" s="27" t="s">
        <v>1278</v>
      </c>
      <c r="B853">
        <f t="shared" si="39"/>
        <v>0</v>
      </c>
      <c r="C853" t="s">
        <v>64</v>
      </c>
      <c r="D853" s="27" t="s">
        <v>102</v>
      </c>
      <c r="E853" t="s">
        <v>2954</v>
      </c>
      <c r="F853" s="28">
        <v>0</v>
      </c>
      <c r="G853" s="29">
        <v>1</v>
      </c>
      <c r="H853" s="30" t="s">
        <v>2955</v>
      </c>
      <c r="I853" t="s">
        <v>65</v>
      </c>
      <c r="J8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145</v>
      </c>
      <c r="L853" t="s">
        <v>146</v>
      </c>
      <c r="N853" s="29">
        <v>1</v>
      </c>
      <c r="P853" s="29">
        <v>1</v>
      </c>
      <c r="R853" s="29">
        <v>1</v>
      </c>
      <c r="S853" t="s">
        <v>70</v>
      </c>
      <c r="T853" t="s">
        <v>72</v>
      </c>
      <c r="U853" s="32">
        <v>30</v>
      </c>
      <c r="V853">
        <v>30</v>
      </c>
      <c r="W853" t="s">
        <v>79</v>
      </c>
      <c r="X853" t="s">
        <v>770</v>
      </c>
      <c r="Y853" t="s">
        <v>2956</v>
      </c>
      <c r="AA853" t="s">
        <v>75</v>
      </c>
      <c r="AC853" t="s">
        <v>83</v>
      </c>
      <c r="AE853" t="s">
        <v>75</v>
      </c>
      <c r="AF853" t="s">
        <v>84</v>
      </c>
      <c r="AG853" t="s">
        <v>84</v>
      </c>
      <c r="AH853" s="33">
        <f t="shared" si="40"/>
      </c>
      <c r="AI853" s="33">
        <f t="shared" si="41"/>
      </c>
    </row>
    <row r="854" ht="27.6" customHeight="1" spans="1:35" x14ac:dyDescent="0.25">
      <c r="A854" s="27" t="s">
        <v>1282</v>
      </c>
      <c r="B854">
        <f t="shared" si="39"/>
        <v>0</v>
      </c>
      <c r="C854" t="s">
        <v>64</v>
      </c>
      <c r="D854" s="27" t="s">
        <v>102</v>
      </c>
      <c r="E854" t="s">
        <v>2957</v>
      </c>
      <c r="F854" s="28">
        <v>0</v>
      </c>
      <c r="G854" s="29">
        <v>1</v>
      </c>
      <c r="H854" s="30" t="s">
        <v>2958</v>
      </c>
      <c r="I854" t="s">
        <v>65</v>
      </c>
      <c r="J8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145</v>
      </c>
      <c r="L854" t="s">
        <v>146</v>
      </c>
      <c r="N854" s="29">
        <v>1</v>
      </c>
      <c r="P854" s="29">
        <v>1</v>
      </c>
      <c r="R854" s="29">
        <v>1</v>
      </c>
      <c r="S854" t="s">
        <v>70</v>
      </c>
      <c r="T854" t="s">
        <v>72</v>
      </c>
      <c r="U854" s="32">
        <v>30</v>
      </c>
      <c r="V854">
        <v>30</v>
      </c>
      <c r="W854" t="s">
        <v>79</v>
      </c>
      <c r="X854" t="s">
        <v>770</v>
      </c>
      <c r="Y854" t="s">
        <v>2959</v>
      </c>
      <c r="AA854" t="s">
        <v>75</v>
      </c>
      <c r="AC854" t="s">
        <v>83</v>
      </c>
      <c r="AE854" t="s">
        <v>75</v>
      </c>
      <c r="AF854" t="s">
        <v>84</v>
      </c>
      <c r="AG854" t="s">
        <v>84</v>
      </c>
      <c r="AH854" s="33">
        <f t="shared" si="40"/>
      </c>
      <c r="AI854" s="33">
        <f t="shared" si="41"/>
      </c>
    </row>
    <row r="855" ht="27.6" customHeight="1" spans="1:35" x14ac:dyDescent="0.25">
      <c r="A855" s="27" t="s">
        <v>141</v>
      </c>
      <c r="B855">
        <f t="shared" si="39"/>
        <v>0</v>
      </c>
      <c r="C855" t="s">
        <v>64</v>
      </c>
      <c r="D855" s="27" t="s">
        <v>2960</v>
      </c>
      <c r="E855" t="s">
        <v>2961</v>
      </c>
      <c r="F855" s="28">
        <v>0</v>
      </c>
      <c r="G855" s="29">
        <v>1</v>
      </c>
      <c r="H855" s="30" t="s">
        <v>2962</v>
      </c>
      <c r="I855" t="s">
        <v>65</v>
      </c>
      <c r="J8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145</v>
      </c>
      <c r="L855" t="s">
        <v>146</v>
      </c>
      <c r="N855" s="29">
        <v>1</v>
      </c>
      <c r="P855" s="29">
        <v>1</v>
      </c>
      <c r="R855" s="29">
        <v>1</v>
      </c>
      <c r="S855" t="s">
        <v>70</v>
      </c>
      <c r="T855" t="s">
        <v>72</v>
      </c>
      <c r="U855" s="32">
        <v>30</v>
      </c>
      <c r="V855">
        <v>30</v>
      </c>
      <c r="W855" t="s">
        <v>79</v>
      </c>
      <c r="X855" t="s">
        <v>171</v>
      </c>
      <c r="Y855" t="s">
        <v>2963</v>
      </c>
      <c r="AA855" t="s">
        <v>75</v>
      </c>
      <c r="AC855" t="s">
        <v>83</v>
      </c>
      <c r="AE855" t="s">
        <v>75</v>
      </c>
      <c r="AF855" t="s">
        <v>84</v>
      </c>
      <c r="AG855" t="s">
        <v>84</v>
      </c>
      <c r="AH855" s="33">
        <f t="shared" si="40"/>
      </c>
      <c r="AI855" s="33">
        <f t="shared" si="41"/>
      </c>
    </row>
    <row r="856" ht="27.6" customHeight="1" spans="1:35" x14ac:dyDescent="0.25">
      <c r="A856" s="27" t="s">
        <v>152</v>
      </c>
      <c r="B856">
        <f t="shared" si="39"/>
        <v>0</v>
      </c>
      <c r="C856" t="s">
        <v>64</v>
      </c>
      <c r="D856" s="27" t="s">
        <v>2964</v>
      </c>
      <c r="E856" t="s">
        <v>2965</v>
      </c>
      <c r="F856" s="28">
        <v>0</v>
      </c>
      <c r="G856" s="29">
        <v>1</v>
      </c>
      <c r="H856" s="30" t="s">
        <v>2966</v>
      </c>
      <c r="I856" t="s">
        <v>65</v>
      </c>
      <c r="J8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145</v>
      </c>
      <c r="L856" t="s">
        <v>146</v>
      </c>
      <c r="N856" s="29">
        <v>1</v>
      </c>
      <c r="P856" s="29">
        <v>1</v>
      </c>
      <c r="R856" s="29">
        <v>1</v>
      </c>
      <c r="S856" t="s">
        <v>70</v>
      </c>
      <c r="T856" t="s">
        <v>72</v>
      </c>
      <c r="U856" s="32">
        <v>30</v>
      </c>
      <c r="V856">
        <v>30</v>
      </c>
      <c r="W856" t="s">
        <v>79</v>
      </c>
      <c r="X856" t="s">
        <v>171</v>
      </c>
      <c r="Y856" t="s">
        <v>2967</v>
      </c>
      <c r="AA856" t="s">
        <v>75</v>
      </c>
      <c r="AC856" t="s">
        <v>83</v>
      </c>
      <c r="AE856" t="s">
        <v>75</v>
      </c>
      <c r="AF856" t="s">
        <v>84</v>
      </c>
      <c r="AG856" t="s">
        <v>84</v>
      </c>
      <c r="AH856" s="33">
        <f t="shared" si="40"/>
      </c>
      <c r="AI856" s="33">
        <f t="shared" si="41"/>
      </c>
    </row>
    <row r="857" ht="27.6" customHeight="1" spans="1:35" x14ac:dyDescent="0.25">
      <c r="A857" s="27" t="s">
        <v>159</v>
      </c>
      <c r="B857">
        <f t="shared" si="39"/>
        <v>0</v>
      </c>
      <c r="C857" t="s">
        <v>64</v>
      </c>
      <c r="D857" s="27" t="s">
        <v>2968</v>
      </c>
      <c r="E857" t="s">
        <v>2969</v>
      </c>
      <c r="F857" s="28">
        <v>0</v>
      </c>
      <c r="G857" s="29">
        <v>1</v>
      </c>
      <c r="H857" s="30" t="s">
        <v>2970</v>
      </c>
      <c r="I857" t="s">
        <v>65</v>
      </c>
      <c r="J8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145</v>
      </c>
      <c r="L857" t="s">
        <v>146</v>
      </c>
      <c r="N857" s="29">
        <v>1</v>
      </c>
      <c r="P857" s="29">
        <v>1</v>
      </c>
      <c r="R857" s="29">
        <v>1</v>
      </c>
      <c r="S857" t="s">
        <v>70</v>
      </c>
      <c r="T857" t="s">
        <v>72</v>
      </c>
      <c r="U857" s="32">
        <v>30</v>
      </c>
      <c r="V857">
        <v>30</v>
      </c>
      <c r="W857" t="s">
        <v>79</v>
      </c>
      <c r="X857" t="s">
        <v>171</v>
      </c>
      <c r="Y857" t="s">
        <v>2971</v>
      </c>
      <c r="AA857" t="s">
        <v>75</v>
      </c>
      <c r="AC857" t="s">
        <v>83</v>
      </c>
      <c r="AE857" t="s">
        <v>75</v>
      </c>
      <c r="AF857" t="s">
        <v>84</v>
      </c>
      <c r="AG857" t="s">
        <v>84</v>
      </c>
      <c r="AH857" s="33">
        <f t="shared" si="40"/>
      </c>
      <c r="AI857" s="33">
        <f t="shared" si="41"/>
      </c>
    </row>
    <row r="858" ht="27.6" customHeight="1" spans="1:35" x14ac:dyDescent="0.25">
      <c r="A858" s="27" t="s">
        <v>1206</v>
      </c>
      <c r="B858">
        <f t="shared" si="39"/>
        <v>0</v>
      </c>
      <c r="C858" t="s">
        <v>64</v>
      </c>
      <c r="D858" s="27" t="s">
        <v>2972</v>
      </c>
      <c r="E858" t="s">
        <v>2973</v>
      </c>
      <c r="F858" s="28">
        <v>0</v>
      </c>
      <c r="G858" s="29">
        <v>1</v>
      </c>
      <c r="H858" s="30" t="s">
        <v>2974</v>
      </c>
      <c r="I858" t="s">
        <v>65</v>
      </c>
      <c r="J8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145</v>
      </c>
      <c r="L858" t="s">
        <v>146</v>
      </c>
      <c r="N858" s="29">
        <v>1</v>
      </c>
      <c r="P858" s="29">
        <v>1</v>
      </c>
      <c r="R858" s="29">
        <v>1</v>
      </c>
      <c r="S858" t="s">
        <v>70</v>
      </c>
      <c r="T858" t="s">
        <v>72</v>
      </c>
      <c r="U858" s="32">
        <v>30</v>
      </c>
      <c r="V858">
        <v>30</v>
      </c>
      <c r="W858" t="s">
        <v>79</v>
      </c>
      <c r="X858" t="s">
        <v>171</v>
      </c>
      <c r="Y858" t="s">
        <v>2975</v>
      </c>
      <c r="AA858" t="s">
        <v>75</v>
      </c>
      <c r="AC858" t="s">
        <v>83</v>
      </c>
      <c r="AE858" t="s">
        <v>75</v>
      </c>
      <c r="AF858" t="s">
        <v>84</v>
      </c>
      <c r="AG858" t="s">
        <v>84</v>
      </c>
      <c r="AH858" s="33">
        <f t="shared" si="40"/>
      </c>
      <c r="AI858" s="33">
        <f t="shared" si="41"/>
      </c>
    </row>
    <row r="859" ht="27.6" customHeight="1" spans="1:35" x14ac:dyDescent="0.25">
      <c r="A859" s="27" t="s">
        <v>1210</v>
      </c>
      <c r="B859">
        <f t="shared" si="39"/>
        <v>0</v>
      </c>
      <c r="C859" t="s">
        <v>64</v>
      </c>
      <c r="D859" s="27" t="s">
        <v>2976</v>
      </c>
      <c r="E859" t="s">
        <v>2977</v>
      </c>
      <c r="F859" s="28">
        <v>0</v>
      </c>
      <c r="G859" s="29">
        <v>1</v>
      </c>
      <c r="H859" s="30" t="s">
        <v>2978</v>
      </c>
      <c r="I859" t="s">
        <v>65</v>
      </c>
      <c r="J8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145</v>
      </c>
      <c r="L859" t="s">
        <v>146</v>
      </c>
      <c r="N859" s="29">
        <v>1</v>
      </c>
      <c r="P859" s="29">
        <v>1</v>
      </c>
      <c r="R859" s="29">
        <v>1</v>
      </c>
      <c r="S859" t="s">
        <v>70</v>
      </c>
      <c r="T859" t="s">
        <v>72</v>
      </c>
      <c r="U859" s="32">
        <v>30</v>
      </c>
      <c r="V859">
        <v>30</v>
      </c>
      <c r="W859" t="s">
        <v>79</v>
      </c>
      <c r="X859" t="s">
        <v>171</v>
      </c>
      <c r="Y859" t="s">
        <v>2979</v>
      </c>
      <c r="AA859" t="s">
        <v>75</v>
      </c>
      <c r="AC859" t="s">
        <v>83</v>
      </c>
      <c r="AE859" t="s">
        <v>75</v>
      </c>
      <c r="AF859" t="s">
        <v>84</v>
      </c>
      <c r="AG859" t="s">
        <v>84</v>
      </c>
      <c r="AH859" s="33">
        <f t="shared" si="40"/>
      </c>
      <c r="AI859" s="33">
        <f t="shared" si="41"/>
      </c>
    </row>
    <row r="860" ht="27.6" customHeight="1" spans="1:35" x14ac:dyDescent="0.25">
      <c r="A860" s="27" t="s">
        <v>2980</v>
      </c>
      <c r="B860">
        <f t="shared" si="39"/>
        <v>0</v>
      </c>
      <c r="C860" t="s">
        <v>64</v>
      </c>
      <c r="D860" s="27" t="s">
        <v>2981</v>
      </c>
      <c r="E860" t="s">
        <v>2982</v>
      </c>
      <c r="F860" s="28">
        <v>0</v>
      </c>
      <c r="G860" s="29">
        <v>1</v>
      </c>
      <c r="H860" s="30" t="s">
        <v>2983</v>
      </c>
      <c r="I860" t="s">
        <v>65</v>
      </c>
      <c r="J8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145</v>
      </c>
      <c r="L860" t="s">
        <v>146</v>
      </c>
      <c r="N860" s="29">
        <v>1</v>
      </c>
      <c r="P860" s="29">
        <v>1</v>
      </c>
      <c r="R860" s="29">
        <v>1</v>
      </c>
      <c r="S860" t="s">
        <v>70</v>
      </c>
      <c r="T860" t="s">
        <v>72</v>
      </c>
      <c r="U860" s="32">
        <v>30</v>
      </c>
      <c r="V860">
        <v>30</v>
      </c>
      <c r="W860" t="s">
        <v>79</v>
      </c>
      <c r="X860" t="s">
        <v>171</v>
      </c>
      <c r="Y860" t="s">
        <v>2984</v>
      </c>
      <c r="AA860" t="s">
        <v>75</v>
      </c>
      <c r="AC860" t="s">
        <v>83</v>
      </c>
      <c r="AE860" t="s">
        <v>75</v>
      </c>
      <c r="AF860" t="s">
        <v>84</v>
      </c>
      <c r="AG860" t="s">
        <v>84</v>
      </c>
      <c r="AH860" s="33">
        <f t="shared" si="40"/>
      </c>
      <c r="AI860" s="33">
        <f t="shared" si="41"/>
      </c>
    </row>
    <row r="861" ht="27.6" customHeight="1" spans="1:35" x14ac:dyDescent="0.25">
      <c r="A861" s="27" t="s">
        <v>2985</v>
      </c>
      <c r="B861">
        <f t="shared" si="39"/>
        <v>0</v>
      </c>
      <c r="C861" t="s">
        <v>64</v>
      </c>
      <c r="D861" s="27" t="s">
        <v>102</v>
      </c>
      <c r="E861" t="s">
        <v>2986</v>
      </c>
      <c r="F861" s="28">
        <v>0</v>
      </c>
      <c r="G861" s="29">
        <v>1</v>
      </c>
      <c r="H861" s="30" t="s">
        <v>2987</v>
      </c>
      <c r="I861" t="s">
        <v>65</v>
      </c>
      <c r="J8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145</v>
      </c>
      <c r="L861" t="s">
        <v>146</v>
      </c>
      <c r="N861" s="29">
        <v>1</v>
      </c>
      <c r="P861" s="29">
        <v>1</v>
      </c>
      <c r="R861" s="29">
        <v>1</v>
      </c>
      <c r="S861" t="s">
        <v>70</v>
      </c>
      <c r="T861" t="s">
        <v>72</v>
      </c>
      <c r="U861" s="32">
        <v>30</v>
      </c>
      <c r="V861">
        <v>30</v>
      </c>
      <c r="W861" t="s">
        <v>79</v>
      </c>
      <c r="X861" t="s">
        <v>171</v>
      </c>
      <c r="Y861" t="s">
        <v>2986</v>
      </c>
      <c r="AA861" t="s">
        <v>75</v>
      </c>
      <c r="AC861" t="s">
        <v>83</v>
      </c>
      <c r="AE861" t="s">
        <v>75</v>
      </c>
      <c r="AF861" t="s">
        <v>84</v>
      </c>
      <c r="AG861" t="s">
        <v>84</v>
      </c>
      <c r="AH861" s="33">
        <f t="shared" si="40"/>
      </c>
      <c r="AI861" s="33">
        <f t="shared" si="41"/>
      </c>
    </row>
    <row r="862" ht="27.6" customHeight="1" spans="1:35" x14ac:dyDescent="0.25">
      <c r="A862" s="27" t="s">
        <v>2988</v>
      </c>
      <c r="B862">
        <f t="shared" si="39"/>
        <v>0</v>
      </c>
      <c r="C862" t="s">
        <v>64</v>
      </c>
      <c r="D862" s="27" t="s">
        <v>102</v>
      </c>
      <c r="E862" t="s">
        <v>2989</v>
      </c>
      <c r="F862" s="28">
        <v>0</v>
      </c>
      <c r="G862" s="29">
        <v>1</v>
      </c>
      <c r="H862" s="30" t="s">
        <v>2990</v>
      </c>
      <c r="I862" t="s">
        <v>65</v>
      </c>
      <c r="J8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145</v>
      </c>
      <c r="L862" t="s">
        <v>146</v>
      </c>
      <c r="N862" s="29">
        <v>1</v>
      </c>
      <c r="P862" s="29">
        <v>1</v>
      </c>
      <c r="R862" s="29">
        <v>1</v>
      </c>
      <c r="S862" t="s">
        <v>70</v>
      </c>
      <c r="T862" t="s">
        <v>72</v>
      </c>
      <c r="U862" s="32">
        <v>30</v>
      </c>
      <c r="V862">
        <v>30</v>
      </c>
      <c r="W862" t="s">
        <v>79</v>
      </c>
      <c r="X862" t="s">
        <v>171</v>
      </c>
      <c r="Y862" t="s">
        <v>2989</v>
      </c>
      <c r="AA862" t="s">
        <v>75</v>
      </c>
      <c r="AC862" t="s">
        <v>83</v>
      </c>
      <c r="AE862" t="s">
        <v>75</v>
      </c>
      <c r="AF862" t="s">
        <v>84</v>
      </c>
      <c r="AG862" t="s">
        <v>84</v>
      </c>
      <c r="AH862" s="33">
        <f t="shared" si="40"/>
      </c>
      <c r="AI862" s="33">
        <f t="shared" si="41"/>
      </c>
    </row>
    <row r="863" ht="27.6" customHeight="1" spans="1:35" x14ac:dyDescent="0.25">
      <c r="A863" s="27" t="s">
        <v>2991</v>
      </c>
      <c r="B863">
        <f t="shared" si="39"/>
        <v>0</v>
      </c>
      <c r="C863" t="s">
        <v>64</v>
      </c>
      <c r="D863" s="27" t="s">
        <v>102</v>
      </c>
      <c r="E863" t="s">
        <v>2992</v>
      </c>
      <c r="F863" s="28">
        <v>0</v>
      </c>
      <c r="G863" s="29">
        <v>1</v>
      </c>
      <c r="H863" s="30" t="s">
        <v>2993</v>
      </c>
      <c r="I863" t="s">
        <v>65</v>
      </c>
      <c r="J8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145</v>
      </c>
      <c r="L863" t="s">
        <v>146</v>
      </c>
      <c r="N863" s="29">
        <v>1</v>
      </c>
      <c r="P863" s="29">
        <v>1</v>
      </c>
      <c r="R863" s="29">
        <v>1</v>
      </c>
      <c r="S863" t="s">
        <v>70</v>
      </c>
      <c r="T863" t="s">
        <v>72</v>
      </c>
      <c r="U863" s="32">
        <v>30</v>
      </c>
      <c r="V863">
        <v>30</v>
      </c>
      <c r="W863" t="s">
        <v>79</v>
      </c>
      <c r="X863" t="s">
        <v>770</v>
      </c>
      <c r="Y863" t="s">
        <v>2992</v>
      </c>
      <c r="AA863" t="s">
        <v>75</v>
      </c>
      <c r="AC863" t="s">
        <v>83</v>
      </c>
      <c r="AE863" t="s">
        <v>75</v>
      </c>
      <c r="AF863" t="s">
        <v>84</v>
      </c>
      <c r="AG863" t="s">
        <v>84</v>
      </c>
      <c r="AH863" s="33">
        <f t="shared" si="40"/>
      </c>
      <c r="AI863" s="33">
        <f t="shared" si="41"/>
      </c>
    </row>
    <row r="864" ht="27.6" customHeight="1" spans="1:35" x14ac:dyDescent="0.25">
      <c r="A864" s="27" t="s">
        <v>2994</v>
      </c>
      <c r="B864">
        <f t="shared" si="39"/>
        <v>0</v>
      </c>
      <c r="C864" t="s">
        <v>64</v>
      </c>
      <c r="D864" s="27" t="s">
        <v>102</v>
      </c>
      <c r="E864" t="s">
        <v>2995</v>
      </c>
      <c r="F864" s="28">
        <v>0</v>
      </c>
      <c r="G864" s="29">
        <v>1</v>
      </c>
      <c r="H864" s="30" t="s">
        <v>2996</v>
      </c>
      <c r="I864" t="s">
        <v>65</v>
      </c>
      <c r="J8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145</v>
      </c>
      <c r="L864" t="s">
        <v>146</v>
      </c>
      <c r="N864" s="29">
        <v>1</v>
      </c>
      <c r="P864" s="29">
        <v>1</v>
      </c>
      <c r="R864" s="29">
        <v>1</v>
      </c>
      <c r="S864" t="s">
        <v>70</v>
      </c>
      <c r="T864" t="s">
        <v>72</v>
      </c>
      <c r="U864" s="32">
        <v>30</v>
      </c>
      <c r="V864">
        <v>30</v>
      </c>
      <c r="W864" t="s">
        <v>79</v>
      </c>
      <c r="X864" t="s">
        <v>171</v>
      </c>
      <c r="Y864" t="s">
        <v>2997</v>
      </c>
      <c r="AA864" t="s">
        <v>75</v>
      </c>
      <c r="AC864" t="s">
        <v>83</v>
      </c>
      <c r="AE864" t="s">
        <v>75</v>
      </c>
      <c r="AF864" t="s">
        <v>84</v>
      </c>
      <c r="AG864" t="s">
        <v>84</v>
      </c>
      <c r="AH864" s="33">
        <f t="shared" si="40"/>
      </c>
      <c r="AI864" s="33">
        <f t="shared" si="41"/>
      </c>
    </row>
    <row r="865" ht="27.6" customHeight="1" spans="1:35" x14ac:dyDescent="0.25">
      <c r="A865" s="27" t="s">
        <v>2998</v>
      </c>
      <c r="B865">
        <f t="shared" si="39"/>
        <v>0</v>
      </c>
      <c r="C865" t="s">
        <v>64</v>
      </c>
      <c r="D865" s="27" t="s">
        <v>102</v>
      </c>
      <c r="E865" t="s">
        <v>2999</v>
      </c>
      <c r="F865" s="28">
        <v>0</v>
      </c>
      <c r="G865" s="29">
        <v>1</v>
      </c>
      <c r="H865" s="30" t="s">
        <v>3000</v>
      </c>
      <c r="I865" t="s">
        <v>65</v>
      </c>
      <c r="J8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145</v>
      </c>
      <c r="L865" t="s">
        <v>146</v>
      </c>
      <c r="N865" s="29">
        <v>1</v>
      </c>
      <c r="P865" s="29">
        <v>1</v>
      </c>
      <c r="R865" s="29">
        <v>1</v>
      </c>
      <c r="S865" t="s">
        <v>70</v>
      </c>
      <c r="T865" t="s">
        <v>72</v>
      </c>
      <c r="U865" s="32">
        <v>30</v>
      </c>
      <c r="V865">
        <v>30</v>
      </c>
      <c r="W865" t="s">
        <v>79</v>
      </c>
      <c r="X865" t="s">
        <v>171</v>
      </c>
      <c r="Y865" t="s">
        <v>2997</v>
      </c>
      <c r="AA865" t="s">
        <v>75</v>
      </c>
      <c r="AC865" t="s">
        <v>83</v>
      </c>
      <c r="AE865" t="s">
        <v>75</v>
      </c>
      <c r="AF865" t="s">
        <v>84</v>
      </c>
      <c r="AG865" t="s">
        <v>84</v>
      </c>
      <c r="AH865" s="33">
        <f t="shared" si="40"/>
      </c>
      <c r="AI865" s="33">
        <f t="shared" si="41"/>
      </c>
    </row>
    <row r="866" ht="27.6" customHeight="1" spans="1:35" x14ac:dyDescent="0.25">
      <c r="A866" s="27" t="s">
        <v>3001</v>
      </c>
      <c r="B866">
        <f t="shared" si="39"/>
        <v>0</v>
      </c>
      <c r="C866" t="s">
        <v>64</v>
      </c>
      <c r="D866" s="27" t="s">
        <v>102</v>
      </c>
      <c r="E866" t="s">
        <v>3002</v>
      </c>
      <c r="F866" s="28">
        <v>0</v>
      </c>
      <c r="G866" s="29">
        <v>1</v>
      </c>
      <c r="H866" s="30" t="s">
        <v>3003</v>
      </c>
      <c r="I866" t="s">
        <v>65</v>
      </c>
      <c r="J8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145</v>
      </c>
      <c r="L866" t="s">
        <v>146</v>
      </c>
      <c r="N866" s="29">
        <v>1</v>
      </c>
      <c r="P866" s="29">
        <v>1</v>
      </c>
      <c r="R866" s="29">
        <v>1</v>
      </c>
      <c r="S866" t="s">
        <v>70</v>
      </c>
      <c r="T866" t="s">
        <v>72</v>
      </c>
      <c r="U866" s="32">
        <v>30</v>
      </c>
      <c r="V866">
        <v>30</v>
      </c>
      <c r="W866" t="s">
        <v>79</v>
      </c>
      <c r="X866" t="s">
        <v>770</v>
      </c>
      <c r="Y866" t="s">
        <v>3002</v>
      </c>
      <c r="AA866" t="s">
        <v>75</v>
      </c>
      <c r="AC866" t="s">
        <v>83</v>
      </c>
      <c r="AE866" t="s">
        <v>75</v>
      </c>
      <c r="AF866" t="s">
        <v>84</v>
      </c>
      <c r="AG866" t="s">
        <v>84</v>
      </c>
      <c r="AH866" s="33">
        <f t="shared" si="40"/>
      </c>
      <c r="AI866" s="33">
        <f t="shared" si="41"/>
      </c>
    </row>
    <row r="867" ht="27.6" customHeight="1" spans="1:35" x14ac:dyDescent="0.25">
      <c r="A867" s="27" t="s">
        <v>3004</v>
      </c>
      <c r="B867">
        <f t="shared" si="39"/>
        <v>0</v>
      </c>
      <c r="C867" t="s">
        <v>64</v>
      </c>
      <c r="D867" s="27" t="s">
        <v>102</v>
      </c>
      <c r="E867" t="s">
        <v>3005</v>
      </c>
      <c r="F867" s="28">
        <v>0</v>
      </c>
      <c r="G867" s="29">
        <v>1</v>
      </c>
      <c r="H867" s="30" t="s">
        <v>3006</v>
      </c>
      <c r="I867" t="s">
        <v>65</v>
      </c>
      <c r="J8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145</v>
      </c>
      <c r="L867" t="s">
        <v>146</v>
      </c>
      <c r="N867" s="29">
        <v>1</v>
      </c>
      <c r="P867" s="29">
        <v>1</v>
      </c>
      <c r="R867" s="29">
        <v>1</v>
      </c>
      <c r="S867" t="s">
        <v>70</v>
      </c>
      <c r="T867" t="s">
        <v>72</v>
      </c>
      <c r="U867" s="32">
        <v>30</v>
      </c>
      <c r="V867">
        <v>30</v>
      </c>
      <c r="W867" t="s">
        <v>79</v>
      </c>
      <c r="X867" t="s">
        <v>770</v>
      </c>
      <c r="Y867" t="s">
        <v>3005</v>
      </c>
      <c r="AA867" t="s">
        <v>75</v>
      </c>
      <c r="AC867" t="s">
        <v>83</v>
      </c>
      <c r="AE867" t="s">
        <v>75</v>
      </c>
      <c r="AF867" t="s">
        <v>84</v>
      </c>
      <c r="AG867" t="s">
        <v>84</v>
      </c>
      <c r="AH867" s="33">
        <f t="shared" si="40"/>
      </c>
      <c r="AI867" s="33">
        <f t="shared" si="41"/>
      </c>
    </row>
    <row r="868" ht="27.6" customHeight="1" spans="1:35" x14ac:dyDescent="0.25">
      <c r="A868" s="27" t="s">
        <v>3007</v>
      </c>
      <c r="B868">
        <f t="shared" si="39"/>
        <v>0</v>
      </c>
      <c r="C868" t="s">
        <v>64</v>
      </c>
      <c r="D868" s="27" t="s">
        <v>102</v>
      </c>
      <c r="E868" t="s">
        <v>3008</v>
      </c>
      <c r="F868" s="28">
        <v>0</v>
      </c>
      <c r="G868" s="29">
        <v>1</v>
      </c>
      <c r="H868" s="30" t="s">
        <v>3009</v>
      </c>
      <c r="I868" t="s">
        <v>65</v>
      </c>
      <c r="J8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145</v>
      </c>
      <c r="L868" t="s">
        <v>146</v>
      </c>
      <c r="N868" s="29">
        <v>1</v>
      </c>
      <c r="P868" s="29">
        <v>1</v>
      </c>
      <c r="R868" s="29">
        <v>1</v>
      </c>
      <c r="S868" t="s">
        <v>70</v>
      </c>
      <c r="T868" t="s">
        <v>72</v>
      </c>
      <c r="U868" s="32">
        <v>30</v>
      </c>
      <c r="V868">
        <v>30</v>
      </c>
      <c r="W868" t="s">
        <v>79</v>
      </c>
      <c r="X868" t="s">
        <v>770</v>
      </c>
      <c r="Y868" t="s">
        <v>3008</v>
      </c>
      <c r="AA868" t="s">
        <v>75</v>
      </c>
      <c r="AC868" t="s">
        <v>83</v>
      </c>
      <c r="AE868" t="s">
        <v>75</v>
      </c>
      <c r="AF868" t="s">
        <v>84</v>
      </c>
      <c r="AG868" t="s">
        <v>84</v>
      </c>
      <c r="AH868" s="33">
        <f t="shared" si="40"/>
      </c>
      <c r="AI868" s="33">
        <f t="shared" si="41"/>
      </c>
    </row>
    <row r="869" ht="27.6" customHeight="1" spans="1:35" x14ac:dyDescent="0.25">
      <c r="A869" s="27" t="s">
        <v>3010</v>
      </c>
      <c r="B869">
        <f t="shared" si="39"/>
        <v>0</v>
      </c>
      <c r="C869" t="s">
        <v>64</v>
      </c>
      <c r="D869" s="27" t="s">
        <v>102</v>
      </c>
      <c r="E869" t="s">
        <v>3011</v>
      </c>
      <c r="F869" s="28">
        <v>0</v>
      </c>
      <c r="G869" s="29">
        <v>1</v>
      </c>
      <c r="H869" s="30" t="s">
        <v>3012</v>
      </c>
      <c r="I869" t="s">
        <v>65</v>
      </c>
      <c r="J8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145</v>
      </c>
      <c r="L869" t="s">
        <v>146</v>
      </c>
      <c r="N869" s="29">
        <v>1</v>
      </c>
      <c r="P869" s="29">
        <v>1</v>
      </c>
      <c r="R869" s="29">
        <v>1</v>
      </c>
      <c r="S869" t="s">
        <v>70</v>
      </c>
      <c r="T869" t="s">
        <v>72</v>
      </c>
      <c r="U869" s="32">
        <v>30</v>
      </c>
      <c r="V869">
        <v>30</v>
      </c>
      <c r="W869" t="s">
        <v>79</v>
      </c>
      <c r="X869" t="s">
        <v>770</v>
      </c>
      <c r="Y869" t="s">
        <v>3011</v>
      </c>
      <c r="AA869" t="s">
        <v>75</v>
      </c>
      <c r="AC869" t="s">
        <v>83</v>
      </c>
      <c r="AE869" t="s">
        <v>75</v>
      </c>
      <c r="AF869" t="s">
        <v>84</v>
      </c>
      <c r="AG869" t="s">
        <v>84</v>
      </c>
      <c r="AH869" s="33">
        <f t="shared" si="40"/>
      </c>
      <c r="AI869" s="33">
        <f t="shared" si="41"/>
      </c>
    </row>
    <row r="870" ht="27.6" customHeight="1" spans="1:35" x14ac:dyDescent="0.25">
      <c r="A870" s="27" t="s">
        <v>2556</v>
      </c>
      <c r="B870">
        <f t="shared" si="39"/>
        <v>0</v>
      </c>
      <c r="C870" t="s">
        <v>64</v>
      </c>
      <c r="D870" s="27" t="s">
        <v>3013</v>
      </c>
      <c r="E870" t="s">
        <v>3014</v>
      </c>
      <c r="F870" s="28">
        <v>0</v>
      </c>
      <c r="G870" s="29">
        <v>1</v>
      </c>
      <c r="H870" s="30" t="s">
        <v>3015</v>
      </c>
      <c r="I870" t="s">
        <v>65</v>
      </c>
      <c r="J8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145</v>
      </c>
      <c r="L870" t="s">
        <v>146</v>
      </c>
      <c r="N870" s="29">
        <v>1</v>
      </c>
      <c r="P870" s="29">
        <v>1</v>
      </c>
      <c r="R870" s="29">
        <v>1</v>
      </c>
      <c r="S870" t="s">
        <v>70</v>
      </c>
      <c r="T870" t="s">
        <v>72</v>
      </c>
      <c r="U870" s="32">
        <v>30</v>
      </c>
      <c r="V870">
        <v>30</v>
      </c>
      <c r="W870" t="s">
        <v>79</v>
      </c>
      <c r="X870" t="s">
        <v>171</v>
      </c>
      <c r="Y870" t="s">
        <v>586</v>
      </c>
      <c r="AA870" t="s">
        <v>75</v>
      </c>
      <c r="AC870" t="s">
        <v>83</v>
      </c>
      <c r="AE870" t="s">
        <v>75</v>
      </c>
      <c r="AF870" t="s">
        <v>84</v>
      </c>
      <c r="AG870" t="s">
        <v>84</v>
      </c>
      <c r="AH870" s="33">
        <f t="shared" si="40"/>
      </c>
      <c r="AI870" s="33">
        <f t="shared" si="41"/>
      </c>
    </row>
    <row r="871" ht="27.6" customHeight="1" spans="1:35" x14ac:dyDescent="0.25">
      <c r="A871" s="27" t="s">
        <v>3016</v>
      </c>
      <c r="B871">
        <f t="shared" si="39"/>
        <v>0</v>
      </c>
      <c r="C871" t="s">
        <v>64</v>
      </c>
      <c r="D871" s="27" t="s">
        <v>102</v>
      </c>
      <c r="E871" t="s">
        <v>3017</v>
      </c>
      <c r="F871" s="28">
        <v>0</v>
      </c>
      <c r="G871" s="29">
        <v>1</v>
      </c>
      <c r="H871" s="30" t="s">
        <v>3018</v>
      </c>
      <c r="I871" t="s">
        <v>65</v>
      </c>
      <c r="J8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145</v>
      </c>
      <c r="L871" t="s">
        <v>146</v>
      </c>
      <c r="N871" s="29">
        <v>1</v>
      </c>
      <c r="P871" s="29">
        <v>1</v>
      </c>
      <c r="R871" s="29">
        <v>1</v>
      </c>
      <c r="S871" t="s">
        <v>70</v>
      </c>
      <c r="T871" t="s">
        <v>72</v>
      </c>
      <c r="U871" s="32">
        <v>30</v>
      </c>
      <c r="V871">
        <v>30</v>
      </c>
      <c r="W871" t="s">
        <v>79</v>
      </c>
      <c r="X871" t="s">
        <v>171</v>
      </c>
      <c r="Y871" t="s">
        <v>3017</v>
      </c>
      <c r="AA871" t="s">
        <v>75</v>
      </c>
      <c r="AC871" t="s">
        <v>83</v>
      </c>
      <c r="AE871" t="s">
        <v>75</v>
      </c>
      <c r="AF871" t="s">
        <v>84</v>
      </c>
      <c r="AG871" t="s">
        <v>84</v>
      </c>
      <c r="AH871" s="33">
        <f t="shared" si="40"/>
      </c>
      <c r="AI871" s="33">
        <f t="shared" si="41"/>
      </c>
    </row>
    <row r="872" ht="27.6" customHeight="1" spans="1:35" x14ac:dyDescent="0.25">
      <c r="A872" s="27" t="s">
        <v>3019</v>
      </c>
      <c r="B872">
        <f t="shared" si="39"/>
        <v>0</v>
      </c>
      <c r="C872" t="s">
        <v>64</v>
      </c>
      <c r="D872" s="27" t="s">
        <v>102</v>
      </c>
      <c r="E872" t="s">
        <v>3020</v>
      </c>
      <c r="F872" s="28">
        <v>0</v>
      </c>
      <c r="G872" s="29">
        <v>1</v>
      </c>
      <c r="H872" s="30" t="s">
        <v>3021</v>
      </c>
      <c r="I872" t="s">
        <v>65</v>
      </c>
      <c r="J8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145</v>
      </c>
      <c r="L872" t="s">
        <v>146</v>
      </c>
      <c r="N872" s="29">
        <v>1</v>
      </c>
      <c r="P872" s="29">
        <v>1</v>
      </c>
      <c r="R872" s="29">
        <v>1</v>
      </c>
      <c r="S872" t="s">
        <v>70</v>
      </c>
      <c r="T872" t="s">
        <v>72</v>
      </c>
      <c r="U872" s="32">
        <v>30</v>
      </c>
      <c r="V872">
        <v>30</v>
      </c>
      <c r="W872" t="s">
        <v>79</v>
      </c>
      <c r="X872" t="s">
        <v>171</v>
      </c>
      <c r="Y872" t="s">
        <v>3020</v>
      </c>
      <c r="AA872" t="s">
        <v>75</v>
      </c>
      <c r="AC872" t="s">
        <v>83</v>
      </c>
      <c r="AE872" t="s">
        <v>75</v>
      </c>
      <c r="AF872" t="s">
        <v>84</v>
      </c>
      <c r="AG872" t="s">
        <v>84</v>
      </c>
      <c r="AH872" s="33">
        <f t="shared" si="40"/>
      </c>
      <c r="AI872" s="33">
        <f t="shared" si="41"/>
      </c>
    </row>
    <row r="873" ht="27.6" customHeight="1" spans="1:35" x14ac:dyDescent="0.25">
      <c r="A873" s="27" t="s">
        <v>1306</v>
      </c>
      <c r="B873">
        <f t="shared" si="39"/>
        <v>0</v>
      </c>
      <c r="C873" t="s">
        <v>64</v>
      </c>
      <c r="D873" s="27" t="s">
        <v>102</v>
      </c>
      <c r="E873" t="s">
        <v>3022</v>
      </c>
      <c r="F873" s="28">
        <v>0</v>
      </c>
      <c r="G873" s="29">
        <v>1</v>
      </c>
      <c r="H873" s="30" t="s">
        <v>3023</v>
      </c>
      <c r="I873" t="s">
        <v>65</v>
      </c>
      <c r="J8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145</v>
      </c>
      <c r="L873" t="s">
        <v>146</v>
      </c>
      <c r="N873" s="29">
        <v>1</v>
      </c>
      <c r="P873" s="29">
        <v>1</v>
      </c>
      <c r="R873" s="29">
        <v>1</v>
      </c>
      <c r="S873" t="s">
        <v>70</v>
      </c>
      <c r="T873" t="s">
        <v>72</v>
      </c>
      <c r="U873" s="32">
        <v>30</v>
      </c>
      <c r="V873">
        <v>30</v>
      </c>
      <c r="W873" t="s">
        <v>79</v>
      </c>
      <c r="X873" t="s">
        <v>770</v>
      </c>
      <c r="Y873" t="s">
        <v>3024</v>
      </c>
      <c r="AA873" t="s">
        <v>75</v>
      </c>
      <c r="AC873" t="s">
        <v>83</v>
      </c>
      <c r="AE873" t="s">
        <v>75</v>
      </c>
      <c r="AF873" t="s">
        <v>84</v>
      </c>
      <c r="AG873" t="s">
        <v>84</v>
      </c>
      <c r="AH873" s="33">
        <f t="shared" si="40"/>
      </c>
      <c r="AI873" s="33">
        <f t="shared" si="41"/>
      </c>
    </row>
    <row r="874" ht="27.6" customHeight="1" spans="1:35" x14ac:dyDescent="0.25">
      <c r="A874" s="27" t="s">
        <v>1310</v>
      </c>
      <c r="B874">
        <f t="shared" si="39"/>
        <v>0</v>
      </c>
      <c r="C874" t="s">
        <v>64</v>
      </c>
      <c r="D874" s="27" t="s">
        <v>102</v>
      </c>
      <c r="E874" t="s">
        <v>3025</v>
      </c>
      <c r="F874" s="28">
        <v>0</v>
      </c>
      <c r="G874" s="29">
        <v>1</v>
      </c>
      <c r="H874" s="30" t="s">
        <v>3026</v>
      </c>
      <c r="I874" t="s">
        <v>65</v>
      </c>
      <c r="J8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145</v>
      </c>
      <c r="L874" t="s">
        <v>146</v>
      </c>
      <c r="N874" s="29">
        <v>1</v>
      </c>
      <c r="P874" s="29">
        <v>1</v>
      </c>
      <c r="R874" s="29">
        <v>1</v>
      </c>
      <c r="S874" t="s">
        <v>70</v>
      </c>
      <c r="T874" t="s">
        <v>72</v>
      </c>
      <c r="U874" s="32">
        <v>30</v>
      </c>
      <c r="V874">
        <v>30</v>
      </c>
      <c r="W874" t="s">
        <v>79</v>
      </c>
      <c r="X874" t="s">
        <v>171</v>
      </c>
      <c r="Y874" t="s">
        <v>3027</v>
      </c>
      <c r="AA874" t="s">
        <v>75</v>
      </c>
      <c r="AC874" t="s">
        <v>83</v>
      </c>
      <c r="AE874" t="s">
        <v>75</v>
      </c>
      <c r="AF874" t="s">
        <v>84</v>
      </c>
      <c r="AG874" t="s">
        <v>84</v>
      </c>
      <c r="AH874" s="33">
        <f t="shared" si="40"/>
      </c>
      <c r="AI874" s="33">
        <f t="shared" si="41"/>
      </c>
    </row>
    <row r="875" ht="27.6" customHeight="1" spans="1:35" x14ac:dyDescent="0.25">
      <c r="A875" s="27" t="s">
        <v>1460</v>
      </c>
      <c r="B875">
        <f t="shared" si="39"/>
        <v>0</v>
      </c>
      <c r="C875" t="s">
        <v>64</v>
      </c>
      <c r="D875" s="27" t="s">
        <v>102</v>
      </c>
      <c r="E875" t="s">
        <v>3028</v>
      </c>
      <c r="F875" s="28">
        <v>0</v>
      </c>
      <c r="G875" s="29">
        <v>1</v>
      </c>
      <c r="H875" s="30" t="s">
        <v>3029</v>
      </c>
      <c r="I875" t="s">
        <v>65</v>
      </c>
      <c r="J8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145</v>
      </c>
      <c r="L875" t="s">
        <v>146</v>
      </c>
      <c r="N875" s="29">
        <v>1</v>
      </c>
      <c r="P875" s="29">
        <v>1</v>
      </c>
      <c r="R875" s="29">
        <v>1</v>
      </c>
      <c r="S875" t="s">
        <v>70</v>
      </c>
      <c r="T875" t="s">
        <v>72</v>
      </c>
      <c r="U875" s="32">
        <v>30</v>
      </c>
      <c r="V875">
        <v>30</v>
      </c>
      <c r="W875" t="s">
        <v>79</v>
      </c>
      <c r="X875" t="s">
        <v>770</v>
      </c>
      <c r="Y875" t="s">
        <v>3030</v>
      </c>
      <c r="AA875" t="s">
        <v>75</v>
      </c>
      <c r="AC875" t="s">
        <v>83</v>
      </c>
      <c r="AE875" t="s">
        <v>75</v>
      </c>
      <c r="AF875" t="s">
        <v>84</v>
      </c>
      <c r="AG875" t="s">
        <v>84</v>
      </c>
      <c r="AH875" s="33">
        <f t="shared" si="40"/>
      </c>
      <c r="AI875" s="33">
        <f t="shared" si="41"/>
      </c>
    </row>
    <row r="876" ht="27.6" customHeight="1" spans="1:35" x14ac:dyDescent="0.25">
      <c r="A876" s="27" t="s">
        <v>3031</v>
      </c>
      <c r="B876">
        <f t="shared" si="39"/>
        <v>0</v>
      </c>
      <c r="C876" t="s">
        <v>64</v>
      </c>
      <c r="D876" s="27" t="s">
        <v>102</v>
      </c>
      <c r="E876" t="s">
        <v>3032</v>
      </c>
      <c r="F876" s="28">
        <v>0</v>
      </c>
      <c r="G876" s="29">
        <v>1</v>
      </c>
      <c r="H876" s="30" t="s">
        <v>3033</v>
      </c>
      <c r="I876" t="s">
        <v>65</v>
      </c>
      <c r="J8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145</v>
      </c>
      <c r="L876" t="s">
        <v>146</v>
      </c>
      <c r="N876" s="29">
        <v>1</v>
      </c>
      <c r="P876" s="29">
        <v>1</v>
      </c>
      <c r="R876" s="29">
        <v>1</v>
      </c>
      <c r="S876" t="s">
        <v>70</v>
      </c>
      <c r="T876" t="s">
        <v>72</v>
      </c>
      <c r="U876" s="32">
        <v>30</v>
      </c>
      <c r="V876">
        <v>30</v>
      </c>
      <c r="W876" t="s">
        <v>79</v>
      </c>
      <c r="X876" t="s">
        <v>770</v>
      </c>
      <c r="Y876" t="s">
        <v>3034</v>
      </c>
      <c r="AA876" t="s">
        <v>75</v>
      </c>
      <c r="AC876" t="s">
        <v>83</v>
      </c>
      <c r="AE876" t="s">
        <v>75</v>
      </c>
      <c r="AF876" t="s">
        <v>84</v>
      </c>
      <c r="AG876" t="s">
        <v>84</v>
      </c>
      <c r="AH876" s="33">
        <f t="shared" si="40"/>
      </c>
      <c r="AI876" s="33">
        <f t="shared" si="41"/>
      </c>
    </row>
    <row r="877" ht="27.6" customHeight="1" spans="1:35" x14ac:dyDescent="0.25">
      <c r="A877" s="27" t="s">
        <v>3035</v>
      </c>
      <c r="B877">
        <f t="shared" si="39"/>
        <v>0</v>
      </c>
      <c r="C877" t="s">
        <v>64</v>
      </c>
      <c r="D877" s="27" t="s">
        <v>102</v>
      </c>
      <c r="E877" t="s">
        <v>3036</v>
      </c>
      <c r="F877" s="28">
        <v>0</v>
      </c>
      <c r="G877" s="29">
        <v>1</v>
      </c>
      <c r="H877" s="30" t="s">
        <v>3037</v>
      </c>
      <c r="I877" t="s">
        <v>65</v>
      </c>
      <c r="J8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145</v>
      </c>
      <c r="L877" t="s">
        <v>146</v>
      </c>
      <c r="N877" s="29">
        <v>1</v>
      </c>
      <c r="P877" s="29">
        <v>1</v>
      </c>
      <c r="R877" s="29">
        <v>1</v>
      </c>
      <c r="S877" t="s">
        <v>70</v>
      </c>
      <c r="T877" t="s">
        <v>72</v>
      </c>
      <c r="U877" s="32">
        <v>30</v>
      </c>
      <c r="V877">
        <v>30</v>
      </c>
      <c r="W877" t="s">
        <v>79</v>
      </c>
      <c r="X877" t="s">
        <v>770</v>
      </c>
      <c r="Y877" t="s">
        <v>3038</v>
      </c>
      <c r="AA877" t="s">
        <v>75</v>
      </c>
      <c r="AC877" t="s">
        <v>83</v>
      </c>
      <c r="AE877" t="s">
        <v>75</v>
      </c>
      <c r="AF877" t="s">
        <v>84</v>
      </c>
      <c r="AG877" t="s">
        <v>84</v>
      </c>
      <c r="AH877" s="33">
        <f t="shared" si="40"/>
      </c>
      <c r="AI877" s="33">
        <f t="shared" si="41"/>
      </c>
    </row>
    <row r="878" ht="27.6" customHeight="1" spans="1:35" x14ac:dyDescent="0.25">
      <c r="A878" s="27" t="s">
        <v>3039</v>
      </c>
      <c r="B878">
        <f t="shared" si="39"/>
        <v>0</v>
      </c>
      <c r="C878" t="s">
        <v>64</v>
      </c>
      <c r="D878" s="27" t="s">
        <v>102</v>
      </c>
      <c r="E878" t="s">
        <v>3040</v>
      </c>
      <c r="F878" s="28">
        <v>0</v>
      </c>
      <c r="G878" s="29">
        <v>1</v>
      </c>
      <c r="H878" s="30" t="s">
        <v>3041</v>
      </c>
      <c r="I878" t="s">
        <v>65</v>
      </c>
      <c r="J8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145</v>
      </c>
      <c r="L878" t="s">
        <v>146</v>
      </c>
      <c r="N878" s="29">
        <v>1</v>
      </c>
      <c r="P878" s="29">
        <v>1</v>
      </c>
      <c r="R878" s="29">
        <v>1</v>
      </c>
      <c r="S878" t="s">
        <v>70</v>
      </c>
      <c r="T878" t="s">
        <v>72</v>
      </c>
      <c r="U878" s="32">
        <v>30</v>
      </c>
      <c r="V878">
        <v>30</v>
      </c>
      <c r="W878" t="s">
        <v>79</v>
      </c>
      <c r="X878" t="s">
        <v>171</v>
      </c>
      <c r="Y878" t="s">
        <v>3042</v>
      </c>
      <c r="AA878" t="s">
        <v>75</v>
      </c>
      <c r="AC878" t="s">
        <v>83</v>
      </c>
      <c r="AE878" t="s">
        <v>75</v>
      </c>
      <c r="AF878" t="s">
        <v>84</v>
      </c>
      <c r="AG878" t="s">
        <v>84</v>
      </c>
      <c r="AH878" s="33">
        <f t="shared" si="40"/>
      </c>
      <c r="AI878" s="33">
        <f t="shared" si="41"/>
      </c>
    </row>
    <row r="879" ht="27.6" customHeight="1" spans="1:35" x14ac:dyDescent="0.25">
      <c r="A879" s="27" t="s">
        <v>3043</v>
      </c>
      <c r="B879">
        <f t="shared" si="39"/>
        <v>0</v>
      </c>
      <c r="C879" t="s">
        <v>64</v>
      </c>
      <c r="D879" s="27" t="s">
        <v>102</v>
      </c>
      <c r="E879" t="s">
        <v>3044</v>
      </c>
      <c r="F879" s="28">
        <v>0</v>
      </c>
      <c r="G879" s="29">
        <v>1</v>
      </c>
      <c r="H879" s="30" t="s">
        <v>3045</v>
      </c>
      <c r="I879" t="s">
        <v>65</v>
      </c>
      <c r="J8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145</v>
      </c>
      <c r="L879" t="s">
        <v>146</v>
      </c>
      <c r="N879" s="29">
        <v>1</v>
      </c>
      <c r="P879" s="29">
        <v>1</v>
      </c>
      <c r="R879" s="29">
        <v>1</v>
      </c>
      <c r="S879" t="s">
        <v>70</v>
      </c>
      <c r="T879" t="s">
        <v>72</v>
      </c>
      <c r="U879" s="32">
        <v>30</v>
      </c>
      <c r="V879">
        <v>30</v>
      </c>
      <c r="W879" t="s">
        <v>79</v>
      </c>
      <c r="X879" t="s">
        <v>770</v>
      </c>
      <c r="Y879" t="s">
        <v>3034</v>
      </c>
      <c r="AA879" t="s">
        <v>75</v>
      </c>
      <c r="AC879" t="s">
        <v>83</v>
      </c>
      <c r="AE879" t="s">
        <v>75</v>
      </c>
      <c r="AF879" t="s">
        <v>84</v>
      </c>
      <c r="AG879" t="s">
        <v>84</v>
      </c>
      <c r="AH879" s="33">
        <f t="shared" si="40"/>
      </c>
      <c r="AI879" s="33">
        <f t="shared" si="41"/>
      </c>
    </row>
    <row r="880" ht="27.6" customHeight="1" spans="1:35" x14ac:dyDescent="0.25">
      <c r="A880" s="27" t="s">
        <v>3046</v>
      </c>
      <c r="B880">
        <f t="shared" si="39"/>
        <v>0</v>
      </c>
      <c r="C880" t="s">
        <v>64</v>
      </c>
      <c r="D880" s="27" t="s">
        <v>102</v>
      </c>
      <c r="E880" t="s">
        <v>3047</v>
      </c>
      <c r="F880" s="28">
        <v>0</v>
      </c>
      <c r="G880" s="29">
        <v>1</v>
      </c>
      <c r="H880" s="30" t="s">
        <v>3048</v>
      </c>
      <c r="I880" t="s">
        <v>65</v>
      </c>
      <c r="J8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145</v>
      </c>
      <c r="L880" t="s">
        <v>146</v>
      </c>
      <c r="N880" s="29">
        <v>1</v>
      </c>
      <c r="P880" s="29">
        <v>1</v>
      </c>
      <c r="R880" s="29">
        <v>1</v>
      </c>
      <c r="S880" t="s">
        <v>70</v>
      </c>
      <c r="T880" t="s">
        <v>72</v>
      </c>
      <c r="U880" s="32">
        <v>30</v>
      </c>
      <c r="V880">
        <v>30</v>
      </c>
      <c r="W880" t="s">
        <v>79</v>
      </c>
      <c r="X880" t="s">
        <v>770</v>
      </c>
      <c r="Y880" t="s">
        <v>3038</v>
      </c>
      <c r="AA880" t="s">
        <v>75</v>
      </c>
      <c r="AC880" t="s">
        <v>83</v>
      </c>
      <c r="AE880" t="s">
        <v>75</v>
      </c>
      <c r="AF880" t="s">
        <v>84</v>
      </c>
      <c r="AG880" t="s">
        <v>84</v>
      </c>
      <c r="AH880" s="33">
        <f t="shared" si="40"/>
      </c>
      <c r="AI880" s="33">
        <f t="shared" si="41"/>
      </c>
    </row>
    <row r="881" ht="27.6" customHeight="1" spans="1:35" x14ac:dyDescent="0.25">
      <c r="A881" s="27" t="s">
        <v>3049</v>
      </c>
      <c r="B881">
        <f t="shared" si="39"/>
        <v>0</v>
      </c>
      <c r="C881" t="s">
        <v>64</v>
      </c>
      <c r="D881" s="27" t="s">
        <v>102</v>
      </c>
      <c r="E881" t="s">
        <v>3050</v>
      </c>
      <c r="F881" s="28">
        <v>0</v>
      </c>
      <c r="G881" s="29">
        <v>1</v>
      </c>
      <c r="H881" s="30" t="s">
        <v>3051</v>
      </c>
      <c r="I881" t="s">
        <v>65</v>
      </c>
      <c r="J8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145</v>
      </c>
      <c r="L881" t="s">
        <v>146</v>
      </c>
      <c r="N881" s="29">
        <v>1</v>
      </c>
      <c r="P881" s="29">
        <v>1</v>
      </c>
      <c r="R881" s="29">
        <v>1</v>
      </c>
      <c r="S881" t="s">
        <v>70</v>
      </c>
      <c r="T881" t="s">
        <v>72</v>
      </c>
      <c r="U881" s="32">
        <v>30</v>
      </c>
      <c r="V881">
        <v>30</v>
      </c>
      <c r="W881" t="s">
        <v>79</v>
      </c>
      <c r="X881" t="s">
        <v>171</v>
      </c>
      <c r="Y881" t="s">
        <v>3052</v>
      </c>
      <c r="AA881" t="s">
        <v>75</v>
      </c>
      <c r="AC881" t="s">
        <v>83</v>
      </c>
      <c r="AE881" t="s">
        <v>75</v>
      </c>
      <c r="AF881" t="s">
        <v>84</v>
      </c>
      <c r="AG881" t="s">
        <v>84</v>
      </c>
      <c r="AH881" s="33">
        <f t="shared" si="40"/>
      </c>
      <c r="AI881" s="33">
        <f t="shared" si="41"/>
      </c>
    </row>
    <row r="882" ht="27.6" customHeight="1" spans="1:35" x14ac:dyDescent="0.25">
      <c r="A882" s="27" t="s">
        <v>3053</v>
      </c>
      <c r="B882">
        <f t="shared" si="39"/>
        <v>0</v>
      </c>
      <c r="C882" t="s">
        <v>64</v>
      </c>
      <c r="D882" s="27" t="s">
        <v>102</v>
      </c>
      <c r="E882" t="s">
        <v>3054</v>
      </c>
      <c r="F882" s="28">
        <v>0</v>
      </c>
      <c r="G882" s="29">
        <v>1</v>
      </c>
      <c r="H882" s="30" t="s">
        <v>3055</v>
      </c>
      <c r="I882" t="s">
        <v>65</v>
      </c>
      <c r="J8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145</v>
      </c>
      <c r="L882" t="s">
        <v>146</v>
      </c>
      <c r="N882" s="29">
        <v>1</v>
      </c>
      <c r="P882" s="29">
        <v>1</v>
      </c>
      <c r="R882" s="29">
        <v>1</v>
      </c>
      <c r="S882" t="s">
        <v>70</v>
      </c>
      <c r="T882" t="s">
        <v>72</v>
      </c>
      <c r="U882" s="32">
        <v>30</v>
      </c>
      <c r="V882">
        <v>30</v>
      </c>
      <c r="W882" t="s">
        <v>79</v>
      </c>
      <c r="X882" t="s">
        <v>171</v>
      </c>
      <c r="Y882" t="s">
        <v>3056</v>
      </c>
      <c r="AA882" t="s">
        <v>75</v>
      </c>
      <c r="AC882" t="s">
        <v>83</v>
      </c>
      <c r="AE882" t="s">
        <v>75</v>
      </c>
      <c r="AF882" t="s">
        <v>84</v>
      </c>
      <c r="AG882" t="s">
        <v>84</v>
      </c>
      <c r="AH882" s="33">
        <f t="shared" si="40"/>
      </c>
      <c r="AI882" s="33">
        <f t="shared" si="41"/>
      </c>
    </row>
    <row r="883" ht="27.6" customHeight="1" spans="1:35" x14ac:dyDescent="0.25">
      <c r="A883" s="27" t="s">
        <v>1320</v>
      </c>
      <c r="B883">
        <f t="shared" si="39"/>
        <v>0</v>
      </c>
      <c r="C883" t="s">
        <v>64</v>
      </c>
      <c r="D883" s="27" t="s">
        <v>102</v>
      </c>
      <c r="E883" t="s">
        <v>3057</v>
      </c>
      <c r="F883" s="28">
        <v>0</v>
      </c>
      <c r="G883" s="29">
        <v>1</v>
      </c>
      <c r="H883" s="30" t="s">
        <v>3058</v>
      </c>
      <c r="I883" t="s">
        <v>65</v>
      </c>
      <c r="J8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145</v>
      </c>
      <c r="L883" t="s">
        <v>146</v>
      </c>
      <c r="N883" s="29">
        <v>1</v>
      </c>
      <c r="P883" s="29">
        <v>1</v>
      </c>
      <c r="R883" s="29">
        <v>1</v>
      </c>
      <c r="S883" t="s">
        <v>70</v>
      </c>
      <c r="T883" t="s">
        <v>72</v>
      </c>
      <c r="U883" s="32">
        <v>30</v>
      </c>
      <c r="V883">
        <v>30</v>
      </c>
      <c r="W883" t="s">
        <v>79</v>
      </c>
      <c r="X883" t="s">
        <v>171</v>
      </c>
      <c r="Y883" t="s">
        <v>3057</v>
      </c>
      <c r="AA883" t="s">
        <v>75</v>
      </c>
      <c r="AC883" t="s">
        <v>83</v>
      </c>
      <c r="AE883" t="s">
        <v>75</v>
      </c>
      <c r="AF883" t="s">
        <v>84</v>
      </c>
      <c r="AG883" t="s">
        <v>84</v>
      </c>
      <c r="AH883" s="33">
        <f t="shared" si="40"/>
      </c>
      <c r="AI883" s="33">
        <f t="shared" si="41"/>
      </c>
    </row>
    <row r="884" ht="27.6" customHeight="1" spans="1:35" x14ac:dyDescent="0.25">
      <c r="A884" s="27" t="s">
        <v>1323</v>
      </c>
      <c r="B884">
        <f t="shared" si="39"/>
        <v>0</v>
      </c>
      <c r="C884" t="s">
        <v>64</v>
      </c>
      <c r="D884" s="27" t="s">
        <v>102</v>
      </c>
      <c r="E884" t="s">
        <v>3059</v>
      </c>
      <c r="F884" s="28">
        <v>0</v>
      </c>
      <c r="G884" s="29">
        <v>1</v>
      </c>
      <c r="H884" s="30" t="s">
        <v>3060</v>
      </c>
      <c r="I884" t="s">
        <v>65</v>
      </c>
      <c r="J8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145</v>
      </c>
      <c r="L884" t="s">
        <v>146</v>
      </c>
      <c r="N884" s="29">
        <v>1</v>
      </c>
      <c r="P884" s="29">
        <v>1</v>
      </c>
      <c r="R884" s="29">
        <v>1</v>
      </c>
      <c r="S884" t="s">
        <v>70</v>
      </c>
      <c r="T884" t="s">
        <v>72</v>
      </c>
      <c r="U884" s="32">
        <v>30</v>
      </c>
      <c r="V884">
        <v>30</v>
      </c>
      <c r="W884" t="s">
        <v>79</v>
      </c>
      <c r="X884" t="s">
        <v>171</v>
      </c>
      <c r="Y884" t="s">
        <v>3059</v>
      </c>
      <c r="AA884" t="s">
        <v>75</v>
      </c>
      <c r="AC884" t="s">
        <v>83</v>
      </c>
      <c r="AE884" t="s">
        <v>75</v>
      </c>
      <c r="AF884" t="s">
        <v>84</v>
      </c>
      <c r="AG884" t="s">
        <v>84</v>
      </c>
      <c r="AH884" s="33">
        <f t="shared" si="40"/>
      </c>
      <c r="AI884" s="33">
        <f t="shared" si="41"/>
      </c>
    </row>
    <row r="885" ht="27.6" customHeight="1" spans="1:35" x14ac:dyDescent="0.25">
      <c r="A885" s="27" t="s">
        <v>3061</v>
      </c>
      <c r="B885">
        <f t="shared" si="39"/>
        <v>0</v>
      </c>
      <c r="C885" t="s">
        <v>64</v>
      </c>
      <c r="D885" s="27" t="s">
        <v>102</v>
      </c>
      <c r="E885" t="s">
        <v>3062</v>
      </c>
      <c r="F885" s="28">
        <v>0</v>
      </c>
      <c r="G885" s="29">
        <v>1</v>
      </c>
      <c r="H885" s="30" t="s">
        <v>3063</v>
      </c>
      <c r="I885" t="s">
        <v>65</v>
      </c>
      <c r="J8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145</v>
      </c>
      <c r="L885" t="s">
        <v>146</v>
      </c>
      <c r="N885" s="29">
        <v>1</v>
      </c>
      <c r="P885" s="29">
        <v>1</v>
      </c>
      <c r="R885" s="29">
        <v>1</v>
      </c>
      <c r="S885" t="s">
        <v>70</v>
      </c>
      <c r="T885" t="s">
        <v>72</v>
      </c>
      <c r="U885" s="32">
        <v>30</v>
      </c>
      <c r="V885">
        <v>30</v>
      </c>
      <c r="W885" t="s">
        <v>79</v>
      </c>
      <c r="X885" t="s">
        <v>171</v>
      </c>
      <c r="Y885" t="s">
        <v>3062</v>
      </c>
      <c r="AA885" t="s">
        <v>75</v>
      </c>
      <c r="AC885" t="s">
        <v>83</v>
      </c>
      <c r="AE885" t="s">
        <v>75</v>
      </c>
      <c r="AF885" t="s">
        <v>84</v>
      </c>
      <c r="AG885" t="s">
        <v>84</v>
      </c>
      <c r="AH885" s="33">
        <f t="shared" si="40"/>
      </c>
      <c r="AI885" s="33">
        <f t="shared" si="41"/>
      </c>
    </row>
    <row r="886" ht="27.6" customHeight="1" spans="1:35" x14ac:dyDescent="0.25">
      <c r="A886" s="27" t="s">
        <v>3064</v>
      </c>
      <c r="B886">
        <f t="shared" si="39"/>
        <v>0</v>
      </c>
      <c r="C886" t="s">
        <v>64</v>
      </c>
      <c r="D886" s="27" t="s">
        <v>102</v>
      </c>
      <c r="E886" t="s">
        <v>3065</v>
      </c>
      <c r="F886" s="28">
        <v>0</v>
      </c>
      <c r="G886" s="29">
        <v>1</v>
      </c>
      <c r="H886" s="30" t="s">
        <v>3066</v>
      </c>
      <c r="I886" t="s">
        <v>65</v>
      </c>
      <c r="J8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145</v>
      </c>
      <c r="L886" t="s">
        <v>146</v>
      </c>
      <c r="N886" s="29">
        <v>1</v>
      </c>
      <c r="P886" s="29">
        <v>1</v>
      </c>
      <c r="R886" s="29">
        <v>1</v>
      </c>
      <c r="S886" t="s">
        <v>70</v>
      </c>
      <c r="T886" t="s">
        <v>72</v>
      </c>
      <c r="U886" s="32">
        <v>30</v>
      </c>
      <c r="V886">
        <v>30</v>
      </c>
      <c r="W886" t="s">
        <v>79</v>
      </c>
      <c r="X886" t="s">
        <v>171</v>
      </c>
      <c r="Y886" t="s">
        <v>3065</v>
      </c>
      <c r="AA886" t="s">
        <v>75</v>
      </c>
      <c r="AC886" t="s">
        <v>83</v>
      </c>
      <c r="AE886" t="s">
        <v>75</v>
      </c>
      <c r="AF886" t="s">
        <v>84</v>
      </c>
      <c r="AG886" t="s">
        <v>84</v>
      </c>
      <c r="AH886" s="33">
        <f t="shared" si="40"/>
      </c>
      <c r="AI886" s="33">
        <f t="shared" si="41"/>
      </c>
    </row>
    <row r="887" ht="27.6" customHeight="1" spans="1:35" x14ac:dyDescent="0.25">
      <c r="A887" s="27" t="s">
        <v>3067</v>
      </c>
      <c r="B887">
        <f t="shared" si="39"/>
        <v>0</v>
      </c>
      <c r="C887" t="s">
        <v>64</v>
      </c>
      <c r="D887" s="27" t="s">
        <v>102</v>
      </c>
      <c r="E887" t="s">
        <v>3068</v>
      </c>
      <c r="F887" s="28">
        <v>0</v>
      </c>
      <c r="G887" s="29">
        <v>1</v>
      </c>
      <c r="H887" s="30" t="s">
        <v>3069</v>
      </c>
      <c r="I887" t="s">
        <v>65</v>
      </c>
      <c r="J8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145</v>
      </c>
      <c r="L887" t="s">
        <v>146</v>
      </c>
      <c r="N887" s="29">
        <v>1</v>
      </c>
      <c r="P887" s="29">
        <v>1</v>
      </c>
      <c r="R887" s="29">
        <v>1</v>
      </c>
      <c r="S887" t="s">
        <v>70</v>
      </c>
      <c r="T887" t="s">
        <v>72</v>
      </c>
      <c r="U887" s="32">
        <v>30</v>
      </c>
      <c r="V887">
        <v>30</v>
      </c>
      <c r="W887" t="s">
        <v>79</v>
      </c>
      <c r="X887" t="s">
        <v>171</v>
      </c>
      <c r="Y887" t="s">
        <v>3068</v>
      </c>
      <c r="AA887" t="s">
        <v>75</v>
      </c>
      <c r="AC887" t="s">
        <v>83</v>
      </c>
      <c r="AE887" t="s">
        <v>75</v>
      </c>
      <c r="AF887" t="s">
        <v>84</v>
      </c>
      <c r="AG887" t="s">
        <v>84</v>
      </c>
      <c r="AH887" s="33">
        <f t="shared" si="40"/>
      </c>
      <c r="AI887" s="33">
        <f t="shared" si="41"/>
      </c>
    </row>
    <row r="888" ht="27.6" customHeight="1" spans="1:35" x14ac:dyDescent="0.25">
      <c r="A888" s="27" t="s">
        <v>3070</v>
      </c>
      <c r="B888">
        <f t="shared" si="39"/>
        <v>0</v>
      </c>
      <c r="C888" t="s">
        <v>64</v>
      </c>
      <c r="D888" s="27" t="s">
        <v>102</v>
      </c>
      <c r="E888" t="s">
        <v>3071</v>
      </c>
      <c r="F888" s="28">
        <v>0</v>
      </c>
      <c r="G888" s="29">
        <v>1</v>
      </c>
      <c r="H888" s="30" t="s">
        <v>3072</v>
      </c>
      <c r="I888" t="s">
        <v>65</v>
      </c>
      <c r="J8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145</v>
      </c>
      <c r="L888" t="s">
        <v>146</v>
      </c>
      <c r="N888" s="29">
        <v>1</v>
      </c>
      <c r="P888" s="29">
        <v>1</v>
      </c>
      <c r="R888" s="29">
        <v>1</v>
      </c>
      <c r="S888" t="s">
        <v>70</v>
      </c>
      <c r="T888" t="s">
        <v>72</v>
      </c>
      <c r="U888" s="32">
        <v>30</v>
      </c>
      <c r="V888">
        <v>30</v>
      </c>
      <c r="W888" t="s">
        <v>79</v>
      </c>
      <c r="X888" t="s">
        <v>171</v>
      </c>
      <c r="Y888" t="s">
        <v>3073</v>
      </c>
      <c r="AA888" t="s">
        <v>75</v>
      </c>
      <c r="AC888" t="s">
        <v>83</v>
      </c>
      <c r="AE888" t="s">
        <v>75</v>
      </c>
      <c r="AF888" t="s">
        <v>84</v>
      </c>
      <c r="AG888" t="s">
        <v>84</v>
      </c>
      <c r="AH888" s="33">
        <f t="shared" si="40"/>
      </c>
      <c r="AI888" s="33">
        <f t="shared" si="41"/>
      </c>
    </row>
    <row r="889" ht="27.6" customHeight="1" spans="1:35" x14ac:dyDescent="0.25">
      <c r="A889" s="27" t="s">
        <v>3074</v>
      </c>
      <c r="B889">
        <f t="shared" si="39"/>
        <v>0</v>
      </c>
      <c r="C889" t="s">
        <v>64</v>
      </c>
      <c r="D889" s="27" t="s">
        <v>102</v>
      </c>
      <c r="E889" t="s">
        <v>3075</v>
      </c>
      <c r="F889" s="28">
        <v>0</v>
      </c>
      <c r="G889" s="29">
        <v>1</v>
      </c>
      <c r="H889" s="30" t="s">
        <v>3076</v>
      </c>
      <c r="I889" t="s">
        <v>65</v>
      </c>
      <c r="J8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145</v>
      </c>
      <c r="L889" t="s">
        <v>146</v>
      </c>
      <c r="N889" s="29">
        <v>1</v>
      </c>
      <c r="P889" s="29">
        <v>1</v>
      </c>
      <c r="R889" s="29">
        <v>1</v>
      </c>
      <c r="S889" t="s">
        <v>70</v>
      </c>
      <c r="T889" t="s">
        <v>72</v>
      </c>
      <c r="U889" s="32">
        <v>30</v>
      </c>
      <c r="V889">
        <v>30</v>
      </c>
      <c r="W889" t="s">
        <v>79</v>
      </c>
      <c r="X889" t="s">
        <v>770</v>
      </c>
      <c r="Y889" t="s">
        <v>3077</v>
      </c>
      <c r="AA889" t="s">
        <v>75</v>
      </c>
      <c r="AC889" t="s">
        <v>83</v>
      </c>
      <c r="AE889" t="s">
        <v>75</v>
      </c>
      <c r="AF889" t="s">
        <v>84</v>
      </c>
      <c r="AG889" t="s">
        <v>84</v>
      </c>
      <c r="AH889" s="33">
        <f t="shared" si="40"/>
      </c>
      <c r="AI889" s="33">
        <f t="shared" si="41"/>
      </c>
    </row>
    <row r="890" ht="27.6" customHeight="1" spans="1:35" x14ac:dyDescent="0.25">
      <c r="A890" s="27" t="s">
        <v>3078</v>
      </c>
      <c r="B890">
        <f t="shared" si="39"/>
        <v>0</v>
      </c>
      <c r="C890" t="s">
        <v>64</v>
      </c>
      <c r="D890" s="27" t="s">
        <v>102</v>
      </c>
      <c r="E890" t="s">
        <v>3079</v>
      </c>
      <c r="F890" s="28">
        <v>0</v>
      </c>
      <c r="G890" s="29">
        <v>1</v>
      </c>
      <c r="H890" s="30" t="s">
        <v>3080</v>
      </c>
      <c r="I890" t="s">
        <v>65</v>
      </c>
      <c r="J8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145</v>
      </c>
      <c r="L890" t="s">
        <v>146</v>
      </c>
      <c r="N890" s="29">
        <v>1</v>
      </c>
      <c r="P890" s="29">
        <v>1</v>
      </c>
      <c r="R890" s="29">
        <v>1</v>
      </c>
      <c r="S890" t="s">
        <v>70</v>
      </c>
      <c r="T890" t="s">
        <v>72</v>
      </c>
      <c r="U890" s="32">
        <v>30</v>
      </c>
      <c r="V890">
        <v>30</v>
      </c>
      <c r="W890" t="s">
        <v>79</v>
      </c>
      <c r="X890" t="s">
        <v>770</v>
      </c>
      <c r="Y890" t="s">
        <v>3081</v>
      </c>
      <c r="AA890" t="s">
        <v>75</v>
      </c>
      <c r="AC890" t="s">
        <v>83</v>
      </c>
      <c r="AE890" t="s">
        <v>75</v>
      </c>
      <c r="AF890" t="s">
        <v>84</v>
      </c>
      <c r="AG890" t="s">
        <v>84</v>
      </c>
      <c r="AH890" s="33">
        <f t="shared" si="40"/>
      </c>
      <c r="AI890" s="33">
        <f t="shared" si="41"/>
      </c>
    </row>
    <row r="891" ht="27.6" customHeight="1" spans="1:35" x14ac:dyDescent="0.25">
      <c r="A891" s="27" t="s">
        <v>1320</v>
      </c>
      <c r="B891">
        <f t="shared" si="39"/>
        <v>0</v>
      </c>
      <c r="C891" t="s">
        <v>64</v>
      </c>
      <c r="D891" s="27" t="s">
        <v>102</v>
      </c>
      <c r="E891" t="s">
        <v>3082</v>
      </c>
      <c r="F891" s="28">
        <v>0</v>
      </c>
      <c r="G891" s="29">
        <v>1</v>
      </c>
      <c r="H891" s="30" t="s">
        <v>3083</v>
      </c>
      <c r="I891" t="s">
        <v>65</v>
      </c>
      <c r="J8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145</v>
      </c>
      <c r="L891" t="s">
        <v>146</v>
      </c>
      <c r="N891" s="29">
        <v>1</v>
      </c>
      <c r="P891" s="29">
        <v>1</v>
      </c>
      <c r="R891" s="29">
        <v>1</v>
      </c>
      <c r="S891" t="s">
        <v>70</v>
      </c>
      <c r="T891" t="s">
        <v>72</v>
      </c>
      <c r="U891" s="32">
        <v>30</v>
      </c>
      <c r="V891">
        <v>30</v>
      </c>
      <c r="W891" t="s">
        <v>79</v>
      </c>
      <c r="X891" t="s">
        <v>171</v>
      </c>
      <c r="Y891" t="s">
        <v>3082</v>
      </c>
      <c r="AA891" t="s">
        <v>75</v>
      </c>
      <c r="AC891" t="s">
        <v>83</v>
      </c>
      <c r="AE891" t="s">
        <v>75</v>
      </c>
      <c r="AF891" t="s">
        <v>84</v>
      </c>
      <c r="AG891" t="s">
        <v>84</v>
      </c>
      <c r="AH891" s="33">
        <f t="shared" si="40"/>
      </c>
      <c r="AI891" s="33">
        <f t="shared" si="41"/>
      </c>
    </row>
    <row r="892" ht="27.6" customHeight="1" spans="1:35" x14ac:dyDescent="0.25">
      <c r="A892" s="27" t="s">
        <v>1323</v>
      </c>
      <c r="B892">
        <f t="shared" si="39"/>
        <v>0</v>
      </c>
      <c r="C892" t="s">
        <v>64</v>
      </c>
      <c r="D892" s="27" t="s">
        <v>102</v>
      </c>
      <c r="E892" t="s">
        <v>3084</v>
      </c>
      <c r="F892" s="28">
        <v>0</v>
      </c>
      <c r="G892" s="29">
        <v>1</v>
      </c>
      <c r="H892" s="30" t="s">
        <v>3085</v>
      </c>
      <c r="I892" t="s">
        <v>65</v>
      </c>
      <c r="J8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145</v>
      </c>
      <c r="L892" t="s">
        <v>146</v>
      </c>
      <c r="N892" s="29">
        <v>1</v>
      </c>
      <c r="P892" s="29">
        <v>1</v>
      </c>
      <c r="R892" s="29">
        <v>1</v>
      </c>
      <c r="S892" t="s">
        <v>70</v>
      </c>
      <c r="T892" t="s">
        <v>72</v>
      </c>
      <c r="U892" s="32">
        <v>30</v>
      </c>
      <c r="V892">
        <v>30</v>
      </c>
      <c r="W892" t="s">
        <v>79</v>
      </c>
      <c r="X892" t="s">
        <v>171</v>
      </c>
      <c r="Y892" t="s">
        <v>3084</v>
      </c>
      <c r="AA892" t="s">
        <v>75</v>
      </c>
      <c r="AC892" t="s">
        <v>83</v>
      </c>
      <c r="AE892" t="s">
        <v>75</v>
      </c>
      <c r="AF892" t="s">
        <v>84</v>
      </c>
      <c r="AG892" t="s">
        <v>84</v>
      </c>
      <c r="AH892" s="33">
        <f t="shared" si="40"/>
      </c>
      <c r="AI892" s="33">
        <f t="shared" si="41"/>
      </c>
    </row>
    <row r="893" ht="27.6" customHeight="1" spans="1:35" x14ac:dyDescent="0.25">
      <c r="A893" s="27" t="s">
        <v>3086</v>
      </c>
      <c r="B893">
        <f t="shared" si="39"/>
        <v>0</v>
      </c>
      <c r="C893" t="s">
        <v>64</v>
      </c>
      <c r="D893" s="27" t="s">
        <v>102</v>
      </c>
      <c r="E893" t="s">
        <v>3087</v>
      </c>
      <c r="F893" s="28">
        <v>0</v>
      </c>
      <c r="G893" s="29">
        <v>1</v>
      </c>
      <c r="H893" s="30" t="s">
        <v>3088</v>
      </c>
      <c r="I893" t="s">
        <v>65</v>
      </c>
      <c r="J8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145</v>
      </c>
      <c r="L893" t="s">
        <v>146</v>
      </c>
      <c r="N893" s="29">
        <v>1</v>
      </c>
      <c r="P893" s="29">
        <v>1</v>
      </c>
      <c r="R893" s="29">
        <v>1</v>
      </c>
      <c r="S893" t="s">
        <v>70</v>
      </c>
      <c r="T893" t="s">
        <v>72</v>
      </c>
      <c r="U893" s="32">
        <v>30</v>
      </c>
      <c r="V893">
        <v>30</v>
      </c>
      <c r="W893" t="s">
        <v>79</v>
      </c>
      <c r="X893" t="s">
        <v>171</v>
      </c>
      <c r="Y893" t="s">
        <v>3087</v>
      </c>
      <c r="AA893" t="s">
        <v>75</v>
      </c>
      <c r="AC893" t="s">
        <v>83</v>
      </c>
      <c r="AE893" t="s">
        <v>75</v>
      </c>
      <c r="AF893" t="s">
        <v>84</v>
      </c>
      <c r="AG893" t="s">
        <v>84</v>
      </c>
      <c r="AH893" s="33">
        <f t="shared" si="40"/>
      </c>
      <c r="AI893" s="33">
        <f t="shared" si="41"/>
      </c>
    </row>
    <row r="894" ht="27.6" customHeight="1" spans="1:35" x14ac:dyDescent="0.25">
      <c r="A894" s="27" t="s">
        <v>464</v>
      </c>
      <c r="B894">
        <f t="shared" si="39"/>
        <v>0</v>
      </c>
      <c r="C894" t="s">
        <v>64</v>
      </c>
      <c r="D894" s="27" t="s">
        <v>102</v>
      </c>
      <c r="E894" t="s">
        <v>3089</v>
      </c>
      <c r="F894" s="28">
        <v>0</v>
      </c>
      <c r="G894" s="29">
        <v>1</v>
      </c>
      <c r="H894" s="30" t="s">
        <v>3090</v>
      </c>
      <c r="I894" t="s">
        <v>65</v>
      </c>
      <c r="J8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145</v>
      </c>
      <c r="L894" t="s">
        <v>146</v>
      </c>
      <c r="N894" s="29">
        <v>1</v>
      </c>
      <c r="P894" s="29">
        <v>1</v>
      </c>
      <c r="R894" s="29">
        <v>1</v>
      </c>
      <c r="S894" t="s">
        <v>70</v>
      </c>
      <c r="T894" t="s">
        <v>72</v>
      </c>
      <c r="U894" s="32">
        <v>30</v>
      </c>
      <c r="V894">
        <v>30</v>
      </c>
      <c r="W894" t="s">
        <v>79</v>
      </c>
      <c r="X894" t="s">
        <v>240</v>
      </c>
      <c r="Y894" t="s">
        <v>467</v>
      </c>
      <c r="AA894" t="s">
        <v>75</v>
      </c>
      <c r="AC894" t="s">
        <v>83</v>
      </c>
      <c r="AE894" t="s">
        <v>75</v>
      </c>
      <c r="AF894" t="s">
        <v>84</v>
      </c>
      <c r="AG894" t="s">
        <v>84</v>
      </c>
      <c r="AH894" s="33">
        <f t="shared" si="40"/>
      </c>
      <c r="AI894" s="33">
        <f t="shared" si="41"/>
      </c>
    </row>
    <row r="895" ht="27.6" customHeight="1" spans="1:35" x14ac:dyDescent="0.25">
      <c r="A895" s="27" t="s">
        <v>3091</v>
      </c>
      <c r="B895">
        <f t="shared" si="39"/>
        <v>0</v>
      </c>
      <c r="C895" t="s">
        <v>64</v>
      </c>
      <c r="D895" s="27" t="s">
        <v>102</v>
      </c>
      <c r="E895" t="s">
        <v>3092</v>
      </c>
      <c r="F895" s="28">
        <v>0</v>
      </c>
      <c r="G895" s="29">
        <v>1</v>
      </c>
      <c r="H895" s="30" t="s">
        <v>3093</v>
      </c>
      <c r="I895" t="s">
        <v>65</v>
      </c>
      <c r="J8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145</v>
      </c>
      <c r="L895" t="s">
        <v>146</v>
      </c>
      <c r="N895" s="29">
        <v>1</v>
      </c>
      <c r="P895" s="29">
        <v>1</v>
      </c>
      <c r="R895" s="29">
        <v>1</v>
      </c>
      <c r="S895" t="s">
        <v>70</v>
      </c>
      <c r="T895" t="s">
        <v>72</v>
      </c>
      <c r="U895" s="32">
        <v>30</v>
      </c>
      <c r="V895">
        <v>30</v>
      </c>
      <c r="W895" t="s">
        <v>79</v>
      </c>
      <c r="X895" t="s">
        <v>171</v>
      </c>
      <c r="Y895" t="s">
        <v>3094</v>
      </c>
      <c r="AA895" t="s">
        <v>75</v>
      </c>
      <c r="AC895" t="s">
        <v>83</v>
      </c>
      <c r="AE895" t="s">
        <v>75</v>
      </c>
      <c r="AF895" t="s">
        <v>84</v>
      </c>
      <c r="AG895" t="s">
        <v>84</v>
      </c>
      <c r="AH895" s="33">
        <f t="shared" si="40"/>
      </c>
      <c r="AI895" s="33">
        <f t="shared" si="41"/>
      </c>
    </row>
    <row r="896" ht="27.6" customHeight="1" spans="1:35" x14ac:dyDescent="0.25">
      <c r="A896" s="27" t="s">
        <v>3095</v>
      </c>
      <c r="B896">
        <f t="shared" si="39"/>
        <v>0</v>
      </c>
      <c r="C896" t="s">
        <v>64</v>
      </c>
      <c r="D896" s="27" t="s">
        <v>102</v>
      </c>
      <c r="E896" t="s">
        <v>3096</v>
      </c>
      <c r="F896" s="28">
        <v>0</v>
      </c>
      <c r="G896" s="29">
        <v>1</v>
      </c>
      <c r="H896" s="30" t="s">
        <v>3097</v>
      </c>
      <c r="I896" t="s">
        <v>65</v>
      </c>
      <c r="J8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145</v>
      </c>
      <c r="L896" t="s">
        <v>146</v>
      </c>
      <c r="N896" s="29">
        <v>1</v>
      </c>
      <c r="P896" s="29">
        <v>1</v>
      </c>
      <c r="R896" s="29">
        <v>1</v>
      </c>
      <c r="S896" t="s">
        <v>70</v>
      </c>
      <c r="T896" t="s">
        <v>72</v>
      </c>
      <c r="U896" s="32">
        <v>30</v>
      </c>
      <c r="V896">
        <v>30</v>
      </c>
      <c r="W896" t="s">
        <v>79</v>
      </c>
      <c r="X896" t="s">
        <v>171</v>
      </c>
      <c r="Y896" t="s">
        <v>3098</v>
      </c>
      <c r="AA896" t="s">
        <v>75</v>
      </c>
      <c r="AC896" t="s">
        <v>83</v>
      </c>
      <c r="AE896" t="s">
        <v>75</v>
      </c>
      <c r="AF896" t="s">
        <v>84</v>
      </c>
      <c r="AG896" t="s">
        <v>84</v>
      </c>
      <c r="AH896" s="33">
        <f t="shared" si="40"/>
      </c>
      <c r="AI896" s="33">
        <f t="shared" si="41"/>
      </c>
    </row>
    <row r="897" ht="27.6" customHeight="1" spans="1:35" x14ac:dyDescent="0.25">
      <c r="A897" s="27" t="s">
        <v>3099</v>
      </c>
      <c r="B897">
        <f t="shared" si="39"/>
        <v>0</v>
      </c>
      <c r="C897" t="s">
        <v>64</v>
      </c>
      <c r="D897" s="27" t="s">
        <v>102</v>
      </c>
      <c r="E897" t="s">
        <v>3100</v>
      </c>
      <c r="F897" s="28">
        <v>0</v>
      </c>
      <c r="G897" s="29">
        <v>1</v>
      </c>
      <c r="H897" s="30" t="s">
        <v>3101</v>
      </c>
      <c r="I897" t="s">
        <v>65</v>
      </c>
      <c r="J8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145</v>
      </c>
      <c r="L897" t="s">
        <v>146</v>
      </c>
      <c r="N897" s="29">
        <v>1</v>
      </c>
      <c r="P897" s="29">
        <v>1</v>
      </c>
      <c r="R897" s="29">
        <v>1</v>
      </c>
      <c r="S897" t="s">
        <v>70</v>
      </c>
      <c r="T897" t="s">
        <v>72</v>
      </c>
      <c r="U897" s="32">
        <v>30</v>
      </c>
      <c r="V897">
        <v>30</v>
      </c>
      <c r="W897" t="s">
        <v>79</v>
      </c>
      <c r="X897" t="s">
        <v>171</v>
      </c>
      <c r="Y897" t="s">
        <v>3100</v>
      </c>
      <c r="AA897" t="s">
        <v>75</v>
      </c>
      <c r="AC897" t="s">
        <v>83</v>
      </c>
      <c r="AE897" t="s">
        <v>75</v>
      </c>
      <c r="AF897" t="s">
        <v>84</v>
      </c>
      <c r="AG897" t="s">
        <v>84</v>
      </c>
      <c r="AH897" s="33">
        <f t="shared" si="40"/>
      </c>
      <c r="AI897" s="33">
        <f t="shared" si="41"/>
      </c>
    </row>
    <row r="898" ht="27.6" customHeight="1" spans="1:35" x14ac:dyDescent="0.25">
      <c r="A898" s="27" t="s">
        <v>3102</v>
      </c>
      <c r="B898">
        <f t="shared" si="39"/>
        <v>0</v>
      </c>
      <c r="C898" t="s">
        <v>64</v>
      </c>
      <c r="D898" s="27" t="s">
        <v>102</v>
      </c>
      <c r="E898" t="s">
        <v>3103</v>
      </c>
      <c r="F898" s="28">
        <v>0</v>
      </c>
      <c r="G898" s="29">
        <v>1</v>
      </c>
      <c r="H898" s="30" t="s">
        <v>3104</v>
      </c>
      <c r="I898" t="s">
        <v>65</v>
      </c>
      <c r="J8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145</v>
      </c>
      <c r="L898" t="s">
        <v>146</v>
      </c>
      <c r="N898" s="29">
        <v>1</v>
      </c>
      <c r="P898" s="29">
        <v>1</v>
      </c>
      <c r="R898" s="29">
        <v>1</v>
      </c>
      <c r="S898" t="s">
        <v>70</v>
      </c>
      <c r="T898" t="s">
        <v>72</v>
      </c>
      <c r="U898" s="32">
        <v>30</v>
      </c>
      <c r="V898">
        <v>30</v>
      </c>
      <c r="W898" t="s">
        <v>79</v>
      </c>
      <c r="X898" t="s">
        <v>171</v>
      </c>
      <c r="Y898" t="s">
        <v>3103</v>
      </c>
      <c r="AA898" t="s">
        <v>75</v>
      </c>
      <c r="AC898" t="s">
        <v>83</v>
      </c>
      <c r="AE898" t="s">
        <v>75</v>
      </c>
      <c r="AF898" t="s">
        <v>84</v>
      </c>
      <c r="AG898" t="s">
        <v>84</v>
      </c>
      <c r="AH898" s="33">
        <f t="shared" si="40"/>
      </c>
      <c r="AI898" s="33">
        <f t="shared" si="41"/>
      </c>
    </row>
    <row r="899" ht="27.6" customHeight="1" spans="1:35" x14ac:dyDescent="0.25">
      <c r="A899" s="27" t="s">
        <v>3105</v>
      </c>
      <c r="B899">
        <f t="shared" si="39"/>
        <v>0</v>
      </c>
      <c r="C899" t="s">
        <v>64</v>
      </c>
      <c r="D899" s="27" t="s">
        <v>102</v>
      </c>
      <c r="E899" t="s">
        <v>3106</v>
      </c>
      <c r="F899" s="28">
        <v>0</v>
      </c>
      <c r="G899" s="29">
        <v>1</v>
      </c>
      <c r="H899" s="30" t="s">
        <v>3107</v>
      </c>
      <c r="I899" t="s">
        <v>65</v>
      </c>
      <c r="J8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145</v>
      </c>
      <c r="L899" t="s">
        <v>146</v>
      </c>
      <c r="N899" s="29">
        <v>1</v>
      </c>
      <c r="P899" s="29">
        <v>1</v>
      </c>
      <c r="R899" s="29">
        <v>1</v>
      </c>
      <c r="S899" t="s">
        <v>70</v>
      </c>
      <c r="T899" t="s">
        <v>72</v>
      </c>
      <c r="U899" s="32">
        <v>30</v>
      </c>
      <c r="V899">
        <v>30</v>
      </c>
      <c r="W899" t="s">
        <v>79</v>
      </c>
      <c r="X899" t="s">
        <v>171</v>
      </c>
      <c r="Y899" t="s">
        <v>3106</v>
      </c>
      <c r="AA899" t="s">
        <v>75</v>
      </c>
      <c r="AC899" t="s">
        <v>83</v>
      </c>
      <c r="AE899" t="s">
        <v>75</v>
      </c>
      <c r="AF899" t="s">
        <v>84</v>
      </c>
      <c r="AG899" t="s">
        <v>84</v>
      </c>
      <c r="AH899" s="33">
        <f t="shared" si="40"/>
      </c>
      <c r="AI899" s="33">
        <f t="shared" si="41"/>
      </c>
    </row>
    <row r="900" ht="27.6" customHeight="1" spans="1:35" x14ac:dyDescent="0.25">
      <c r="A900" s="27" t="s">
        <v>3108</v>
      </c>
      <c r="B900">
        <f t="shared" si="39"/>
        <v>0</v>
      </c>
      <c r="C900" t="s">
        <v>64</v>
      </c>
      <c r="D900" s="27" t="s">
        <v>102</v>
      </c>
      <c r="E900" t="s">
        <v>3109</v>
      </c>
      <c r="F900" s="28">
        <v>0</v>
      </c>
      <c r="G900" s="29">
        <v>1</v>
      </c>
      <c r="H900" s="30" t="s">
        <v>3110</v>
      </c>
      <c r="I900" t="s">
        <v>65</v>
      </c>
      <c r="J9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145</v>
      </c>
      <c r="L900" t="s">
        <v>146</v>
      </c>
      <c r="N900" s="29">
        <v>1</v>
      </c>
      <c r="P900" s="29">
        <v>1</v>
      </c>
      <c r="R900" s="29">
        <v>1</v>
      </c>
      <c r="S900" t="s">
        <v>70</v>
      </c>
      <c r="T900" t="s">
        <v>72</v>
      </c>
      <c r="U900" s="32">
        <v>30</v>
      </c>
      <c r="V900">
        <v>30</v>
      </c>
      <c r="W900" t="s">
        <v>79</v>
      </c>
      <c r="X900" t="s">
        <v>171</v>
      </c>
      <c r="Y900" t="s">
        <v>3109</v>
      </c>
      <c r="AA900" t="s">
        <v>75</v>
      </c>
      <c r="AC900" t="s">
        <v>83</v>
      </c>
      <c r="AE900" t="s">
        <v>75</v>
      </c>
      <c r="AF900" t="s">
        <v>84</v>
      </c>
      <c r="AG900" t="s">
        <v>84</v>
      </c>
      <c r="AH900" s="33">
        <f t="shared" si="40"/>
      </c>
      <c r="AI900" s="33">
        <f t="shared" si="41"/>
      </c>
    </row>
    <row r="901" ht="27.6" customHeight="1" spans="1:35" x14ac:dyDescent="0.25">
      <c r="A901" s="27" t="s">
        <v>3111</v>
      </c>
      <c r="B901">
        <f t="shared" si="39"/>
        <v>0</v>
      </c>
      <c r="C901" t="s">
        <v>64</v>
      </c>
      <c r="D901" s="27" t="s">
        <v>102</v>
      </c>
      <c r="E901" t="s">
        <v>3112</v>
      </c>
      <c r="F901" s="28">
        <v>0</v>
      </c>
      <c r="G901" s="29">
        <v>1</v>
      </c>
      <c r="H901" s="30" t="s">
        <v>3113</v>
      </c>
      <c r="I901" t="s">
        <v>65</v>
      </c>
      <c r="J9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145</v>
      </c>
      <c r="L901" t="s">
        <v>146</v>
      </c>
      <c r="N901" s="29">
        <v>1</v>
      </c>
      <c r="P901" s="29">
        <v>1</v>
      </c>
      <c r="R901" s="29">
        <v>1</v>
      </c>
      <c r="S901" t="s">
        <v>70</v>
      </c>
      <c r="T901" t="s">
        <v>72</v>
      </c>
      <c r="U901" s="32">
        <v>30</v>
      </c>
      <c r="V901">
        <v>30</v>
      </c>
      <c r="W901" t="s">
        <v>79</v>
      </c>
      <c r="X901" t="s">
        <v>171</v>
      </c>
      <c r="Y901" t="s">
        <v>3112</v>
      </c>
      <c r="AA901" t="s">
        <v>75</v>
      </c>
      <c r="AC901" t="s">
        <v>83</v>
      </c>
      <c r="AE901" t="s">
        <v>75</v>
      </c>
      <c r="AF901" t="s">
        <v>84</v>
      </c>
      <c r="AG901" t="s">
        <v>84</v>
      </c>
      <c r="AH901" s="33">
        <f t="shared" si="40"/>
      </c>
      <c r="AI901" s="33">
        <f t="shared" si="41"/>
      </c>
    </row>
    <row r="902" ht="27.6" customHeight="1" spans="1:35" x14ac:dyDescent="0.25">
      <c r="A902" s="27" t="s">
        <v>3111</v>
      </c>
      <c r="B902">
        <f t="shared" si="39"/>
        <v>0</v>
      </c>
      <c r="C902" t="s">
        <v>64</v>
      </c>
      <c r="D902" s="27" t="s">
        <v>102</v>
      </c>
      <c r="E902" t="s">
        <v>3114</v>
      </c>
      <c r="F902" s="28">
        <v>0</v>
      </c>
      <c r="G902" s="29">
        <v>1</v>
      </c>
      <c r="H902" s="30" t="s">
        <v>3115</v>
      </c>
      <c r="I902" t="s">
        <v>65</v>
      </c>
      <c r="J90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145</v>
      </c>
      <c r="L902" t="s">
        <v>146</v>
      </c>
      <c r="N902" s="29">
        <v>1</v>
      </c>
      <c r="P902" s="29">
        <v>1</v>
      </c>
      <c r="R902" s="29">
        <v>1</v>
      </c>
      <c r="S902" t="s">
        <v>70</v>
      </c>
      <c r="T902" t="s">
        <v>72</v>
      </c>
      <c r="U902" s="32">
        <v>30</v>
      </c>
      <c r="V902">
        <v>30</v>
      </c>
      <c r="W902" t="s">
        <v>79</v>
      </c>
      <c r="X902" t="s">
        <v>171</v>
      </c>
      <c r="Y902" t="s">
        <v>3114</v>
      </c>
      <c r="AA902" t="s">
        <v>75</v>
      </c>
      <c r="AC902" t="s">
        <v>83</v>
      </c>
      <c r="AE902" t="s">
        <v>75</v>
      </c>
      <c r="AF902" t="s">
        <v>84</v>
      </c>
      <c r="AG902" t="s">
        <v>84</v>
      </c>
      <c r="AH902" s="33">
        <f t="shared" si="40"/>
      </c>
      <c r="AI902" s="33">
        <f t="shared" si="41"/>
      </c>
    </row>
    <row r="903" ht="27.6" customHeight="1" spans="1:35" x14ac:dyDescent="0.25">
      <c r="A903" s="27" t="s">
        <v>3116</v>
      </c>
      <c r="B903">
        <f t="shared" si="39"/>
        <v>0</v>
      </c>
      <c r="C903" t="s">
        <v>64</v>
      </c>
      <c r="D903" s="27" t="s">
        <v>3117</v>
      </c>
      <c r="E903" t="s">
        <v>3118</v>
      </c>
      <c r="F903" s="28">
        <v>0</v>
      </c>
      <c r="G903" s="29">
        <v>1</v>
      </c>
      <c r="H903" s="30" t="s">
        <v>3119</v>
      </c>
      <c r="I903" t="s">
        <v>65</v>
      </c>
      <c r="J90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145</v>
      </c>
      <c r="L903" t="s">
        <v>146</v>
      </c>
      <c r="N903" s="29">
        <v>1</v>
      </c>
      <c r="P903" s="29">
        <v>1</v>
      </c>
      <c r="R903" s="29">
        <v>1</v>
      </c>
      <c r="S903" t="s">
        <v>70</v>
      </c>
      <c r="T903" t="s">
        <v>72</v>
      </c>
      <c r="U903" s="32">
        <v>30</v>
      </c>
      <c r="V903">
        <v>30</v>
      </c>
      <c r="W903" t="s">
        <v>79</v>
      </c>
      <c r="X903" t="s">
        <v>171</v>
      </c>
      <c r="Y903" t="s">
        <v>3118</v>
      </c>
      <c r="AA903" t="s">
        <v>75</v>
      </c>
      <c r="AC903" t="s">
        <v>83</v>
      </c>
      <c r="AE903" t="s">
        <v>75</v>
      </c>
      <c r="AF903" t="s">
        <v>84</v>
      </c>
      <c r="AG903" t="s">
        <v>84</v>
      </c>
      <c r="AH903" s="33">
        <f t="shared" si="40"/>
      </c>
      <c r="AI903" s="33">
        <f t="shared" si="41"/>
      </c>
    </row>
    <row r="904" ht="27.6" customHeight="1" spans="1:35" x14ac:dyDescent="0.25">
      <c r="A904" s="27" t="s">
        <v>3120</v>
      </c>
      <c r="B904">
        <f t="shared" ref="B904:B967" si="42">LEN(INDIRECT(ADDRESS(ROW() + (0),COLUMN() + (-1))))</f>
        <v>0</v>
      </c>
      <c r="C904" t="s">
        <v>64</v>
      </c>
      <c r="D904" s="27" t="s">
        <v>102</v>
      </c>
      <c r="E904" t="s">
        <v>3121</v>
      </c>
      <c r="F904" s="28">
        <v>0</v>
      </c>
      <c r="G904" s="29">
        <v>1</v>
      </c>
      <c r="H904" s="30" t="s">
        <v>3122</v>
      </c>
      <c r="I904" t="s">
        <v>65</v>
      </c>
      <c r="J90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145</v>
      </c>
      <c r="L904" t="s">
        <v>146</v>
      </c>
      <c r="N904" s="29">
        <v>1</v>
      </c>
      <c r="P904" s="29">
        <v>1</v>
      </c>
      <c r="R904" s="29">
        <v>1</v>
      </c>
      <c r="S904" t="s">
        <v>70</v>
      </c>
      <c r="T904" t="s">
        <v>72</v>
      </c>
      <c r="U904" s="32">
        <v>30</v>
      </c>
      <c r="V904">
        <v>30</v>
      </c>
      <c r="W904" t="s">
        <v>79</v>
      </c>
      <c r="X904" t="s">
        <v>770</v>
      </c>
      <c r="Y904" t="s">
        <v>3123</v>
      </c>
      <c r="AA904" t="s">
        <v>75</v>
      </c>
      <c r="AC904" t="s">
        <v>83</v>
      </c>
      <c r="AE904" t="s">
        <v>75</v>
      </c>
      <c r="AF904" t="s">
        <v>84</v>
      </c>
      <c r="AG904" t="s">
        <v>84</v>
      </c>
      <c r="AH904" s="33">
        <f t="shared" ref="AH904:AH967" si="43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04" s="33">
        <f t="shared" ref="AI904:AI967" si="44">IF(TRIM(INDIRECT("A"&amp;ROW())) &lt;&gt; "",FALSE,"")</f>
      </c>
    </row>
    <row r="905" ht="27.6" customHeight="1" spans="1:35" x14ac:dyDescent="0.25">
      <c r="A905" s="27" t="s">
        <v>3124</v>
      </c>
      <c r="B905">
        <f t="shared" si="42"/>
        <v>0</v>
      </c>
      <c r="C905" t="s">
        <v>64</v>
      </c>
      <c r="D905" s="27" t="s">
        <v>102</v>
      </c>
      <c r="E905" t="s">
        <v>3125</v>
      </c>
      <c r="F905" s="28">
        <v>0</v>
      </c>
      <c r="G905" s="29">
        <v>1</v>
      </c>
      <c r="H905" s="30" t="s">
        <v>3126</v>
      </c>
      <c r="I905" t="s">
        <v>65</v>
      </c>
      <c r="J90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145</v>
      </c>
      <c r="L905" t="s">
        <v>146</v>
      </c>
      <c r="N905" s="29">
        <v>1</v>
      </c>
      <c r="P905" s="29">
        <v>1</v>
      </c>
      <c r="R905" s="29">
        <v>1</v>
      </c>
      <c r="S905" t="s">
        <v>70</v>
      </c>
      <c r="T905" t="s">
        <v>72</v>
      </c>
      <c r="U905" s="32">
        <v>30</v>
      </c>
      <c r="V905">
        <v>30</v>
      </c>
      <c r="W905" t="s">
        <v>79</v>
      </c>
      <c r="X905" t="s">
        <v>770</v>
      </c>
      <c r="Y905" t="s">
        <v>3127</v>
      </c>
      <c r="AA905" t="s">
        <v>75</v>
      </c>
      <c r="AC905" t="s">
        <v>83</v>
      </c>
      <c r="AE905" t="s">
        <v>75</v>
      </c>
      <c r="AF905" t="s">
        <v>84</v>
      </c>
      <c r="AG905" t="s">
        <v>84</v>
      </c>
      <c r="AH905" s="33">
        <f t="shared" si="43"/>
      </c>
      <c r="AI905" s="33">
        <f t="shared" si="44"/>
      </c>
    </row>
    <row r="906" ht="27.6" customHeight="1" spans="1:35" x14ac:dyDescent="0.25">
      <c r="A906" s="27" t="s">
        <v>3128</v>
      </c>
      <c r="B906">
        <f t="shared" si="42"/>
        <v>0</v>
      </c>
      <c r="C906" t="s">
        <v>64</v>
      </c>
      <c r="D906" s="27" t="s">
        <v>102</v>
      </c>
      <c r="E906" t="s">
        <v>3129</v>
      </c>
      <c r="F906" s="28">
        <v>0</v>
      </c>
      <c r="G906" s="29">
        <v>1</v>
      </c>
      <c r="H906" s="30" t="s">
        <v>3130</v>
      </c>
      <c r="I906" t="s">
        <v>65</v>
      </c>
      <c r="J90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145</v>
      </c>
      <c r="L906" t="s">
        <v>146</v>
      </c>
      <c r="N906" s="29">
        <v>1</v>
      </c>
      <c r="P906" s="29">
        <v>1</v>
      </c>
      <c r="R906" s="29">
        <v>1</v>
      </c>
      <c r="S906" t="s">
        <v>70</v>
      </c>
      <c r="T906" t="s">
        <v>72</v>
      </c>
      <c r="U906" s="32">
        <v>30</v>
      </c>
      <c r="V906">
        <v>30</v>
      </c>
      <c r="W906" t="s">
        <v>79</v>
      </c>
      <c r="X906" t="s">
        <v>240</v>
      </c>
      <c r="Y906" t="s">
        <v>3129</v>
      </c>
      <c r="AA906" t="s">
        <v>75</v>
      </c>
      <c r="AC906" t="s">
        <v>83</v>
      </c>
      <c r="AE906" t="s">
        <v>75</v>
      </c>
      <c r="AF906" t="s">
        <v>84</v>
      </c>
      <c r="AG906" t="s">
        <v>84</v>
      </c>
      <c r="AH906" s="33">
        <f t="shared" si="43"/>
      </c>
      <c r="AI906" s="33">
        <f t="shared" si="44"/>
      </c>
    </row>
    <row r="907" ht="27.6" customHeight="1" spans="1:35" x14ac:dyDescent="0.25">
      <c r="A907" s="27" t="s">
        <v>3131</v>
      </c>
      <c r="B907">
        <f t="shared" si="42"/>
        <v>0</v>
      </c>
      <c r="C907" t="s">
        <v>64</v>
      </c>
      <c r="D907" s="27" t="s">
        <v>102</v>
      </c>
      <c r="E907" t="s">
        <v>3132</v>
      </c>
      <c r="F907" s="28">
        <v>0</v>
      </c>
      <c r="G907" s="29">
        <v>1</v>
      </c>
      <c r="H907" s="30" t="s">
        <v>3133</v>
      </c>
      <c r="I907" t="s">
        <v>65</v>
      </c>
      <c r="J90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145</v>
      </c>
      <c r="L907" t="s">
        <v>146</v>
      </c>
      <c r="N907" s="29">
        <v>1</v>
      </c>
      <c r="P907" s="29">
        <v>1</v>
      </c>
      <c r="R907" s="29">
        <v>1</v>
      </c>
      <c r="S907" t="s">
        <v>70</v>
      </c>
      <c r="T907" t="s">
        <v>72</v>
      </c>
      <c r="U907" s="32">
        <v>30</v>
      </c>
      <c r="V907">
        <v>30</v>
      </c>
      <c r="W907" t="s">
        <v>79</v>
      </c>
      <c r="X907" t="s">
        <v>240</v>
      </c>
      <c r="Y907" t="s">
        <v>3132</v>
      </c>
      <c r="AA907" t="s">
        <v>75</v>
      </c>
      <c r="AC907" t="s">
        <v>83</v>
      </c>
      <c r="AE907" t="s">
        <v>75</v>
      </c>
      <c r="AF907" t="s">
        <v>84</v>
      </c>
      <c r="AG907" t="s">
        <v>84</v>
      </c>
      <c r="AH907" s="33">
        <f t="shared" si="43"/>
      </c>
      <c r="AI907" s="33">
        <f t="shared" si="44"/>
      </c>
    </row>
    <row r="908" ht="27.6" customHeight="1" spans="1:35" x14ac:dyDescent="0.25">
      <c r="A908" s="27" t="s">
        <v>3134</v>
      </c>
      <c r="B908">
        <f t="shared" si="42"/>
        <v>0</v>
      </c>
      <c r="C908" t="s">
        <v>64</v>
      </c>
      <c r="D908" s="27" t="s">
        <v>3135</v>
      </c>
      <c r="E908" t="s">
        <v>3136</v>
      </c>
      <c r="F908" s="28">
        <v>0</v>
      </c>
      <c r="G908" s="29">
        <v>1</v>
      </c>
      <c r="H908" s="30" t="s">
        <v>3137</v>
      </c>
      <c r="I908" t="s">
        <v>65</v>
      </c>
      <c r="J90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145</v>
      </c>
      <c r="L908" t="s">
        <v>146</v>
      </c>
      <c r="N908" s="29">
        <v>1</v>
      </c>
      <c r="P908" s="29">
        <v>1</v>
      </c>
      <c r="R908" s="29">
        <v>1</v>
      </c>
      <c r="S908" t="s">
        <v>70</v>
      </c>
      <c r="T908" t="s">
        <v>72</v>
      </c>
      <c r="U908" s="32">
        <v>30</v>
      </c>
      <c r="V908">
        <v>30</v>
      </c>
      <c r="W908" t="s">
        <v>79</v>
      </c>
      <c r="X908" t="s">
        <v>3138</v>
      </c>
      <c r="Y908" t="s">
        <v>3139</v>
      </c>
      <c r="AA908" t="s">
        <v>75</v>
      </c>
      <c r="AC908" t="s">
        <v>83</v>
      </c>
      <c r="AE908" t="s">
        <v>75</v>
      </c>
      <c r="AF908" t="s">
        <v>84</v>
      </c>
      <c r="AG908" t="s">
        <v>84</v>
      </c>
      <c r="AH908" s="33">
        <f t="shared" si="43"/>
      </c>
      <c r="AI908" s="33">
        <f t="shared" si="44"/>
      </c>
    </row>
    <row r="909" ht="27.6" customHeight="1" spans="1:35" x14ac:dyDescent="0.25">
      <c r="A909" s="27" t="s">
        <v>3140</v>
      </c>
      <c r="B909">
        <f t="shared" si="42"/>
        <v>0</v>
      </c>
      <c r="C909" t="s">
        <v>64</v>
      </c>
      <c r="D909" s="27" t="s">
        <v>102</v>
      </c>
      <c r="E909" t="s">
        <v>3141</v>
      </c>
      <c r="F909" s="28">
        <v>0</v>
      </c>
      <c r="G909" s="29">
        <v>1</v>
      </c>
      <c r="H909" s="30" t="s">
        <v>3142</v>
      </c>
      <c r="I909" t="s">
        <v>65</v>
      </c>
      <c r="J90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145</v>
      </c>
      <c r="L909" t="s">
        <v>146</v>
      </c>
      <c r="N909" s="29">
        <v>1</v>
      </c>
      <c r="P909" s="29">
        <v>1</v>
      </c>
      <c r="R909" s="29">
        <v>1</v>
      </c>
      <c r="S909" t="s">
        <v>70</v>
      </c>
      <c r="T909" t="s">
        <v>72</v>
      </c>
      <c r="U909" s="32">
        <v>30</v>
      </c>
      <c r="V909">
        <v>30</v>
      </c>
      <c r="W909" t="s">
        <v>79</v>
      </c>
      <c r="X909" t="s">
        <v>166</v>
      </c>
      <c r="Y909" t="s">
        <v>1767</v>
      </c>
      <c r="AA909" t="s">
        <v>75</v>
      </c>
      <c r="AC909" t="s">
        <v>83</v>
      </c>
      <c r="AE909" t="s">
        <v>75</v>
      </c>
      <c r="AF909" t="s">
        <v>84</v>
      </c>
      <c r="AG909" t="s">
        <v>84</v>
      </c>
      <c r="AH909" s="33">
        <f t="shared" si="43"/>
      </c>
      <c r="AI909" s="33">
        <f t="shared" si="44"/>
      </c>
    </row>
    <row r="910" ht="27.6" customHeight="1" spans="1:35" x14ac:dyDescent="0.25">
      <c r="A910" s="27" t="s">
        <v>3143</v>
      </c>
      <c r="B910">
        <f t="shared" si="42"/>
        <v>0</v>
      </c>
      <c r="C910" t="s">
        <v>64</v>
      </c>
      <c r="D910" s="27" t="s">
        <v>3144</v>
      </c>
      <c r="E910" t="s">
        <v>3145</v>
      </c>
      <c r="F910" s="28">
        <v>0</v>
      </c>
      <c r="G910" s="29">
        <v>1</v>
      </c>
      <c r="H910" s="30" t="s">
        <v>3146</v>
      </c>
      <c r="I910" t="s">
        <v>65</v>
      </c>
      <c r="J91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145</v>
      </c>
      <c r="L910" t="s">
        <v>146</v>
      </c>
      <c r="N910" s="29">
        <v>1</v>
      </c>
      <c r="P910" s="29">
        <v>1</v>
      </c>
      <c r="R910" s="29">
        <v>1</v>
      </c>
      <c r="S910" t="s">
        <v>70</v>
      </c>
      <c r="T910" t="s">
        <v>72</v>
      </c>
      <c r="U910" s="32">
        <v>30</v>
      </c>
      <c r="V910">
        <v>30</v>
      </c>
      <c r="W910" t="s">
        <v>79</v>
      </c>
      <c r="X910" t="s">
        <v>171</v>
      </c>
      <c r="Y910" t="s">
        <v>3145</v>
      </c>
      <c r="AA910" t="s">
        <v>75</v>
      </c>
      <c r="AC910" t="s">
        <v>83</v>
      </c>
      <c r="AE910" t="s">
        <v>75</v>
      </c>
      <c r="AF910" t="s">
        <v>84</v>
      </c>
      <c r="AG910" t="s">
        <v>84</v>
      </c>
      <c r="AH910" s="33">
        <f t="shared" si="43"/>
      </c>
      <c r="AI910" s="33">
        <f t="shared" si="44"/>
      </c>
    </row>
    <row r="911" ht="27.6" customHeight="1" spans="1:35" x14ac:dyDescent="0.25">
      <c r="A911" s="27" t="s">
        <v>3147</v>
      </c>
      <c r="B911">
        <f t="shared" si="42"/>
        <v>0</v>
      </c>
      <c r="C911" t="s">
        <v>64</v>
      </c>
      <c r="D911" s="27" t="s">
        <v>102</v>
      </c>
      <c r="E911" t="s">
        <v>3148</v>
      </c>
      <c r="F911" s="28">
        <v>0</v>
      </c>
      <c r="G911" s="29">
        <v>1</v>
      </c>
      <c r="H911" s="30" t="s">
        <v>3149</v>
      </c>
      <c r="I911" t="s">
        <v>65</v>
      </c>
      <c r="J91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145</v>
      </c>
      <c r="L911" t="s">
        <v>146</v>
      </c>
      <c r="N911" s="29">
        <v>1</v>
      </c>
      <c r="P911" s="29">
        <v>1</v>
      </c>
      <c r="R911" s="29">
        <v>1</v>
      </c>
      <c r="S911" t="s">
        <v>70</v>
      </c>
      <c r="T911" t="s">
        <v>72</v>
      </c>
      <c r="U911" s="32">
        <v>30</v>
      </c>
      <c r="V911">
        <v>30</v>
      </c>
      <c r="W911" t="s">
        <v>79</v>
      </c>
      <c r="X911" t="s">
        <v>770</v>
      </c>
      <c r="Y911" t="s">
        <v>3148</v>
      </c>
      <c r="AA911" t="s">
        <v>75</v>
      </c>
      <c r="AC911" t="s">
        <v>83</v>
      </c>
      <c r="AE911" t="s">
        <v>75</v>
      </c>
      <c r="AF911" t="s">
        <v>84</v>
      </c>
      <c r="AG911" t="s">
        <v>84</v>
      </c>
      <c r="AH911" s="33">
        <f t="shared" si="43"/>
      </c>
      <c r="AI911" s="33">
        <f t="shared" si="44"/>
      </c>
    </row>
    <row r="912" ht="27.6" customHeight="1" spans="1:35" x14ac:dyDescent="0.25">
      <c r="A912" s="27" t="s">
        <v>3150</v>
      </c>
      <c r="B912">
        <f t="shared" si="42"/>
        <v>0</v>
      </c>
      <c r="C912" t="s">
        <v>64</v>
      </c>
      <c r="D912" s="27" t="s">
        <v>102</v>
      </c>
      <c r="E912" t="s">
        <v>3148</v>
      </c>
      <c r="F912" s="28">
        <v>0</v>
      </c>
      <c r="G912" s="29">
        <v>1</v>
      </c>
      <c r="H912" s="30" t="s">
        <v>3151</v>
      </c>
      <c r="I912" t="s">
        <v>65</v>
      </c>
      <c r="J91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145</v>
      </c>
      <c r="L912" t="s">
        <v>146</v>
      </c>
      <c r="N912" s="29">
        <v>1</v>
      </c>
      <c r="P912" s="29">
        <v>1</v>
      </c>
      <c r="R912" s="29">
        <v>1</v>
      </c>
      <c r="S912" t="s">
        <v>70</v>
      </c>
      <c r="T912" t="s">
        <v>72</v>
      </c>
      <c r="U912" s="32">
        <v>30</v>
      </c>
      <c r="V912">
        <v>30</v>
      </c>
      <c r="W912" t="s">
        <v>79</v>
      </c>
      <c r="X912" t="s">
        <v>770</v>
      </c>
      <c r="Y912" t="s">
        <v>3148</v>
      </c>
      <c r="AA912" t="s">
        <v>75</v>
      </c>
      <c r="AC912" t="s">
        <v>83</v>
      </c>
      <c r="AE912" t="s">
        <v>75</v>
      </c>
      <c r="AF912" t="s">
        <v>84</v>
      </c>
      <c r="AG912" t="s">
        <v>84</v>
      </c>
      <c r="AH912" s="33">
        <f t="shared" si="43"/>
      </c>
      <c r="AI912" s="33">
        <f t="shared" si="44"/>
      </c>
    </row>
    <row r="913" ht="27.6" customHeight="1" spans="1:35" x14ac:dyDescent="0.25">
      <c r="A913" s="27" t="s">
        <v>2801</v>
      </c>
      <c r="B913">
        <f t="shared" si="42"/>
        <v>0</v>
      </c>
      <c r="C913" t="s">
        <v>64</v>
      </c>
      <c r="D913" s="27" t="s">
        <v>102</v>
      </c>
      <c r="E913" t="s">
        <v>3152</v>
      </c>
      <c r="F913" s="28">
        <v>0</v>
      </c>
      <c r="G913" s="29">
        <v>1</v>
      </c>
      <c r="H913" s="30" t="s">
        <v>3153</v>
      </c>
      <c r="I913" t="s">
        <v>65</v>
      </c>
      <c r="J91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145</v>
      </c>
      <c r="L913" t="s">
        <v>146</v>
      </c>
      <c r="N913" s="29">
        <v>1</v>
      </c>
      <c r="P913" s="29">
        <v>1</v>
      </c>
      <c r="R913" s="29">
        <v>1</v>
      </c>
      <c r="S913" t="s">
        <v>70</v>
      </c>
      <c r="T913" t="s">
        <v>72</v>
      </c>
      <c r="U913" s="32">
        <v>30</v>
      </c>
      <c r="V913">
        <v>30</v>
      </c>
      <c r="W913" t="s">
        <v>79</v>
      </c>
      <c r="X913" t="s">
        <v>770</v>
      </c>
      <c r="Y913" t="s">
        <v>3154</v>
      </c>
      <c r="AA913" t="s">
        <v>75</v>
      </c>
      <c r="AC913" t="s">
        <v>83</v>
      </c>
      <c r="AE913" t="s">
        <v>75</v>
      </c>
      <c r="AF913" t="s">
        <v>84</v>
      </c>
      <c r="AG913" t="s">
        <v>84</v>
      </c>
      <c r="AH913" s="33">
        <f t="shared" si="43"/>
      </c>
      <c r="AI913" s="33">
        <f t="shared" si="44"/>
      </c>
    </row>
    <row r="914" ht="27.6" customHeight="1" spans="1:35" x14ac:dyDescent="0.25">
      <c r="A914" s="27" t="s">
        <v>2806</v>
      </c>
      <c r="B914">
        <f t="shared" si="42"/>
        <v>0</v>
      </c>
      <c r="C914" t="s">
        <v>64</v>
      </c>
      <c r="D914" s="27" t="s">
        <v>102</v>
      </c>
      <c r="E914" t="s">
        <v>3152</v>
      </c>
      <c r="F914" s="28">
        <v>0</v>
      </c>
      <c r="G914" s="29">
        <v>1</v>
      </c>
      <c r="H914" s="30" t="s">
        <v>3155</v>
      </c>
      <c r="I914" t="s">
        <v>65</v>
      </c>
      <c r="J91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145</v>
      </c>
      <c r="L914" t="s">
        <v>146</v>
      </c>
      <c r="N914" s="29">
        <v>1</v>
      </c>
      <c r="P914" s="29">
        <v>1</v>
      </c>
      <c r="R914" s="29">
        <v>1</v>
      </c>
      <c r="S914" t="s">
        <v>70</v>
      </c>
      <c r="T914" t="s">
        <v>72</v>
      </c>
      <c r="U914" s="32">
        <v>30</v>
      </c>
      <c r="V914">
        <v>30</v>
      </c>
      <c r="W914" t="s">
        <v>79</v>
      </c>
      <c r="X914" t="s">
        <v>770</v>
      </c>
      <c r="Y914" t="s">
        <v>3154</v>
      </c>
      <c r="AA914" t="s">
        <v>75</v>
      </c>
      <c r="AC914" t="s">
        <v>83</v>
      </c>
      <c r="AE914" t="s">
        <v>75</v>
      </c>
      <c r="AF914" t="s">
        <v>84</v>
      </c>
      <c r="AG914" t="s">
        <v>84</v>
      </c>
      <c r="AH914" s="33">
        <f t="shared" si="43"/>
      </c>
      <c r="AI914" s="33">
        <f t="shared" si="44"/>
      </c>
    </row>
    <row r="915" ht="27.6" customHeight="1" spans="1:35" x14ac:dyDescent="0.25">
      <c r="A915" s="27" t="s">
        <v>3156</v>
      </c>
      <c r="B915">
        <f t="shared" si="42"/>
        <v>0</v>
      </c>
      <c r="C915" t="s">
        <v>64</v>
      </c>
      <c r="D915" s="27" t="s">
        <v>102</v>
      </c>
      <c r="E915" t="s">
        <v>3157</v>
      </c>
      <c r="F915" s="28">
        <v>0</v>
      </c>
      <c r="G915" s="29">
        <v>1</v>
      </c>
      <c r="H915" s="30" t="s">
        <v>3158</v>
      </c>
      <c r="I915" t="s">
        <v>65</v>
      </c>
      <c r="J91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145</v>
      </c>
      <c r="L915" t="s">
        <v>146</v>
      </c>
      <c r="N915" s="29">
        <v>1</v>
      </c>
      <c r="P915" s="29">
        <v>1</v>
      </c>
      <c r="R915" s="29">
        <v>1</v>
      </c>
      <c r="S915" t="s">
        <v>70</v>
      </c>
      <c r="T915" t="s">
        <v>72</v>
      </c>
      <c r="U915" s="32">
        <v>30</v>
      </c>
      <c r="V915">
        <v>30</v>
      </c>
      <c r="W915" t="s">
        <v>79</v>
      </c>
      <c r="X915" t="s">
        <v>770</v>
      </c>
      <c r="Y915" t="s">
        <v>3159</v>
      </c>
      <c r="AA915" t="s">
        <v>75</v>
      </c>
      <c r="AC915" t="s">
        <v>83</v>
      </c>
      <c r="AE915" t="s">
        <v>75</v>
      </c>
      <c r="AF915" t="s">
        <v>84</v>
      </c>
      <c r="AG915" t="s">
        <v>84</v>
      </c>
      <c r="AH915" s="33">
        <f t="shared" si="43"/>
      </c>
      <c r="AI915" s="33">
        <f t="shared" si="44"/>
      </c>
    </row>
    <row r="916" ht="27.6" customHeight="1" spans="1:35" x14ac:dyDescent="0.25">
      <c r="A916" s="27" t="s">
        <v>3160</v>
      </c>
      <c r="B916">
        <f t="shared" si="42"/>
        <v>0</v>
      </c>
      <c r="C916" t="s">
        <v>64</v>
      </c>
      <c r="D916" s="27" t="s">
        <v>102</v>
      </c>
      <c r="E916" t="s">
        <v>3161</v>
      </c>
      <c r="F916" s="28">
        <v>0</v>
      </c>
      <c r="G916" s="29">
        <v>1</v>
      </c>
      <c r="H916" s="30" t="s">
        <v>3162</v>
      </c>
      <c r="I916" t="s">
        <v>65</v>
      </c>
      <c r="J91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145</v>
      </c>
      <c r="L916" t="s">
        <v>146</v>
      </c>
      <c r="N916" s="29">
        <v>1</v>
      </c>
      <c r="P916" s="29">
        <v>1</v>
      </c>
      <c r="R916" s="29">
        <v>1</v>
      </c>
      <c r="S916" t="s">
        <v>70</v>
      </c>
      <c r="T916" t="s">
        <v>72</v>
      </c>
      <c r="U916" s="32">
        <v>30</v>
      </c>
      <c r="V916">
        <v>30</v>
      </c>
      <c r="W916" t="s">
        <v>79</v>
      </c>
      <c r="X916" t="s">
        <v>770</v>
      </c>
      <c r="Y916" t="s">
        <v>3161</v>
      </c>
      <c r="AA916" t="s">
        <v>75</v>
      </c>
      <c r="AC916" t="s">
        <v>83</v>
      </c>
      <c r="AE916" t="s">
        <v>75</v>
      </c>
      <c r="AF916" t="s">
        <v>84</v>
      </c>
      <c r="AG916" t="s">
        <v>84</v>
      </c>
      <c r="AH916" s="33">
        <f t="shared" si="43"/>
      </c>
      <c r="AI916" s="33">
        <f t="shared" si="44"/>
      </c>
    </row>
    <row r="917" ht="27.6" customHeight="1" spans="1:35" x14ac:dyDescent="0.25">
      <c r="A917" s="27" t="s">
        <v>2814</v>
      </c>
      <c r="B917">
        <f t="shared" si="42"/>
        <v>0</v>
      </c>
      <c r="C917" t="s">
        <v>64</v>
      </c>
      <c r="D917" s="27" t="s">
        <v>102</v>
      </c>
      <c r="E917" t="s">
        <v>3163</v>
      </c>
      <c r="F917" s="28">
        <v>0</v>
      </c>
      <c r="G917" s="29">
        <v>1</v>
      </c>
      <c r="H917" s="30" t="s">
        <v>3164</v>
      </c>
      <c r="I917" t="s">
        <v>65</v>
      </c>
      <c r="J91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145</v>
      </c>
      <c r="L917" t="s">
        <v>146</v>
      </c>
      <c r="N917" s="29">
        <v>1</v>
      </c>
      <c r="P917" s="29">
        <v>1</v>
      </c>
      <c r="R917" s="29">
        <v>1</v>
      </c>
      <c r="S917" t="s">
        <v>70</v>
      </c>
      <c r="T917" t="s">
        <v>72</v>
      </c>
      <c r="U917" s="32">
        <v>30</v>
      </c>
      <c r="V917">
        <v>30</v>
      </c>
      <c r="W917" t="s">
        <v>79</v>
      </c>
      <c r="X917" t="s">
        <v>770</v>
      </c>
      <c r="Y917" t="s">
        <v>3163</v>
      </c>
      <c r="AA917" t="s">
        <v>75</v>
      </c>
      <c r="AC917" t="s">
        <v>83</v>
      </c>
      <c r="AE917" t="s">
        <v>75</v>
      </c>
      <c r="AF917" t="s">
        <v>84</v>
      </c>
      <c r="AG917" t="s">
        <v>84</v>
      </c>
      <c r="AH917" s="33">
        <f t="shared" si="43"/>
      </c>
      <c r="AI917" s="33">
        <f t="shared" si="44"/>
      </c>
    </row>
    <row r="918" ht="27.6" customHeight="1" spans="1:35" x14ac:dyDescent="0.25">
      <c r="A918" s="27" t="s">
        <v>2817</v>
      </c>
      <c r="B918">
        <f t="shared" si="42"/>
        <v>0</v>
      </c>
      <c r="C918" t="s">
        <v>64</v>
      </c>
      <c r="D918" s="27" t="s">
        <v>102</v>
      </c>
      <c r="E918" t="s">
        <v>3165</v>
      </c>
      <c r="F918" s="28">
        <v>0</v>
      </c>
      <c r="G918" s="29">
        <v>1</v>
      </c>
      <c r="H918" s="30" t="s">
        <v>3166</v>
      </c>
      <c r="I918" t="s">
        <v>65</v>
      </c>
      <c r="J91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145</v>
      </c>
      <c r="L918" t="s">
        <v>146</v>
      </c>
      <c r="N918" s="29">
        <v>1</v>
      </c>
      <c r="P918" s="29">
        <v>1</v>
      </c>
      <c r="R918" s="29">
        <v>1</v>
      </c>
      <c r="S918" t="s">
        <v>70</v>
      </c>
      <c r="T918" t="s">
        <v>72</v>
      </c>
      <c r="U918" s="32">
        <v>30</v>
      </c>
      <c r="V918">
        <v>30</v>
      </c>
      <c r="W918" t="s">
        <v>79</v>
      </c>
      <c r="X918" t="s">
        <v>770</v>
      </c>
      <c r="Y918" t="s">
        <v>3165</v>
      </c>
      <c r="AA918" t="s">
        <v>75</v>
      </c>
      <c r="AC918" t="s">
        <v>83</v>
      </c>
      <c r="AE918" t="s">
        <v>75</v>
      </c>
      <c r="AF918" t="s">
        <v>84</v>
      </c>
      <c r="AG918" t="s">
        <v>84</v>
      </c>
      <c r="AH918" s="33">
        <f t="shared" si="43"/>
      </c>
      <c r="AI918" s="33">
        <f t="shared" si="44"/>
      </c>
    </row>
    <row r="919" ht="27.6" customHeight="1" spans="1:35" x14ac:dyDescent="0.25">
      <c r="A919" s="27" t="s">
        <v>3167</v>
      </c>
      <c r="B919">
        <f t="shared" si="42"/>
        <v>0</v>
      </c>
      <c r="C919" t="s">
        <v>64</v>
      </c>
      <c r="D919" s="27" t="s">
        <v>3168</v>
      </c>
      <c r="E919" t="s">
        <v>3169</v>
      </c>
      <c r="F919" s="28">
        <v>0</v>
      </c>
      <c r="G919" s="29">
        <v>1</v>
      </c>
      <c r="H919" s="30" t="s">
        <v>3170</v>
      </c>
      <c r="I919" t="s">
        <v>65</v>
      </c>
      <c r="J91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145</v>
      </c>
      <c r="L919" t="s">
        <v>146</v>
      </c>
      <c r="N919" s="29">
        <v>1</v>
      </c>
      <c r="P919" s="29">
        <v>1</v>
      </c>
      <c r="R919" s="29">
        <v>1</v>
      </c>
      <c r="S919" t="s">
        <v>70</v>
      </c>
      <c r="T919" t="s">
        <v>72</v>
      </c>
      <c r="U919" s="32">
        <v>30</v>
      </c>
      <c r="V919">
        <v>30</v>
      </c>
      <c r="W919" t="s">
        <v>79</v>
      </c>
      <c r="X919" t="s">
        <v>171</v>
      </c>
      <c r="Y919" t="s">
        <v>3171</v>
      </c>
      <c r="AA919" t="s">
        <v>75</v>
      </c>
      <c r="AC919" t="s">
        <v>83</v>
      </c>
      <c r="AE919" t="s">
        <v>75</v>
      </c>
      <c r="AF919" t="s">
        <v>84</v>
      </c>
      <c r="AG919" t="s">
        <v>84</v>
      </c>
      <c r="AH919" s="33">
        <f t="shared" si="43"/>
      </c>
      <c r="AI919" s="33">
        <f t="shared" si="44"/>
      </c>
    </row>
    <row r="920" ht="27.6" customHeight="1" spans="1:35" x14ac:dyDescent="0.25">
      <c r="A920" s="27" t="s">
        <v>3172</v>
      </c>
      <c r="B920">
        <f t="shared" si="42"/>
        <v>0</v>
      </c>
      <c r="C920" t="s">
        <v>64</v>
      </c>
      <c r="D920" s="27" t="s">
        <v>102</v>
      </c>
      <c r="E920" t="s">
        <v>3173</v>
      </c>
      <c r="F920" s="28">
        <v>0</v>
      </c>
      <c r="G920" s="29">
        <v>1</v>
      </c>
      <c r="H920" s="30" t="s">
        <v>3174</v>
      </c>
      <c r="I920" t="s">
        <v>65</v>
      </c>
      <c r="J92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145</v>
      </c>
      <c r="L920" t="s">
        <v>146</v>
      </c>
      <c r="N920" s="29">
        <v>1</v>
      </c>
      <c r="P920" s="29">
        <v>1</v>
      </c>
      <c r="R920" s="29">
        <v>1</v>
      </c>
      <c r="S920" t="s">
        <v>70</v>
      </c>
      <c r="T920" t="s">
        <v>72</v>
      </c>
      <c r="U920" s="32">
        <v>30</v>
      </c>
      <c r="V920">
        <v>30</v>
      </c>
      <c r="W920" t="s">
        <v>79</v>
      </c>
      <c r="X920" t="s">
        <v>171</v>
      </c>
      <c r="Y920" t="s">
        <v>3173</v>
      </c>
      <c r="AA920" t="s">
        <v>75</v>
      </c>
      <c r="AC920" t="s">
        <v>83</v>
      </c>
      <c r="AE920" t="s">
        <v>75</v>
      </c>
      <c r="AF920" t="s">
        <v>84</v>
      </c>
      <c r="AG920" t="s">
        <v>84</v>
      </c>
      <c r="AH920" s="33">
        <f t="shared" si="43"/>
      </c>
      <c r="AI920" s="33">
        <f t="shared" si="44"/>
      </c>
    </row>
    <row r="921" ht="27.6" customHeight="1" spans="1:35" x14ac:dyDescent="0.25">
      <c r="A921" s="27" t="s">
        <v>3175</v>
      </c>
      <c r="B921">
        <f t="shared" si="42"/>
        <v>0</v>
      </c>
      <c r="C921" t="s">
        <v>64</v>
      </c>
      <c r="D921" s="27" t="s">
        <v>3176</v>
      </c>
      <c r="E921" t="s">
        <v>3177</v>
      </c>
      <c r="F921" s="28">
        <v>0</v>
      </c>
      <c r="G921" s="29">
        <v>1</v>
      </c>
      <c r="H921" s="30" t="s">
        <v>3178</v>
      </c>
      <c r="I921" t="s">
        <v>65</v>
      </c>
      <c r="J92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145</v>
      </c>
      <c r="L921" t="s">
        <v>146</v>
      </c>
      <c r="N921" s="29">
        <v>1</v>
      </c>
      <c r="P921" s="29">
        <v>1</v>
      </c>
      <c r="R921" s="29">
        <v>1</v>
      </c>
      <c r="S921" t="s">
        <v>70</v>
      </c>
      <c r="T921" t="s">
        <v>72</v>
      </c>
      <c r="U921" s="32">
        <v>30</v>
      </c>
      <c r="V921">
        <v>30</v>
      </c>
      <c r="W921" t="s">
        <v>79</v>
      </c>
      <c r="X921" t="s">
        <v>770</v>
      </c>
      <c r="Y921" t="s">
        <v>3179</v>
      </c>
      <c r="AA921" t="s">
        <v>75</v>
      </c>
      <c r="AC921" t="s">
        <v>83</v>
      </c>
      <c r="AE921" t="s">
        <v>75</v>
      </c>
      <c r="AF921" t="s">
        <v>84</v>
      </c>
      <c r="AG921" t="s">
        <v>84</v>
      </c>
      <c r="AH921" s="33">
        <f t="shared" si="43"/>
      </c>
      <c r="AI921" s="33">
        <f t="shared" si="44"/>
      </c>
    </row>
    <row r="922" ht="27.6" customHeight="1" spans="1:35" x14ac:dyDescent="0.25">
      <c r="A922" s="27" t="s">
        <v>3180</v>
      </c>
      <c r="B922">
        <f t="shared" si="42"/>
        <v>0</v>
      </c>
      <c r="C922" t="s">
        <v>64</v>
      </c>
      <c r="D922" s="27" t="s">
        <v>3181</v>
      </c>
      <c r="E922" t="s">
        <v>3182</v>
      </c>
      <c r="F922" s="28">
        <v>0</v>
      </c>
      <c r="G922" s="29">
        <v>1</v>
      </c>
      <c r="H922" s="30" t="s">
        <v>3183</v>
      </c>
      <c r="I922" t="s">
        <v>65</v>
      </c>
      <c r="J92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145</v>
      </c>
      <c r="L922" t="s">
        <v>146</v>
      </c>
      <c r="N922" s="29">
        <v>1</v>
      </c>
      <c r="P922" s="29">
        <v>1</v>
      </c>
      <c r="R922" s="29">
        <v>1</v>
      </c>
      <c r="S922" t="s">
        <v>70</v>
      </c>
      <c r="T922" t="s">
        <v>72</v>
      </c>
      <c r="U922" s="32">
        <v>30</v>
      </c>
      <c r="V922">
        <v>30</v>
      </c>
      <c r="W922" t="s">
        <v>79</v>
      </c>
      <c r="X922" t="s">
        <v>171</v>
      </c>
      <c r="Y922" t="s">
        <v>3184</v>
      </c>
      <c r="AA922" t="s">
        <v>75</v>
      </c>
      <c r="AC922" t="s">
        <v>83</v>
      </c>
      <c r="AE922" t="s">
        <v>75</v>
      </c>
      <c r="AF922" t="s">
        <v>84</v>
      </c>
      <c r="AG922" t="s">
        <v>84</v>
      </c>
      <c r="AH922" s="33">
        <f t="shared" si="43"/>
      </c>
      <c r="AI922" s="33">
        <f t="shared" si="44"/>
      </c>
    </row>
    <row r="923" ht="27.6" customHeight="1" spans="1:35" x14ac:dyDescent="0.25">
      <c r="A923" s="27" t="s">
        <v>3185</v>
      </c>
      <c r="B923">
        <f t="shared" si="42"/>
        <v>0</v>
      </c>
      <c r="C923" t="s">
        <v>64</v>
      </c>
      <c r="D923" s="27" t="s">
        <v>3186</v>
      </c>
      <c r="E923" t="s">
        <v>3187</v>
      </c>
      <c r="F923" s="28">
        <v>0</v>
      </c>
      <c r="G923" s="29">
        <v>1</v>
      </c>
      <c r="H923" s="30" t="s">
        <v>3188</v>
      </c>
      <c r="I923" t="s">
        <v>65</v>
      </c>
      <c r="J92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145</v>
      </c>
      <c r="L923" t="s">
        <v>146</v>
      </c>
      <c r="N923" s="29">
        <v>1</v>
      </c>
      <c r="P923" s="29">
        <v>1</v>
      </c>
      <c r="R923" s="29">
        <v>1</v>
      </c>
      <c r="S923" t="s">
        <v>70</v>
      </c>
      <c r="T923" t="s">
        <v>72</v>
      </c>
      <c r="U923" s="32">
        <v>30</v>
      </c>
      <c r="V923">
        <v>30</v>
      </c>
      <c r="W923" t="s">
        <v>79</v>
      </c>
      <c r="X923" t="s">
        <v>171</v>
      </c>
      <c r="Y923" t="s">
        <v>3189</v>
      </c>
      <c r="AA923" t="s">
        <v>75</v>
      </c>
      <c r="AC923" t="s">
        <v>83</v>
      </c>
      <c r="AE923" t="s">
        <v>75</v>
      </c>
      <c r="AF923" t="s">
        <v>84</v>
      </c>
      <c r="AG923" t="s">
        <v>84</v>
      </c>
      <c r="AH923" s="33">
        <f t="shared" si="43"/>
      </c>
      <c r="AI923" s="33">
        <f t="shared" si="44"/>
      </c>
    </row>
    <row r="924" ht="27.6" customHeight="1" spans="1:35" x14ac:dyDescent="0.25">
      <c r="A924" s="27" t="s">
        <v>3190</v>
      </c>
      <c r="B924">
        <f t="shared" si="42"/>
        <v>0</v>
      </c>
      <c r="C924" t="s">
        <v>64</v>
      </c>
      <c r="D924" s="27" t="s">
        <v>102</v>
      </c>
      <c r="E924" t="s">
        <v>3191</v>
      </c>
      <c r="F924" s="28">
        <v>0</v>
      </c>
      <c r="G924" s="29">
        <v>1</v>
      </c>
      <c r="H924" s="30" t="s">
        <v>3192</v>
      </c>
      <c r="I924" t="s">
        <v>65</v>
      </c>
      <c r="J92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145</v>
      </c>
      <c r="L924" t="s">
        <v>146</v>
      </c>
      <c r="N924" s="29">
        <v>1</v>
      </c>
      <c r="P924" s="29">
        <v>1</v>
      </c>
      <c r="R924" s="29">
        <v>1</v>
      </c>
      <c r="S924" t="s">
        <v>70</v>
      </c>
      <c r="T924" t="s">
        <v>72</v>
      </c>
      <c r="U924" s="32">
        <v>30</v>
      </c>
      <c r="V924">
        <v>30</v>
      </c>
      <c r="W924" t="s">
        <v>79</v>
      </c>
      <c r="X924" t="s">
        <v>171</v>
      </c>
      <c r="Y924" t="s">
        <v>3193</v>
      </c>
      <c r="AA924" t="s">
        <v>75</v>
      </c>
      <c r="AC924" t="s">
        <v>83</v>
      </c>
      <c r="AE924" t="s">
        <v>75</v>
      </c>
      <c r="AF924" t="s">
        <v>84</v>
      </c>
      <c r="AG924" t="s">
        <v>84</v>
      </c>
      <c r="AH924" s="33">
        <f t="shared" si="43"/>
      </c>
      <c r="AI924" s="33">
        <f t="shared" si="44"/>
      </c>
    </row>
    <row r="925" ht="27.6" customHeight="1" spans="1:35" x14ac:dyDescent="0.25">
      <c r="A925" s="27" t="s">
        <v>3194</v>
      </c>
      <c r="B925">
        <f t="shared" si="42"/>
        <v>0</v>
      </c>
      <c r="C925" t="s">
        <v>64</v>
      </c>
      <c r="D925" s="27" t="s">
        <v>102</v>
      </c>
      <c r="E925" t="s">
        <v>3195</v>
      </c>
      <c r="F925" s="28">
        <v>0</v>
      </c>
      <c r="G925" s="29">
        <v>1</v>
      </c>
      <c r="H925" s="30" t="s">
        <v>3196</v>
      </c>
      <c r="I925" t="s">
        <v>65</v>
      </c>
      <c r="J92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145</v>
      </c>
      <c r="L925" t="s">
        <v>146</v>
      </c>
      <c r="N925" s="29">
        <v>1</v>
      </c>
      <c r="P925" s="29">
        <v>1</v>
      </c>
      <c r="R925" s="29">
        <v>1</v>
      </c>
      <c r="S925" t="s">
        <v>70</v>
      </c>
      <c r="T925" t="s">
        <v>72</v>
      </c>
      <c r="U925" s="32">
        <v>30</v>
      </c>
      <c r="V925">
        <v>30</v>
      </c>
      <c r="W925" t="s">
        <v>79</v>
      </c>
      <c r="X925" t="s">
        <v>770</v>
      </c>
      <c r="Y925" t="s">
        <v>3195</v>
      </c>
      <c r="AA925" t="s">
        <v>75</v>
      </c>
      <c r="AC925" t="s">
        <v>83</v>
      </c>
      <c r="AE925" t="s">
        <v>75</v>
      </c>
      <c r="AF925" t="s">
        <v>84</v>
      </c>
      <c r="AG925" t="s">
        <v>84</v>
      </c>
      <c r="AH925" s="33">
        <f t="shared" si="43"/>
      </c>
      <c r="AI925" s="33">
        <f t="shared" si="44"/>
      </c>
    </row>
    <row r="926" ht="27.6" customHeight="1" spans="1:35" x14ac:dyDescent="0.25">
      <c r="A926" s="27" t="s">
        <v>1036</v>
      </c>
      <c r="B926">
        <f t="shared" si="42"/>
        <v>0</v>
      </c>
      <c r="C926" t="s">
        <v>64</v>
      </c>
      <c r="D926" s="27" t="s">
        <v>3197</v>
      </c>
      <c r="E926" t="s">
        <v>3198</v>
      </c>
      <c r="F926" s="28">
        <v>0</v>
      </c>
      <c r="G926" s="29">
        <v>1</v>
      </c>
      <c r="H926" s="30" t="s">
        <v>3199</v>
      </c>
      <c r="I926" t="s">
        <v>65</v>
      </c>
      <c r="J92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145</v>
      </c>
      <c r="L926" t="s">
        <v>146</v>
      </c>
      <c r="N926" s="29">
        <v>1</v>
      </c>
      <c r="P926" s="29">
        <v>1</v>
      </c>
      <c r="R926" s="29">
        <v>1</v>
      </c>
      <c r="S926" t="s">
        <v>70</v>
      </c>
      <c r="T926" t="s">
        <v>72</v>
      </c>
      <c r="U926" s="32">
        <v>30</v>
      </c>
      <c r="V926">
        <v>30</v>
      </c>
      <c r="W926" t="s">
        <v>79</v>
      </c>
      <c r="X926" t="s">
        <v>171</v>
      </c>
      <c r="Y926" t="s">
        <v>3200</v>
      </c>
      <c r="AA926" t="s">
        <v>75</v>
      </c>
      <c r="AC926" t="s">
        <v>83</v>
      </c>
      <c r="AE926" t="s">
        <v>75</v>
      </c>
      <c r="AF926" t="s">
        <v>84</v>
      </c>
      <c r="AG926" t="s">
        <v>84</v>
      </c>
      <c r="AH926" s="33">
        <f t="shared" si="43"/>
      </c>
      <c r="AI926" s="33">
        <f t="shared" si="44"/>
      </c>
    </row>
    <row r="927" ht="27.6" customHeight="1" spans="1:35" x14ac:dyDescent="0.25">
      <c r="A927" s="27" t="s">
        <v>1041</v>
      </c>
      <c r="B927">
        <f t="shared" si="42"/>
        <v>0</v>
      </c>
      <c r="C927" t="s">
        <v>64</v>
      </c>
      <c r="D927" s="27" t="s">
        <v>3201</v>
      </c>
      <c r="E927" t="s">
        <v>3202</v>
      </c>
      <c r="F927" s="28">
        <v>0</v>
      </c>
      <c r="G927" s="29">
        <v>1</v>
      </c>
      <c r="H927" s="30" t="s">
        <v>3203</v>
      </c>
      <c r="I927" t="s">
        <v>65</v>
      </c>
      <c r="J92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145</v>
      </c>
      <c r="L927" t="s">
        <v>146</v>
      </c>
      <c r="N927" s="29">
        <v>1</v>
      </c>
      <c r="P927" s="29">
        <v>1</v>
      </c>
      <c r="R927" s="29">
        <v>1</v>
      </c>
      <c r="S927" t="s">
        <v>70</v>
      </c>
      <c r="T927" t="s">
        <v>72</v>
      </c>
      <c r="U927" s="32">
        <v>30</v>
      </c>
      <c r="V927">
        <v>30</v>
      </c>
      <c r="W927" t="s">
        <v>79</v>
      </c>
      <c r="X927" t="s">
        <v>171</v>
      </c>
      <c r="Y927" t="s">
        <v>3204</v>
      </c>
      <c r="AA927" t="s">
        <v>75</v>
      </c>
      <c r="AC927" t="s">
        <v>83</v>
      </c>
      <c r="AE927" t="s">
        <v>75</v>
      </c>
      <c r="AF927" t="s">
        <v>84</v>
      </c>
      <c r="AG927" t="s">
        <v>84</v>
      </c>
      <c r="AH927" s="33">
        <f t="shared" si="43"/>
      </c>
      <c r="AI927" s="33">
        <f t="shared" si="44"/>
      </c>
    </row>
    <row r="928" ht="27.6" customHeight="1" spans="1:35" x14ac:dyDescent="0.25">
      <c r="A928" s="27" t="s">
        <v>3205</v>
      </c>
      <c r="B928">
        <f t="shared" si="42"/>
        <v>0</v>
      </c>
      <c r="C928" t="s">
        <v>64</v>
      </c>
      <c r="D928" s="27" t="s">
        <v>3206</v>
      </c>
      <c r="E928" t="s">
        <v>3207</v>
      </c>
      <c r="F928" s="28">
        <v>0</v>
      </c>
      <c r="G928" s="29">
        <v>1</v>
      </c>
      <c r="H928" s="30" t="s">
        <v>3208</v>
      </c>
      <c r="I928" t="s">
        <v>65</v>
      </c>
      <c r="J92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145</v>
      </c>
      <c r="L928" t="s">
        <v>146</v>
      </c>
      <c r="N928" s="29">
        <v>1</v>
      </c>
      <c r="P928" s="29">
        <v>1</v>
      </c>
      <c r="R928" s="29">
        <v>1</v>
      </c>
      <c r="S928" t="s">
        <v>70</v>
      </c>
      <c r="T928" t="s">
        <v>72</v>
      </c>
      <c r="U928" s="32">
        <v>30</v>
      </c>
      <c r="V928">
        <v>30</v>
      </c>
      <c r="W928" t="s">
        <v>79</v>
      </c>
      <c r="X928" t="s">
        <v>770</v>
      </c>
      <c r="Y928" t="s">
        <v>3209</v>
      </c>
      <c r="AA928" t="s">
        <v>75</v>
      </c>
      <c r="AC928" t="s">
        <v>83</v>
      </c>
      <c r="AE928" t="s">
        <v>75</v>
      </c>
      <c r="AF928" t="s">
        <v>84</v>
      </c>
      <c r="AG928" t="s">
        <v>84</v>
      </c>
      <c r="AH928" s="33">
        <f t="shared" si="43"/>
      </c>
      <c r="AI928" s="33">
        <f t="shared" si="44"/>
      </c>
    </row>
    <row r="929" ht="27.6" customHeight="1" spans="1:35" x14ac:dyDescent="0.25">
      <c r="A929" s="27" t="s">
        <v>3210</v>
      </c>
      <c r="B929">
        <f t="shared" si="42"/>
        <v>0</v>
      </c>
      <c r="C929" t="s">
        <v>64</v>
      </c>
      <c r="D929" s="27" t="s">
        <v>102</v>
      </c>
      <c r="E929" t="s">
        <v>3211</v>
      </c>
      <c r="F929" s="28">
        <v>0</v>
      </c>
      <c r="G929" s="29">
        <v>1</v>
      </c>
      <c r="H929" s="30" t="s">
        <v>3212</v>
      </c>
      <c r="I929" t="s">
        <v>65</v>
      </c>
      <c r="J92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145</v>
      </c>
      <c r="L929" t="s">
        <v>146</v>
      </c>
      <c r="N929" s="29">
        <v>1</v>
      </c>
      <c r="P929" s="29">
        <v>1</v>
      </c>
      <c r="R929" s="29">
        <v>1</v>
      </c>
      <c r="S929" t="s">
        <v>70</v>
      </c>
      <c r="T929" t="s">
        <v>72</v>
      </c>
      <c r="U929" s="32">
        <v>30</v>
      </c>
      <c r="V929">
        <v>30</v>
      </c>
      <c r="W929" t="s">
        <v>79</v>
      </c>
      <c r="X929" t="s">
        <v>171</v>
      </c>
      <c r="Y929" t="s">
        <v>3211</v>
      </c>
      <c r="AA929" t="s">
        <v>75</v>
      </c>
      <c r="AC929" t="s">
        <v>83</v>
      </c>
      <c r="AE929" t="s">
        <v>75</v>
      </c>
      <c r="AF929" t="s">
        <v>84</v>
      </c>
      <c r="AG929" t="s">
        <v>84</v>
      </c>
      <c r="AH929" s="33">
        <f t="shared" si="43"/>
      </c>
      <c r="AI929" s="33">
        <f t="shared" si="44"/>
      </c>
    </row>
    <row r="930" ht="27.6" customHeight="1" spans="1:35" x14ac:dyDescent="0.25">
      <c r="A930" s="27" t="s">
        <v>3213</v>
      </c>
      <c r="B930">
        <f t="shared" si="42"/>
        <v>0</v>
      </c>
      <c r="C930" t="s">
        <v>64</v>
      </c>
      <c r="D930" s="27" t="s">
        <v>3214</v>
      </c>
      <c r="E930" t="s">
        <v>3215</v>
      </c>
      <c r="F930" s="28">
        <v>0</v>
      </c>
      <c r="G930" s="29">
        <v>1</v>
      </c>
      <c r="H930" s="30" t="s">
        <v>3216</v>
      </c>
      <c r="I930" t="s">
        <v>65</v>
      </c>
      <c r="J93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145</v>
      </c>
      <c r="L930" t="s">
        <v>146</v>
      </c>
      <c r="N930" s="29">
        <v>1</v>
      </c>
      <c r="P930" s="29">
        <v>1</v>
      </c>
      <c r="R930" s="29">
        <v>1</v>
      </c>
      <c r="S930" t="s">
        <v>70</v>
      </c>
      <c r="T930" t="s">
        <v>72</v>
      </c>
      <c r="U930" s="32">
        <v>30</v>
      </c>
      <c r="V930">
        <v>30</v>
      </c>
      <c r="W930" t="s">
        <v>79</v>
      </c>
      <c r="X930" t="s">
        <v>171</v>
      </c>
      <c r="Y930" t="s">
        <v>3217</v>
      </c>
      <c r="AA930" t="s">
        <v>75</v>
      </c>
      <c r="AC930" t="s">
        <v>83</v>
      </c>
      <c r="AE930" t="s">
        <v>75</v>
      </c>
      <c r="AF930" t="s">
        <v>84</v>
      </c>
      <c r="AG930" t="s">
        <v>84</v>
      </c>
      <c r="AH930" s="33">
        <f t="shared" si="43"/>
      </c>
      <c r="AI930" s="33">
        <f t="shared" si="44"/>
      </c>
    </row>
    <row r="931" ht="27.6" customHeight="1" spans="1:35" x14ac:dyDescent="0.25">
      <c r="A931" s="27" t="s">
        <v>1046</v>
      </c>
      <c r="B931">
        <f t="shared" si="42"/>
        <v>0</v>
      </c>
      <c r="C931" t="s">
        <v>64</v>
      </c>
      <c r="D931" s="27" t="s">
        <v>102</v>
      </c>
      <c r="E931" t="s">
        <v>3218</v>
      </c>
      <c r="F931" s="28">
        <v>0</v>
      </c>
      <c r="G931" s="29">
        <v>1</v>
      </c>
      <c r="H931" s="30" t="s">
        <v>3219</v>
      </c>
      <c r="I931" t="s">
        <v>65</v>
      </c>
      <c r="J93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145</v>
      </c>
      <c r="L931" t="s">
        <v>146</v>
      </c>
      <c r="N931" s="29">
        <v>1</v>
      </c>
      <c r="P931" s="29">
        <v>1</v>
      </c>
      <c r="R931" s="29">
        <v>1</v>
      </c>
      <c r="S931" t="s">
        <v>70</v>
      </c>
      <c r="T931" t="s">
        <v>72</v>
      </c>
      <c r="U931" s="32">
        <v>30</v>
      </c>
      <c r="V931">
        <v>30</v>
      </c>
      <c r="W931" t="s">
        <v>79</v>
      </c>
      <c r="X931" t="s">
        <v>770</v>
      </c>
      <c r="Y931" t="s">
        <v>3218</v>
      </c>
      <c r="AA931" t="s">
        <v>75</v>
      </c>
      <c r="AC931" t="s">
        <v>83</v>
      </c>
      <c r="AE931" t="s">
        <v>75</v>
      </c>
      <c r="AF931" t="s">
        <v>84</v>
      </c>
      <c r="AG931" t="s">
        <v>84</v>
      </c>
      <c r="AH931" s="33">
        <f t="shared" si="43"/>
      </c>
      <c r="AI931" s="33">
        <f t="shared" si="44"/>
      </c>
    </row>
    <row r="932" ht="27.6" customHeight="1" spans="1:35" x14ac:dyDescent="0.25">
      <c r="A932" s="27" t="s">
        <v>1050</v>
      </c>
      <c r="B932">
        <f t="shared" si="42"/>
        <v>0</v>
      </c>
      <c r="C932" t="s">
        <v>64</v>
      </c>
      <c r="D932" s="27" t="s">
        <v>102</v>
      </c>
      <c r="E932" t="s">
        <v>3218</v>
      </c>
      <c r="F932" s="28">
        <v>0</v>
      </c>
      <c r="G932" s="29">
        <v>1</v>
      </c>
      <c r="H932" s="30" t="s">
        <v>3220</v>
      </c>
      <c r="I932" t="s">
        <v>65</v>
      </c>
      <c r="J93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145</v>
      </c>
      <c r="L932" t="s">
        <v>146</v>
      </c>
      <c r="N932" s="29">
        <v>1</v>
      </c>
      <c r="P932" s="29">
        <v>1</v>
      </c>
      <c r="R932" s="29">
        <v>1</v>
      </c>
      <c r="S932" t="s">
        <v>70</v>
      </c>
      <c r="T932" t="s">
        <v>72</v>
      </c>
      <c r="U932" s="32">
        <v>30</v>
      </c>
      <c r="V932">
        <v>30</v>
      </c>
      <c r="W932" t="s">
        <v>79</v>
      </c>
      <c r="X932" t="s">
        <v>770</v>
      </c>
      <c r="Y932" t="s">
        <v>3218</v>
      </c>
      <c r="AA932" t="s">
        <v>75</v>
      </c>
      <c r="AC932" t="s">
        <v>83</v>
      </c>
      <c r="AE932" t="s">
        <v>75</v>
      </c>
      <c r="AF932" t="s">
        <v>84</v>
      </c>
      <c r="AG932" t="s">
        <v>84</v>
      </c>
      <c r="AH932" s="33">
        <f t="shared" si="43"/>
      </c>
      <c r="AI932" s="33">
        <f t="shared" si="44"/>
      </c>
    </row>
    <row r="933" ht="27.6" customHeight="1" spans="1:35" x14ac:dyDescent="0.25">
      <c r="A933" s="27" t="s">
        <v>2830</v>
      </c>
      <c r="B933">
        <f t="shared" si="42"/>
        <v>0</v>
      </c>
      <c r="C933" t="s">
        <v>64</v>
      </c>
      <c r="D933" s="27" t="s">
        <v>3221</v>
      </c>
      <c r="E933" t="s">
        <v>3222</v>
      </c>
      <c r="F933" s="28">
        <v>0</v>
      </c>
      <c r="G933" s="29">
        <v>1</v>
      </c>
      <c r="H933" s="30" t="s">
        <v>3223</v>
      </c>
      <c r="I933" t="s">
        <v>65</v>
      </c>
      <c r="J93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145</v>
      </c>
      <c r="L933" t="s">
        <v>146</v>
      </c>
      <c r="N933" s="29">
        <v>1</v>
      </c>
      <c r="P933" s="29">
        <v>1</v>
      </c>
      <c r="R933" s="29">
        <v>1</v>
      </c>
      <c r="S933" t="s">
        <v>70</v>
      </c>
      <c r="T933" t="s">
        <v>72</v>
      </c>
      <c r="U933" s="32">
        <v>30</v>
      </c>
      <c r="V933">
        <v>30</v>
      </c>
      <c r="W933" t="s">
        <v>79</v>
      </c>
      <c r="X933" t="s">
        <v>171</v>
      </c>
      <c r="Y933" t="s">
        <v>2833</v>
      </c>
      <c r="AA933" t="s">
        <v>75</v>
      </c>
      <c r="AC933" t="s">
        <v>83</v>
      </c>
      <c r="AE933" t="s">
        <v>75</v>
      </c>
      <c r="AF933" t="s">
        <v>84</v>
      </c>
      <c r="AG933" t="s">
        <v>84</v>
      </c>
      <c r="AH933" s="33">
        <f t="shared" si="43"/>
      </c>
      <c r="AI933" s="33">
        <f t="shared" si="44"/>
      </c>
    </row>
    <row r="934" ht="27.6" customHeight="1" spans="1:35" x14ac:dyDescent="0.25">
      <c r="A934" s="27" t="s">
        <v>2834</v>
      </c>
      <c r="B934">
        <f t="shared" si="42"/>
        <v>0</v>
      </c>
      <c r="C934" t="s">
        <v>64</v>
      </c>
      <c r="D934" s="27" t="s">
        <v>3221</v>
      </c>
      <c r="E934" t="s">
        <v>3222</v>
      </c>
      <c r="F934" s="28">
        <v>0</v>
      </c>
      <c r="G934" s="29">
        <v>1</v>
      </c>
      <c r="H934" s="30" t="s">
        <v>3224</v>
      </c>
      <c r="I934" t="s">
        <v>65</v>
      </c>
      <c r="J93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145</v>
      </c>
      <c r="L934" t="s">
        <v>146</v>
      </c>
      <c r="N934" s="29">
        <v>1</v>
      </c>
      <c r="P934" s="29">
        <v>1</v>
      </c>
      <c r="R934" s="29">
        <v>1</v>
      </c>
      <c r="S934" t="s">
        <v>70</v>
      </c>
      <c r="T934" t="s">
        <v>72</v>
      </c>
      <c r="U934" s="32">
        <v>30</v>
      </c>
      <c r="V934">
        <v>30</v>
      </c>
      <c r="W934" t="s">
        <v>79</v>
      </c>
      <c r="X934" t="s">
        <v>171</v>
      </c>
      <c r="Y934" t="s">
        <v>2833</v>
      </c>
      <c r="AA934" t="s">
        <v>75</v>
      </c>
      <c r="AC934" t="s">
        <v>83</v>
      </c>
      <c r="AE934" t="s">
        <v>75</v>
      </c>
      <c r="AF934" t="s">
        <v>84</v>
      </c>
      <c r="AG934" t="s">
        <v>84</v>
      </c>
      <c r="AH934" s="33">
        <f t="shared" si="43"/>
      </c>
      <c r="AI934" s="33">
        <f t="shared" si="44"/>
      </c>
    </row>
    <row r="935" ht="27.6" customHeight="1" spans="1:35" x14ac:dyDescent="0.25">
      <c r="A935" s="27" t="s">
        <v>2836</v>
      </c>
      <c r="B935">
        <f t="shared" si="42"/>
        <v>0</v>
      </c>
      <c r="C935" t="s">
        <v>64</v>
      </c>
      <c r="D935" s="27" t="s">
        <v>102</v>
      </c>
      <c r="E935" t="s">
        <v>3225</v>
      </c>
      <c r="F935" s="28">
        <v>0</v>
      </c>
      <c r="G935" s="29">
        <v>1</v>
      </c>
      <c r="H935" s="30" t="s">
        <v>3226</v>
      </c>
      <c r="I935" t="s">
        <v>65</v>
      </c>
      <c r="J93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145</v>
      </c>
      <c r="L935" t="s">
        <v>146</v>
      </c>
      <c r="N935" s="29">
        <v>1</v>
      </c>
      <c r="P935" s="29">
        <v>1</v>
      </c>
      <c r="R935" s="29">
        <v>1</v>
      </c>
      <c r="S935" t="s">
        <v>70</v>
      </c>
      <c r="T935" t="s">
        <v>72</v>
      </c>
      <c r="U935" s="32">
        <v>30</v>
      </c>
      <c r="V935">
        <v>30</v>
      </c>
      <c r="W935" t="s">
        <v>79</v>
      </c>
      <c r="X935" t="s">
        <v>770</v>
      </c>
      <c r="Y935" t="s">
        <v>3225</v>
      </c>
      <c r="AA935" t="s">
        <v>75</v>
      </c>
      <c r="AC935" t="s">
        <v>83</v>
      </c>
      <c r="AE935" t="s">
        <v>75</v>
      </c>
      <c r="AF935" t="s">
        <v>84</v>
      </c>
      <c r="AG935" t="s">
        <v>84</v>
      </c>
      <c r="AH935" s="33">
        <f t="shared" si="43"/>
      </c>
      <c r="AI935" s="33">
        <f t="shared" si="44"/>
      </c>
    </row>
    <row r="936" ht="27.6" customHeight="1" spans="1:35" x14ac:dyDescent="0.25">
      <c r="A936" s="27" t="s">
        <v>2840</v>
      </c>
      <c r="B936">
        <f t="shared" si="42"/>
        <v>0</v>
      </c>
      <c r="C936" t="s">
        <v>64</v>
      </c>
      <c r="D936" s="27" t="s">
        <v>102</v>
      </c>
      <c r="E936" t="s">
        <v>3225</v>
      </c>
      <c r="F936" s="28">
        <v>0</v>
      </c>
      <c r="G936" s="29">
        <v>1</v>
      </c>
      <c r="H936" s="30" t="s">
        <v>3227</v>
      </c>
      <c r="I936" t="s">
        <v>65</v>
      </c>
      <c r="J93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145</v>
      </c>
      <c r="L936" t="s">
        <v>146</v>
      </c>
      <c r="N936" s="29">
        <v>1</v>
      </c>
      <c r="P936" s="29">
        <v>1</v>
      </c>
      <c r="R936" s="29">
        <v>1</v>
      </c>
      <c r="S936" t="s">
        <v>70</v>
      </c>
      <c r="T936" t="s">
        <v>72</v>
      </c>
      <c r="U936" s="32">
        <v>30</v>
      </c>
      <c r="V936">
        <v>30</v>
      </c>
      <c r="W936" t="s">
        <v>79</v>
      </c>
      <c r="X936" t="s">
        <v>770</v>
      </c>
      <c r="Y936" t="s">
        <v>3225</v>
      </c>
      <c r="AA936" t="s">
        <v>75</v>
      </c>
      <c r="AC936" t="s">
        <v>83</v>
      </c>
      <c r="AE936" t="s">
        <v>75</v>
      </c>
      <c r="AF936" t="s">
        <v>84</v>
      </c>
      <c r="AG936" t="s">
        <v>84</v>
      </c>
      <c r="AH936" s="33">
        <f t="shared" si="43"/>
      </c>
      <c r="AI936" s="33">
        <f t="shared" si="44"/>
      </c>
    </row>
    <row r="937" ht="27.6" customHeight="1" spans="1:35" x14ac:dyDescent="0.25">
      <c r="A937" s="27" t="s">
        <v>2844</v>
      </c>
      <c r="B937">
        <f t="shared" si="42"/>
        <v>0</v>
      </c>
      <c r="C937" t="s">
        <v>64</v>
      </c>
      <c r="D937" s="27" t="s">
        <v>3228</v>
      </c>
      <c r="E937" t="s">
        <v>3229</v>
      </c>
      <c r="F937" s="28">
        <v>0</v>
      </c>
      <c r="G937" s="29">
        <v>1</v>
      </c>
      <c r="H937" s="30" t="s">
        <v>3230</v>
      </c>
      <c r="I937" t="s">
        <v>65</v>
      </c>
      <c r="J93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145</v>
      </c>
      <c r="L937" t="s">
        <v>146</v>
      </c>
      <c r="N937" s="29">
        <v>1</v>
      </c>
      <c r="P937" s="29">
        <v>1</v>
      </c>
      <c r="R937" s="29">
        <v>1</v>
      </c>
      <c r="S937" t="s">
        <v>70</v>
      </c>
      <c r="T937" t="s">
        <v>72</v>
      </c>
      <c r="U937" s="32">
        <v>30</v>
      </c>
      <c r="V937">
        <v>30</v>
      </c>
      <c r="W937" t="s">
        <v>79</v>
      </c>
      <c r="X937" t="s">
        <v>171</v>
      </c>
      <c r="Y937" t="s">
        <v>3231</v>
      </c>
      <c r="AA937" t="s">
        <v>75</v>
      </c>
      <c r="AC937" t="s">
        <v>83</v>
      </c>
      <c r="AE937" t="s">
        <v>75</v>
      </c>
      <c r="AF937" t="s">
        <v>84</v>
      </c>
      <c r="AG937" t="s">
        <v>84</v>
      </c>
      <c r="AH937" s="33">
        <f t="shared" si="43"/>
      </c>
      <c r="AI937" s="33">
        <f t="shared" si="44"/>
      </c>
    </row>
    <row r="938" ht="27.6" customHeight="1" spans="1:35" x14ac:dyDescent="0.25">
      <c r="A938" s="27" t="s">
        <v>2848</v>
      </c>
      <c r="B938">
        <f t="shared" si="42"/>
        <v>0</v>
      </c>
      <c r="C938" t="s">
        <v>64</v>
      </c>
      <c r="D938" s="27" t="s">
        <v>3228</v>
      </c>
      <c r="E938" t="s">
        <v>3229</v>
      </c>
      <c r="F938" s="28">
        <v>0</v>
      </c>
      <c r="G938" s="29">
        <v>1</v>
      </c>
      <c r="H938" s="30" t="s">
        <v>3232</v>
      </c>
      <c r="I938" t="s">
        <v>65</v>
      </c>
      <c r="J93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145</v>
      </c>
      <c r="L938" t="s">
        <v>146</v>
      </c>
      <c r="N938" s="29">
        <v>1</v>
      </c>
      <c r="P938" s="29">
        <v>1</v>
      </c>
      <c r="R938" s="29">
        <v>1</v>
      </c>
      <c r="S938" t="s">
        <v>70</v>
      </c>
      <c r="T938" t="s">
        <v>72</v>
      </c>
      <c r="U938" s="32">
        <v>30</v>
      </c>
      <c r="V938">
        <v>30</v>
      </c>
      <c r="W938" t="s">
        <v>79</v>
      </c>
      <c r="X938" t="s">
        <v>171</v>
      </c>
      <c r="Y938" t="s">
        <v>3231</v>
      </c>
      <c r="AA938" t="s">
        <v>75</v>
      </c>
      <c r="AC938" t="s">
        <v>83</v>
      </c>
      <c r="AE938" t="s">
        <v>75</v>
      </c>
      <c r="AF938" t="s">
        <v>84</v>
      </c>
      <c r="AG938" t="s">
        <v>84</v>
      </c>
      <c r="AH938" s="33">
        <f t="shared" si="43"/>
      </c>
      <c r="AI938" s="33">
        <f t="shared" si="44"/>
      </c>
    </row>
    <row r="939" ht="27.6" customHeight="1" spans="1:35" x14ac:dyDescent="0.25">
      <c r="A939" s="27" t="s">
        <v>3233</v>
      </c>
      <c r="B939">
        <f t="shared" si="42"/>
        <v>0</v>
      </c>
      <c r="C939" t="s">
        <v>64</v>
      </c>
      <c r="D939" s="27" t="s">
        <v>3234</v>
      </c>
      <c r="E939" t="s">
        <v>3235</v>
      </c>
      <c r="F939" s="28">
        <v>0</v>
      </c>
      <c r="G939" s="29">
        <v>1</v>
      </c>
      <c r="H939" s="30" t="s">
        <v>3236</v>
      </c>
      <c r="I939" t="s">
        <v>65</v>
      </c>
      <c r="J93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145</v>
      </c>
      <c r="L939" t="s">
        <v>146</v>
      </c>
      <c r="N939" s="29">
        <v>1</v>
      </c>
      <c r="P939" s="29">
        <v>1</v>
      </c>
      <c r="R939" s="29">
        <v>1</v>
      </c>
      <c r="S939" t="s">
        <v>70</v>
      </c>
      <c r="T939" t="s">
        <v>72</v>
      </c>
      <c r="U939" s="32">
        <v>30</v>
      </c>
      <c r="V939">
        <v>30</v>
      </c>
      <c r="W939" t="s">
        <v>79</v>
      </c>
      <c r="X939" t="s">
        <v>171</v>
      </c>
      <c r="Y939" t="s">
        <v>3237</v>
      </c>
      <c r="AA939" t="s">
        <v>75</v>
      </c>
      <c r="AC939" t="s">
        <v>83</v>
      </c>
      <c r="AE939" t="s">
        <v>75</v>
      </c>
      <c r="AF939" t="s">
        <v>84</v>
      </c>
      <c r="AG939" t="s">
        <v>84</v>
      </c>
      <c r="AH939" s="33">
        <f t="shared" si="43"/>
      </c>
      <c r="AI939" s="33">
        <f t="shared" si="44"/>
      </c>
    </row>
    <row r="940" ht="27.6" customHeight="1" spans="1:35" x14ac:dyDescent="0.25">
      <c r="A940" s="27" t="s">
        <v>1055</v>
      </c>
      <c r="B940">
        <f t="shared" si="42"/>
        <v>0</v>
      </c>
      <c r="C940" t="s">
        <v>64</v>
      </c>
      <c r="D940" s="27" t="s">
        <v>3238</v>
      </c>
      <c r="E940" t="s">
        <v>3239</v>
      </c>
      <c r="F940" s="28">
        <v>0</v>
      </c>
      <c r="G940" s="29">
        <v>1</v>
      </c>
      <c r="H940" s="30" t="s">
        <v>3240</v>
      </c>
      <c r="I940" t="s">
        <v>65</v>
      </c>
      <c r="J94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145</v>
      </c>
      <c r="L940" t="s">
        <v>146</v>
      </c>
      <c r="N940" s="29">
        <v>1</v>
      </c>
      <c r="P940" s="29">
        <v>1</v>
      </c>
      <c r="R940" s="29">
        <v>1</v>
      </c>
      <c r="S940" t="s">
        <v>70</v>
      </c>
      <c r="T940" t="s">
        <v>72</v>
      </c>
      <c r="U940" s="32">
        <v>30</v>
      </c>
      <c r="V940">
        <v>30</v>
      </c>
      <c r="W940" t="s">
        <v>79</v>
      </c>
      <c r="X940" t="s">
        <v>171</v>
      </c>
      <c r="Y940" t="s">
        <v>3241</v>
      </c>
      <c r="AA940" t="s">
        <v>75</v>
      </c>
      <c r="AC940" t="s">
        <v>83</v>
      </c>
      <c r="AE940" t="s">
        <v>75</v>
      </c>
      <c r="AF940" t="s">
        <v>84</v>
      </c>
      <c r="AG940" t="s">
        <v>84</v>
      </c>
      <c r="AH940" s="33">
        <f t="shared" si="43"/>
      </c>
      <c r="AI940" s="33">
        <f t="shared" si="44"/>
      </c>
    </row>
    <row r="941" ht="27.6" customHeight="1" spans="1:35" x14ac:dyDescent="0.25">
      <c r="A941" s="27" t="s">
        <v>1104</v>
      </c>
      <c r="B941">
        <f t="shared" si="42"/>
        <v>0</v>
      </c>
      <c r="C941" t="s">
        <v>64</v>
      </c>
      <c r="D941" s="27" t="s">
        <v>102</v>
      </c>
      <c r="E941" t="s">
        <v>3242</v>
      </c>
      <c r="F941" s="28">
        <v>0</v>
      </c>
      <c r="G941" s="29">
        <v>1</v>
      </c>
      <c r="H941" s="30" t="s">
        <v>3243</v>
      </c>
      <c r="I941" t="s">
        <v>65</v>
      </c>
      <c r="J94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145</v>
      </c>
      <c r="L941" t="s">
        <v>146</v>
      </c>
      <c r="N941" s="29">
        <v>1</v>
      </c>
      <c r="P941" s="29">
        <v>1</v>
      </c>
      <c r="R941" s="29">
        <v>1</v>
      </c>
      <c r="S941" t="s">
        <v>70</v>
      </c>
      <c r="T941" t="s">
        <v>72</v>
      </c>
      <c r="U941" s="32">
        <v>30</v>
      </c>
      <c r="V941">
        <v>30</v>
      </c>
      <c r="W941" t="s">
        <v>79</v>
      </c>
      <c r="X941" t="s">
        <v>166</v>
      </c>
      <c r="Y941" t="s">
        <v>3244</v>
      </c>
      <c r="AA941" t="s">
        <v>75</v>
      </c>
      <c r="AC941" t="s">
        <v>83</v>
      </c>
      <c r="AE941" t="s">
        <v>75</v>
      </c>
      <c r="AF941" t="s">
        <v>84</v>
      </c>
      <c r="AG941" t="s">
        <v>84</v>
      </c>
      <c r="AH941" s="33">
        <f t="shared" si="43"/>
      </c>
      <c r="AI941" s="33">
        <f t="shared" si="44"/>
      </c>
    </row>
    <row r="942" ht="27.6" customHeight="1" spans="1:35" x14ac:dyDescent="0.25">
      <c r="A942" s="27" t="s">
        <v>152</v>
      </c>
      <c r="B942">
        <f t="shared" si="42"/>
        <v>0</v>
      </c>
      <c r="C942" t="s">
        <v>64</v>
      </c>
      <c r="D942" s="27" t="s">
        <v>3245</v>
      </c>
      <c r="E942" t="s">
        <v>3246</v>
      </c>
      <c r="F942" s="28">
        <v>0</v>
      </c>
      <c r="G942" s="29">
        <v>1</v>
      </c>
      <c r="H942" s="30" t="s">
        <v>3247</v>
      </c>
      <c r="I942" t="s">
        <v>65</v>
      </c>
      <c r="J94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145</v>
      </c>
      <c r="L942" t="s">
        <v>146</v>
      </c>
      <c r="N942" s="29">
        <v>1</v>
      </c>
      <c r="P942" s="29">
        <v>1</v>
      </c>
      <c r="R942" s="29">
        <v>1</v>
      </c>
      <c r="S942" t="s">
        <v>70</v>
      </c>
      <c r="T942" t="s">
        <v>72</v>
      </c>
      <c r="U942" s="32">
        <v>30</v>
      </c>
      <c r="V942">
        <v>30</v>
      </c>
      <c r="W942" t="s">
        <v>79</v>
      </c>
      <c r="X942" t="s">
        <v>770</v>
      </c>
      <c r="Y942" t="s">
        <v>2967</v>
      </c>
      <c r="AA942" t="s">
        <v>75</v>
      </c>
      <c r="AC942" t="s">
        <v>83</v>
      </c>
      <c r="AE942" t="s">
        <v>75</v>
      </c>
      <c r="AF942" t="s">
        <v>84</v>
      </c>
      <c r="AG942" t="s">
        <v>84</v>
      </c>
      <c r="AH942" s="33">
        <f t="shared" si="43"/>
      </c>
      <c r="AI942" s="33">
        <f t="shared" si="44"/>
      </c>
    </row>
    <row r="943" ht="27.6" customHeight="1" spans="1:35" x14ac:dyDescent="0.25">
      <c r="A943" s="27" t="s">
        <v>1123</v>
      </c>
      <c r="B943">
        <f t="shared" si="42"/>
        <v>0</v>
      </c>
      <c r="C943" t="s">
        <v>64</v>
      </c>
      <c r="D943" s="27" t="s">
        <v>102</v>
      </c>
      <c r="E943" t="s">
        <v>3248</v>
      </c>
      <c r="F943" s="28">
        <v>0</v>
      </c>
      <c r="G943" s="29">
        <v>1</v>
      </c>
      <c r="H943" s="30" t="s">
        <v>3249</v>
      </c>
      <c r="I943" t="s">
        <v>65</v>
      </c>
      <c r="J94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145</v>
      </c>
      <c r="L943" t="s">
        <v>146</v>
      </c>
      <c r="N943" s="29">
        <v>1</v>
      </c>
      <c r="P943" s="29">
        <v>1</v>
      </c>
      <c r="R943" s="29">
        <v>1</v>
      </c>
      <c r="S943" t="s">
        <v>70</v>
      </c>
      <c r="T943" t="s">
        <v>72</v>
      </c>
      <c r="U943" s="32">
        <v>30</v>
      </c>
      <c r="V943">
        <v>30</v>
      </c>
      <c r="W943" t="s">
        <v>79</v>
      </c>
      <c r="X943" t="s">
        <v>171</v>
      </c>
      <c r="Y943" t="s">
        <v>3248</v>
      </c>
      <c r="AA943" t="s">
        <v>75</v>
      </c>
      <c r="AC943" t="s">
        <v>83</v>
      </c>
      <c r="AE943" t="s">
        <v>75</v>
      </c>
      <c r="AF943" t="s">
        <v>84</v>
      </c>
      <c r="AG943" t="s">
        <v>84</v>
      </c>
      <c r="AH943" s="33">
        <f t="shared" si="43"/>
      </c>
      <c r="AI943" s="33">
        <f t="shared" si="44"/>
      </c>
    </row>
    <row r="944" ht="27.6" customHeight="1" spans="1:35" x14ac:dyDescent="0.25">
      <c r="A944" s="27" t="s">
        <v>1136</v>
      </c>
      <c r="B944">
        <f t="shared" si="42"/>
        <v>0</v>
      </c>
      <c r="C944" t="s">
        <v>64</v>
      </c>
      <c r="D944" s="27" t="s">
        <v>102</v>
      </c>
      <c r="E944" t="s">
        <v>3250</v>
      </c>
      <c r="F944" s="28">
        <v>0</v>
      </c>
      <c r="G944" s="29">
        <v>1</v>
      </c>
      <c r="H944" s="30" t="s">
        <v>3251</v>
      </c>
      <c r="I944" t="s">
        <v>65</v>
      </c>
      <c r="J94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145</v>
      </c>
      <c r="L944" t="s">
        <v>146</v>
      </c>
      <c r="N944" s="29">
        <v>1</v>
      </c>
      <c r="P944" s="29">
        <v>1</v>
      </c>
      <c r="R944" s="29">
        <v>1</v>
      </c>
      <c r="S944" t="s">
        <v>70</v>
      </c>
      <c r="T944" t="s">
        <v>72</v>
      </c>
      <c r="U944" s="32">
        <v>30</v>
      </c>
      <c r="V944">
        <v>30</v>
      </c>
      <c r="W944" t="s">
        <v>79</v>
      </c>
      <c r="X944" t="s">
        <v>171</v>
      </c>
      <c r="Y944" t="s">
        <v>1139</v>
      </c>
      <c r="AA944" t="s">
        <v>75</v>
      </c>
      <c r="AC944" t="s">
        <v>83</v>
      </c>
      <c r="AE944" t="s">
        <v>75</v>
      </c>
      <c r="AF944" t="s">
        <v>84</v>
      </c>
      <c r="AG944" t="s">
        <v>84</v>
      </c>
      <c r="AH944" s="33">
        <f t="shared" si="43"/>
      </c>
      <c r="AI944" s="33">
        <f t="shared" si="44"/>
      </c>
    </row>
    <row r="945" ht="27.6" customHeight="1" spans="1:35" x14ac:dyDescent="0.25">
      <c r="A945" s="27" t="s">
        <v>3252</v>
      </c>
      <c r="B945">
        <f t="shared" si="42"/>
        <v>0</v>
      </c>
      <c r="C945" t="s">
        <v>64</v>
      </c>
      <c r="D945" s="27" t="s">
        <v>102</v>
      </c>
      <c r="E945" t="s">
        <v>3253</v>
      </c>
      <c r="F945" s="28">
        <v>0</v>
      </c>
      <c r="G945" s="29">
        <v>1</v>
      </c>
      <c r="H945" s="30" t="s">
        <v>3254</v>
      </c>
      <c r="I945" t="s">
        <v>65</v>
      </c>
      <c r="J94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145</v>
      </c>
      <c r="L945" t="s">
        <v>146</v>
      </c>
      <c r="N945" s="29">
        <v>1</v>
      </c>
      <c r="P945" s="29">
        <v>1</v>
      </c>
      <c r="R945" s="29">
        <v>1</v>
      </c>
      <c r="S945" t="s">
        <v>70</v>
      </c>
      <c r="T945" t="s">
        <v>72</v>
      </c>
      <c r="U945" s="32">
        <v>30</v>
      </c>
      <c r="V945">
        <v>30</v>
      </c>
      <c r="W945" t="s">
        <v>79</v>
      </c>
      <c r="X945" t="s">
        <v>770</v>
      </c>
      <c r="Y945" t="s">
        <v>3255</v>
      </c>
      <c r="AA945" t="s">
        <v>75</v>
      </c>
      <c r="AC945" t="s">
        <v>83</v>
      </c>
      <c r="AE945" t="s">
        <v>75</v>
      </c>
      <c r="AF945" t="s">
        <v>84</v>
      </c>
      <c r="AG945" t="s">
        <v>84</v>
      </c>
      <c r="AH945" s="33">
        <f t="shared" si="43"/>
      </c>
      <c r="AI945" s="33">
        <f t="shared" si="44"/>
      </c>
    </row>
    <row r="946" ht="27.6" customHeight="1" spans="1:35" x14ac:dyDescent="0.25">
      <c r="A946" s="27" t="s">
        <v>3256</v>
      </c>
      <c r="B946">
        <f t="shared" si="42"/>
        <v>0</v>
      </c>
      <c r="C946" t="s">
        <v>64</v>
      </c>
      <c r="D946" s="27" t="s">
        <v>102</v>
      </c>
      <c r="E946" t="s">
        <v>3257</v>
      </c>
      <c r="F946" s="28">
        <v>0</v>
      </c>
      <c r="G946" s="29">
        <v>1</v>
      </c>
      <c r="H946" s="30" t="s">
        <v>3258</v>
      </c>
      <c r="I946" t="s">
        <v>65</v>
      </c>
      <c r="J94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145</v>
      </c>
      <c r="L946" t="s">
        <v>146</v>
      </c>
      <c r="N946" s="29">
        <v>1</v>
      </c>
      <c r="P946" s="29">
        <v>1</v>
      </c>
      <c r="R946" s="29">
        <v>1</v>
      </c>
      <c r="S946" t="s">
        <v>70</v>
      </c>
      <c r="T946" t="s">
        <v>72</v>
      </c>
      <c r="U946" s="32">
        <v>30</v>
      </c>
      <c r="V946">
        <v>30</v>
      </c>
      <c r="W946" t="s">
        <v>79</v>
      </c>
      <c r="X946" t="s">
        <v>770</v>
      </c>
      <c r="Y946" t="s">
        <v>3259</v>
      </c>
      <c r="AA946" t="s">
        <v>75</v>
      </c>
      <c r="AC946" t="s">
        <v>83</v>
      </c>
      <c r="AE946" t="s">
        <v>75</v>
      </c>
      <c r="AF946" t="s">
        <v>84</v>
      </c>
      <c r="AG946" t="s">
        <v>84</v>
      </c>
      <c r="AH946" s="33">
        <f t="shared" si="43"/>
      </c>
      <c r="AI946" s="33">
        <f t="shared" si="44"/>
      </c>
    </row>
    <row r="947" ht="27.6" customHeight="1" spans="1:35" x14ac:dyDescent="0.25">
      <c r="A947" s="27" t="s">
        <v>3260</v>
      </c>
      <c r="B947">
        <f t="shared" si="42"/>
        <v>0</v>
      </c>
      <c r="C947" t="s">
        <v>64</v>
      </c>
      <c r="D947" s="27" t="s">
        <v>102</v>
      </c>
      <c r="E947" t="s">
        <v>3261</v>
      </c>
      <c r="F947" s="28">
        <v>0</v>
      </c>
      <c r="G947" s="29">
        <v>1</v>
      </c>
      <c r="H947" s="30" t="s">
        <v>3262</v>
      </c>
      <c r="I947" t="s">
        <v>65</v>
      </c>
      <c r="J94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145</v>
      </c>
      <c r="L947" t="s">
        <v>146</v>
      </c>
      <c r="N947" s="29">
        <v>1</v>
      </c>
      <c r="P947" s="29">
        <v>1</v>
      </c>
      <c r="R947" s="29">
        <v>1</v>
      </c>
      <c r="S947" t="s">
        <v>70</v>
      </c>
      <c r="T947" t="s">
        <v>72</v>
      </c>
      <c r="U947" s="32">
        <v>30</v>
      </c>
      <c r="V947">
        <v>30</v>
      </c>
      <c r="W947" t="s">
        <v>79</v>
      </c>
      <c r="X947" t="s">
        <v>770</v>
      </c>
      <c r="Y947" t="s">
        <v>3263</v>
      </c>
      <c r="AA947" t="s">
        <v>75</v>
      </c>
      <c r="AC947" t="s">
        <v>83</v>
      </c>
      <c r="AE947" t="s">
        <v>75</v>
      </c>
      <c r="AF947" t="s">
        <v>84</v>
      </c>
      <c r="AG947" t="s">
        <v>84</v>
      </c>
      <c r="AH947" s="33">
        <f t="shared" si="43"/>
      </c>
      <c r="AI947" s="33">
        <f t="shared" si="44"/>
      </c>
    </row>
    <row r="948" ht="27.6" customHeight="1" spans="1:35" x14ac:dyDescent="0.25">
      <c r="A948" s="27" t="s">
        <v>3264</v>
      </c>
      <c r="B948">
        <f t="shared" si="42"/>
        <v>0</v>
      </c>
      <c r="C948" t="s">
        <v>64</v>
      </c>
      <c r="D948" s="27" t="s">
        <v>102</v>
      </c>
      <c r="E948" t="s">
        <v>3265</v>
      </c>
      <c r="F948" s="28">
        <v>0</v>
      </c>
      <c r="G948" s="29">
        <v>1</v>
      </c>
      <c r="H948" s="30" t="s">
        <v>3266</v>
      </c>
      <c r="I948" t="s">
        <v>65</v>
      </c>
      <c r="J94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145</v>
      </c>
      <c r="L948" t="s">
        <v>146</v>
      </c>
      <c r="N948" s="29">
        <v>1</v>
      </c>
      <c r="P948" s="29">
        <v>1</v>
      </c>
      <c r="R948" s="29">
        <v>1</v>
      </c>
      <c r="S948" t="s">
        <v>70</v>
      </c>
      <c r="T948" t="s">
        <v>72</v>
      </c>
      <c r="U948" s="32">
        <v>30</v>
      </c>
      <c r="V948">
        <v>30</v>
      </c>
      <c r="W948" t="s">
        <v>79</v>
      </c>
      <c r="X948" t="s">
        <v>770</v>
      </c>
      <c r="Y948" t="s">
        <v>3267</v>
      </c>
      <c r="AA948" t="s">
        <v>75</v>
      </c>
      <c r="AC948" t="s">
        <v>83</v>
      </c>
      <c r="AE948" t="s">
        <v>75</v>
      </c>
      <c r="AF948" t="s">
        <v>84</v>
      </c>
      <c r="AG948" t="s">
        <v>84</v>
      </c>
      <c r="AH948" s="33">
        <f t="shared" si="43"/>
      </c>
      <c r="AI948" s="33">
        <f t="shared" si="44"/>
      </c>
    </row>
    <row r="949" ht="27.6" customHeight="1" spans="1:35" x14ac:dyDescent="0.25">
      <c r="A949" s="27" t="s">
        <v>3268</v>
      </c>
      <c r="B949">
        <f t="shared" si="42"/>
        <v>0</v>
      </c>
      <c r="C949" t="s">
        <v>64</v>
      </c>
      <c r="D949" s="27" t="s">
        <v>102</v>
      </c>
      <c r="E949" t="s">
        <v>3269</v>
      </c>
      <c r="F949" s="28">
        <v>0</v>
      </c>
      <c r="G949" s="29">
        <v>1</v>
      </c>
      <c r="H949" s="30" t="s">
        <v>3270</v>
      </c>
      <c r="I949" t="s">
        <v>65</v>
      </c>
      <c r="J94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145</v>
      </c>
      <c r="L949" t="s">
        <v>146</v>
      </c>
      <c r="N949" s="29">
        <v>1</v>
      </c>
      <c r="P949" s="29">
        <v>1</v>
      </c>
      <c r="R949" s="29">
        <v>1</v>
      </c>
      <c r="S949" t="s">
        <v>70</v>
      </c>
      <c r="T949" t="s">
        <v>72</v>
      </c>
      <c r="U949" s="32">
        <v>30</v>
      </c>
      <c r="V949">
        <v>30</v>
      </c>
      <c r="W949" t="s">
        <v>79</v>
      </c>
      <c r="X949" t="s">
        <v>770</v>
      </c>
      <c r="Y949" t="s">
        <v>3271</v>
      </c>
      <c r="AA949" t="s">
        <v>75</v>
      </c>
      <c r="AC949" t="s">
        <v>83</v>
      </c>
      <c r="AE949" t="s">
        <v>75</v>
      </c>
      <c r="AF949" t="s">
        <v>84</v>
      </c>
      <c r="AG949" t="s">
        <v>84</v>
      </c>
      <c r="AH949" s="33">
        <f t="shared" si="43"/>
      </c>
      <c r="AI949" s="33">
        <f t="shared" si="44"/>
      </c>
    </row>
    <row r="950" ht="27.6" customHeight="1" spans="1:35" x14ac:dyDescent="0.25">
      <c r="A950" s="27" t="s">
        <v>3272</v>
      </c>
      <c r="B950">
        <f t="shared" si="42"/>
        <v>0</v>
      </c>
      <c r="C950" t="s">
        <v>64</v>
      </c>
      <c r="D950" s="27" t="s">
        <v>102</v>
      </c>
      <c r="E950" t="s">
        <v>3273</v>
      </c>
      <c r="F950" s="28">
        <v>0</v>
      </c>
      <c r="G950" s="29">
        <v>1</v>
      </c>
      <c r="H950" s="30" t="s">
        <v>3274</v>
      </c>
      <c r="I950" t="s">
        <v>65</v>
      </c>
      <c r="J95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145</v>
      </c>
      <c r="L950" t="s">
        <v>146</v>
      </c>
      <c r="N950" s="29">
        <v>1</v>
      </c>
      <c r="P950" s="29">
        <v>1</v>
      </c>
      <c r="R950" s="29">
        <v>1</v>
      </c>
      <c r="S950" t="s">
        <v>70</v>
      </c>
      <c r="T950" t="s">
        <v>72</v>
      </c>
      <c r="U950" s="32">
        <v>30</v>
      </c>
      <c r="V950">
        <v>30</v>
      </c>
      <c r="W950" t="s">
        <v>79</v>
      </c>
      <c r="X950" t="s">
        <v>770</v>
      </c>
      <c r="Y950" t="s">
        <v>3275</v>
      </c>
      <c r="AA950" t="s">
        <v>75</v>
      </c>
      <c r="AC950" t="s">
        <v>83</v>
      </c>
      <c r="AE950" t="s">
        <v>75</v>
      </c>
      <c r="AF950" t="s">
        <v>84</v>
      </c>
      <c r="AG950" t="s">
        <v>84</v>
      </c>
      <c r="AH950" s="33">
        <f t="shared" si="43"/>
      </c>
      <c r="AI950" s="33">
        <f t="shared" si="44"/>
      </c>
    </row>
    <row r="951" ht="27.6" customHeight="1" spans="1:35" x14ac:dyDescent="0.25">
      <c r="A951" s="27" t="s">
        <v>2885</v>
      </c>
      <c r="B951">
        <f t="shared" si="42"/>
        <v>0</v>
      </c>
      <c r="C951" t="s">
        <v>64</v>
      </c>
      <c r="D951" s="27" t="s">
        <v>102</v>
      </c>
      <c r="E951" t="s">
        <v>3276</v>
      </c>
      <c r="F951" s="28">
        <v>0</v>
      </c>
      <c r="G951" s="29">
        <v>1</v>
      </c>
      <c r="H951" s="30" t="s">
        <v>3277</v>
      </c>
      <c r="I951" t="s">
        <v>65</v>
      </c>
      <c r="J95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145</v>
      </c>
      <c r="L951" t="s">
        <v>146</v>
      </c>
      <c r="N951" s="29">
        <v>1</v>
      </c>
      <c r="P951" s="29">
        <v>1</v>
      </c>
      <c r="R951" s="29">
        <v>1</v>
      </c>
      <c r="S951" t="s">
        <v>70</v>
      </c>
      <c r="T951" t="s">
        <v>72</v>
      </c>
      <c r="U951" s="32">
        <v>30</v>
      </c>
      <c r="V951">
        <v>30</v>
      </c>
      <c r="W951" t="s">
        <v>79</v>
      </c>
      <c r="X951" t="s">
        <v>770</v>
      </c>
      <c r="Y951" t="s">
        <v>3278</v>
      </c>
      <c r="AA951" t="s">
        <v>75</v>
      </c>
      <c r="AC951" t="s">
        <v>83</v>
      </c>
      <c r="AE951" t="s">
        <v>75</v>
      </c>
      <c r="AF951" t="s">
        <v>84</v>
      </c>
      <c r="AG951" t="s">
        <v>84</v>
      </c>
      <c r="AH951" s="33">
        <f t="shared" si="43"/>
      </c>
      <c r="AI951" s="33">
        <f t="shared" si="44"/>
      </c>
    </row>
    <row r="952" ht="27.6" customHeight="1" spans="1:35" x14ac:dyDescent="0.25">
      <c r="A952" s="27" t="s">
        <v>3279</v>
      </c>
      <c r="B952">
        <f t="shared" si="42"/>
        <v>0</v>
      </c>
      <c r="C952" t="s">
        <v>64</v>
      </c>
      <c r="D952" s="27" t="s">
        <v>102</v>
      </c>
      <c r="E952" t="s">
        <v>3280</v>
      </c>
      <c r="F952" s="28">
        <v>0</v>
      </c>
      <c r="G952" s="29">
        <v>1</v>
      </c>
      <c r="H952" s="30" t="s">
        <v>3281</v>
      </c>
      <c r="I952" t="s">
        <v>65</v>
      </c>
      <c r="J95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145</v>
      </c>
      <c r="L952" t="s">
        <v>146</v>
      </c>
      <c r="N952" s="29">
        <v>1</v>
      </c>
      <c r="P952" s="29">
        <v>1</v>
      </c>
      <c r="R952" s="29">
        <v>1</v>
      </c>
      <c r="S952" t="s">
        <v>70</v>
      </c>
      <c r="T952" t="s">
        <v>72</v>
      </c>
      <c r="U952" s="32">
        <v>30</v>
      </c>
      <c r="V952">
        <v>30</v>
      </c>
      <c r="W952" t="s">
        <v>79</v>
      </c>
      <c r="X952" t="s">
        <v>770</v>
      </c>
      <c r="Y952" t="s">
        <v>2989</v>
      </c>
      <c r="AA952" t="s">
        <v>75</v>
      </c>
      <c r="AC952" t="s">
        <v>83</v>
      </c>
      <c r="AE952" t="s">
        <v>75</v>
      </c>
      <c r="AF952" t="s">
        <v>84</v>
      </c>
      <c r="AG952" t="s">
        <v>84</v>
      </c>
      <c r="AH952" s="33">
        <f t="shared" si="43"/>
      </c>
      <c r="AI952" s="33">
        <f t="shared" si="44"/>
      </c>
    </row>
    <row r="953" ht="27.6" customHeight="1" spans="1:35" x14ac:dyDescent="0.25">
      <c r="A953" s="27" t="s">
        <v>3282</v>
      </c>
      <c r="B953">
        <f t="shared" si="42"/>
        <v>0</v>
      </c>
      <c r="C953" t="s">
        <v>64</v>
      </c>
      <c r="D953" s="27" t="s">
        <v>102</v>
      </c>
      <c r="E953" t="s">
        <v>3283</v>
      </c>
      <c r="F953" s="28">
        <v>0</v>
      </c>
      <c r="G953" s="29">
        <v>1</v>
      </c>
      <c r="H953" s="30" t="s">
        <v>3284</v>
      </c>
      <c r="I953" t="s">
        <v>65</v>
      </c>
      <c r="J95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145</v>
      </c>
      <c r="L953" t="s">
        <v>146</v>
      </c>
      <c r="N953" s="29">
        <v>1</v>
      </c>
      <c r="P953" s="29">
        <v>1</v>
      </c>
      <c r="R953" s="29">
        <v>1</v>
      </c>
      <c r="S953" t="s">
        <v>70</v>
      </c>
      <c r="T953" t="s">
        <v>72</v>
      </c>
      <c r="U953" s="32">
        <v>30</v>
      </c>
      <c r="V953">
        <v>30</v>
      </c>
      <c r="W953" t="s">
        <v>79</v>
      </c>
      <c r="X953" t="s">
        <v>770</v>
      </c>
      <c r="Y953" t="s">
        <v>3285</v>
      </c>
      <c r="AA953" t="s">
        <v>75</v>
      </c>
      <c r="AC953" t="s">
        <v>83</v>
      </c>
      <c r="AE953" t="s">
        <v>75</v>
      </c>
      <c r="AF953" t="s">
        <v>84</v>
      </c>
      <c r="AG953" t="s">
        <v>84</v>
      </c>
      <c r="AH953" s="33">
        <f t="shared" si="43"/>
      </c>
      <c r="AI953" s="33">
        <f t="shared" si="44"/>
      </c>
    </row>
    <row r="954" ht="27.6" customHeight="1" spans="1:35" x14ac:dyDescent="0.25">
      <c r="A954" s="27" t="s">
        <v>3286</v>
      </c>
      <c r="B954">
        <f t="shared" si="42"/>
        <v>0</v>
      </c>
      <c r="C954" t="s">
        <v>64</v>
      </c>
      <c r="D954" s="27" t="s">
        <v>102</v>
      </c>
      <c r="E954" t="s">
        <v>3287</v>
      </c>
      <c r="F954" s="28">
        <v>0</v>
      </c>
      <c r="G954" s="29">
        <v>1</v>
      </c>
      <c r="H954" s="30" t="s">
        <v>3288</v>
      </c>
      <c r="I954" t="s">
        <v>65</v>
      </c>
      <c r="J95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145</v>
      </c>
      <c r="L954" t="s">
        <v>146</v>
      </c>
      <c r="N954" s="29">
        <v>1</v>
      </c>
      <c r="P954" s="29">
        <v>1</v>
      </c>
      <c r="R954" s="29">
        <v>1</v>
      </c>
      <c r="S954" t="s">
        <v>70</v>
      </c>
      <c r="T954" t="s">
        <v>72</v>
      </c>
      <c r="U954" s="32">
        <v>30</v>
      </c>
      <c r="V954">
        <v>30</v>
      </c>
      <c r="W954" t="s">
        <v>79</v>
      </c>
      <c r="X954" t="s">
        <v>770</v>
      </c>
      <c r="Y954" t="s">
        <v>3289</v>
      </c>
      <c r="AA954" t="s">
        <v>75</v>
      </c>
      <c r="AC954" t="s">
        <v>83</v>
      </c>
      <c r="AE954" t="s">
        <v>75</v>
      </c>
      <c r="AF954" t="s">
        <v>84</v>
      </c>
      <c r="AG954" t="s">
        <v>84</v>
      </c>
      <c r="AH954" s="33">
        <f t="shared" si="43"/>
      </c>
      <c r="AI954" s="33">
        <f t="shared" si="44"/>
      </c>
    </row>
    <row r="955" ht="27.6" customHeight="1" spans="1:35" x14ac:dyDescent="0.25">
      <c r="A955" s="27" t="s">
        <v>3290</v>
      </c>
      <c r="B955">
        <f t="shared" si="42"/>
        <v>0</v>
      </c>
      <c r="C955" t="s">
        <v>64</v>
      </c>
      <c r="D955" s="27" t="s">
        <v>102</v>
      </c>
      <c r="E955" t="s">
        <v>3291</v>
      </c>
      <c r="F955" s="28">
        <v>0</v>
      </c>
      <c r="G955" s="29">
        <v>1</v>
      </c>
      <c r="H955" s="30" t="s">
        <v>3292</v>
      </c>
      <c r="I955" t="s">
        <v>65</v>
      </c>
      <c r="J95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145</v>
      </c>
      <c r="L955" t="s">
        <v>146</v>
      </c>
      <c r="N955" s="29">
        <v>1</v>
      </c>
      <c r="P955" s="29">
        <v>1</v>
      </c>
      <c r="R955" s="29">
        <v>1</v>
      </c>
      <c r="S955" t="s">
        <v>70</v>
      </c>
      <c r="T955" t="s">
        <v>72</v>
      </c>
      <c r="U955" s="32">
        <v>30</v>
      </c>
      <c r="V955">
        <v>30</v>
      </c>
      <c r="W955" t="s">
        <v>79</v>
      </c>
      <c r="X955" t="s">
        <v>770</v>
      </c>
      <c r="Y955" t="s">
        <v>3293</v>
      </c>
      <c r="AA955" t="s">
        <v>75</v>
      </c>
      <c r="AC955" t="s">
        <v>83</v>
      </c>
      <c r="AE955" t="s">
        <v>75</v>
      </c>
      <c r="AF955" t="s">
        <v>84</v>
      </c>
      <c r="AG955" t="s">
        <v>84</v>
      </c>
      <c r="AH955" s="33">
        <f t="shared" si="43"/>
      </c>
      <c r="AI955" s="33">
        <f t="shared" si="44"/>
      </c>
    </row>
    <row r="956" ht="27.6" customHeight="1" spans="1:35" x14ac:dyDescent="0.25">
      <c r="A956" s="27" t="s">
        <v>3294</v>
      </c>
      <c r="B956">
        <f t="shared" si="42"/>
        <v>0</v>
      </c>
      <c r="C956" t="s">
        <v>64</v>
      </c>
      <c r="D956" s="27" t="s">
        <v>102</v>
      </c>
      <c r="E956" t="s">
        <v>3295</v>
      </c>
      <c r="F956" s="28">
        <v>0</v>
      </c>
      <c r="G956" s="29">
        <v>1</v>
      </c>
      <c r="H956" s="30" t="s">
        <v>3296</v>
      </c>
      <c r="I956" t="s">
        <v>65</v>
      </c>
      <c r="J95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145</v>
      </c>
      <c r="L956" t="s">
        <v>146</v>
      </c>
      <c r="N956" s="29">
        <v>1</v>
      </c>
      <c r="P956" s="29">
        <v>1</v>
      </c>
      <c r="R956" s="29">
        <v>1</v>
      </c>
      <c r="S956" t="s">
        <v>70</v>
      </c>
      <c r="T956" t="s">
        <v>72</v>
      </c>
      <c r="U956" s="32">
        <v>30</v>
      </c>
      <c r="V956">
        <v>30</v>
      </c>
      <c r="W956" t="s">
        <v>79</v>
      </c>
      <c r="X956" t="s">
        <v>770</v>
      </c>
      <c r="Y956" t="s">
        <v>3297</v>
      </c>
      <c r="AA956" t="s">
        <v>75</v>
      </c>
      <c r="AC956" t="s">
        <v>83</v>
      </c>
      <c r="AE956" t="s">
        <v>75</v>
      </c>
      <c r="AF956" t="s">
        <v>84</v>
      </c>
      <c r="AG956" t="s">
        <v>84</v>
      </c>
      <c r="AH956" s="33">
        <f t="shared" si="43"/>
      </c>
      <c r="AI956" s="33">
        <f t="shared" si="44"/>
      </c>
    </row>
    <row r="957" ht="27.6" customHeight="1" spans="1:35" x14ac:dyDescent="0.25">
      <c r="A957" s="27" t="s">
        <v>3298</v>
      </c>
      <c r="B957">
        <f t="shared" si="42"/>
        <v>0</v>
      </c>
      <c r="C957" t="s">
        <v>64</v>
      </c>
      <c r="D957" s="27" t="s">
        <v>102</v>
      </c>
      <c r="E957" t="s">
        <v>3299</v>
      </c>
      <c r="F957" s="28">
        <v>0</v>
      </c>
      <c r="G957" s="29">
        <v>1</v>
      </c>
      <c r="H957" s="30" t="s">
        <v>3300</v>
      </c>
      <c r="I957" t="s">
        <v>65</v>
      </c>
      <c r="J95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145</v>
      </c>
      <c r="L957" t="s">
        <v>146</v>
      </c>
      <c r="N957" s="29">
        <v>1</v>
      </c>
      <c r="P957" s="29">
        <v>1</v>
      </c>
      <c r="R957" s="29">
        <v>1</v>
      </c>
      <c r="S957" t="s">
        <v>70</v>
      </c>
      <c r="T957" t="s">
        <v>72</v>
      </c>
      <c r="U957" s="32">
        <v>30</v>
      </c>
      <c r="V957">
        <v>30</v>
      </c>
      <c r="W957" t="s">
        <v>79</v>
      </c>
      <c r="X957" t="s">
        <v>770</v>
      </c>
      <c r="Y957" t="s">
        <v>3299</v>
      </c>
      <c r="AA957" t="s">
        <v>75</v>
      </c>
      <c r="AC957" t="s">
        <v>83</v>
      </c>
      <c r="AE957" t="s">
        <v>75</v>
      </c>
      <c r="AF957" t="s">
        <v>84</v>
      </c>
      <c r="AG957" t="s">
        <v>84</v>
      </c>
      <c r="AH957" s="33">
        <f t="shared" si="43"/>
      </c>
      <c r="AI957" s="33">
        <f t="shared" si="44"/>
      </c>
    </row>
    <row r="958" ht="27.6" customHeight="1" spans="1:35" x14ac:dyDescent="0.25">
      <c r="A958" s="27" t="s">
        <v>3301</v>
      </c>
      <c r="B958">
        <f t="shared" si="42"/>
        <v>0</v>
      </c>
      <c r="C958" t="s">
        <v>64</v>
      </c>
      <c r="D958" s="27" t="s">
        <v>102</v>
      </c>
      <c r="E958" t="s">
        <v>3302</v>
      </c>
      <c r="F958" s="28">
        <v>0</v>
      </c>
      <c r="G958" s="29">
        <v>1</v>
      </c>
      <c r="H958" s="30" t="s">
        <v>3303</v>
      </c>
      <c r="I958" t="s">
        <v>65</v>
      </c>
      <c r="J95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145</v>
      </c>
      <c r="L958" t="s">
        <v>146</v>
      </c>
      <c r="N958" s="29">
        <v>1</v>
      </c>
      <c r="P958" s="29">
        <v>1</v>
      </c>
      <c r="R958" s="29">
        <v>1</v>
      </c>
      <c r="S958" t="s">
        <v>70</v>
      </c>
      <c r="T958" t="s">
        <v>72</v>
      </c>
      <c r="U958" s="32">
        <v>30</v>
      </c>
      <c r="V958">
        <v>30</v>
      </c>
      <c r="W958" t="s">
        <v>79</v>
      </c>
      <c r="X958" t="s">
        <v>770</v>
      </c>
      <c r="Y958" t="s">
        <v>3302</v>
      </c>
      <c r="AA958" t="s">
        <v>75</v>
      </c>
      <c r="AC958" t="s">
        <v>83</v>
      </c>
      <c r="AE958" t="s">
        <v>75</v>
      </c>
      <c r="AF958" t="s">
        <v>84</v>
      </c>
      <c r="AG958" t="s">
        <v>84</v>
      </c>
      <c r="AH958" s="33">
        <f t="shared" si="43"/>
      </c>
      <c r="AI958" s="33">
        <f t="shared" si="44"/>
      </c>
    </row>
    <row r="959" ht="27.6" customHeight="1" spans="1:35" x14ac:dyDescent="0.25">
      <c r="A959" s="27" t="s">
        <v>1310</v>
      </c>
      <c r="B959">
        <f t="shared" si="42"/>
        <v>0</v>
      </c>
      <c r="C959" t="s">
        <v>64</v>
      </c>
      <c r="D959" s="27" t="s">
        <v>102</v>
      </c>
      <c r="E959" t="s">
        <v>3304</v>
      </c>
      <c r="F959" s="28">
        <v>0</v>
      </c>
      <c r="G959" s="29">
        <v>1</v>
      </c>
      <c r="H959" s="30" t="s">
        <v>3305</v>
      </c>
      <c r="I959" t="s">
        <v>65</v>
      </c>
      <c r="J95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145</v>
      </c>
      <c r="L959" t="s">
        <v>146</v>
      </c>
      <c r="N959" s="29">
        <v>1</v>
      </c>
      <c r="P959" s="29">
        <v>1</v>
      </c>
      <c r="R959" s="29">
        <v>1</v>
      </c>
      <c r="S959" t="s">
        <v>70</v>
      </c>
      <c r="T959" t="s">
        <v>72</v>
      </c>
      <c r="U959" s="32">
        <v>30</v>
      </c>
      <c r="V959">
        <v>30</v>
      </c>
      <c r="W959" t="s">
        <v>79</v>
      </c>
      <c r="X959" t="s">
        <v>770</v>
      </c>
      <c r="Y959" t="s">
        <v>3306</v>
      </c>
      <c r="AA959" t="s">
        <v>75</v>
      </c>
      <c r="AC959" t="s">
        <v>83</v>
      </c>
      <c r="AE959" t="s">
        <v>75</v>
      </c>
      <c r="AF959" t="s">
        <v>84</v>
      </c>
      <c r="AG959" t="s">
        <v>84</v>
      </c>
      <c r="AH959" s="33">
        <f t="shared" si="43"/>
      </c>
      <c r="AI959" s="33">
        <f t="shared" si="44"/>
      </c>
    </row>
    <row r="960" ht="27.6" customHeight="1" spans="1:35" x14ac:dyDescent="0.25">
      <c r="A960" s="27" t="s">
        <v>3307</v>
      </c>
      <c r="B960">
        <f t="shared" si="42"/>
        <v>0</v>
      </c>
      <c r="C960" t="s">
        <v>64</v>
      </c>
      <c r="D960" s="27" t="s">
        <v>102</v>
      </c>
      <c r="E960" t="s">
        <v>3308</v>
      </c>
      <c r="F960" s="28">
        <v>0</v>
      </c>
      <c r="G960" s="29">
        <v>1</v>
      </c>
      <c r="H960" s="30" t="s">
        <v>3309</v>
      </c>
      <c r="I960" t="s">
        <v>65</v>
      </c>
      <c r="J96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145</v>
      </c>
      <c r="L960" t="s">
        <v>146</v>
      </c>
      <c r="N960" s="29">
        <v>1</v>
      </c>
      <c r="P960" s="29">
        <v>1</v>
      </c>
      <c r="R960" s="29">
        <v>1</v>
      </c>
      <c r="S960" t="s">
        <v>70</v>
      </c>
      <c r="T960" t="s">
        <v>72</v>
      </c>
      <c r="U960" s="32">
        <v>30</v>
      </c>
      <c r="V960">
        <v>30</v>
      </c>
      <c r="W960" t="s">
        <v>79</v>
      </c>
      <c r="X960" t="s">
        <v>770</v>
      </c>
      <c r="Y960" t="s">
        <v>3308</v>
      </c>
      <c r="AA960" t="s">
        <v>75</v>
      </c>
      <c r="AC960" t="s">
        <v>83</v>
      </c>
      <c r="AE960" t="s">
        <v>75</v>
      </c>
      <c r="AF960" t="s">
        <v>84</v>
      </c>
      <c r="AG960" t="s">
        <v>84</v>
      </c>
      <c r="AH960" s="33">
        <f t="shared" si="43"/>
      </c>
      <c r="AI960" s="33">
        <f t="shared" si="44"/>
      </c>
    </row>
    <row r="961" ht="27.6" customHeight="1" spans="1:35" x14ac:dyDescent="0.25">
      <c r="A961" s="27" t="s">
        <v>3310</v>
      </c>
      <c r="B961">
        <f t="shared" si="42"/>
        <v>0</v>
      </c>
      <c r="C961" t="s">
        <v>64</v>
      </c>
      <c r="D961" s="27" t="s">
        <v>102</v>
      </c>
      <c r="E961" t="s">
        <v>3311</v>
      </c>
      <c r="F961" s="28">
        <v>0</v>
      </c>
      <c r="G961" s="29">
        <v>1</v>
      </c>
      <c r="H961" s="30" t="s">
        <v>3312</v>
      </c>
      <c r="I961" t="s">
        <v>65</v>
      </c>
      <c r="J96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145</v>
      </c>
      <c r="L961" t="s">
        <v>146</v>
      </c>
      <c r="N961" s="29">
        <v>1</v>
      </c>
      <c r="P961" s="29">
        <v>1</v>
      </c>
      <c r="R961" s="29">
        <v>1</v>
      </c>
      <c r="S961" t="s">
        <v>70</v>
      </c>
      <c r="T961" t="s">
        <v>72</v>
      </c>
      <c r="U961" s="32">
        <v>30</v>
      </c>
      <c r="V961">
        <v>30</v>
      </c>
      <c r="W961" t="s">
        <v>79</v>
      </c>
      <c r="X961" t="s">
        <v>770</v>
      </c>
      <c r="Y961" t="s">
        <v>3311</v>
      </c>
      <c r="AA961" t="s">
        <v>75</v>
      </c>
      <c r="AC961" t="s">
        <v>83</v>
      </c>
      <c r="AE961" t="s">
        <v>75</v>
      </c>
      <c r="AF961" t="s">
        <v>84</v>
      </c>
      <c r="AG961" t="s">
        <v>84</v>
      </c>
      <c r="AH961" s="33">
        <f t="shared" si="43"/>
      </c>
      <c r="AI961" s="33">
        <f t="shared" si="44"/>
      </c>
    </row>
    <row r="962" ht="27.6" customHeight="1" spans="1:35" x14ac:dyDescent="0.25">
      <c r="A962" s="27" t="s">
        <v>760</v>
      </c>
      <c r="B962">
        <f t="shared" si="42"/>
        <v>0</v>
      </c>
      <c r="C962" t="s">
        <v>64</v>
      </c>
      <c r="D962" s="27" t="s">
        <v>102</v>
      </c>
      <c r="E962" t="s">
        <v>3313</v>
      </c>
      <c r="F962" s="28">
        <v>2</v>
      </c>
      <c r="G962" s="29">
        <v>1</v>
      </c>
      <c r="H962" s="30" t="s">
        <v>3314</v>
      </c>
      <c r="I962" t="s">
        <v>65</v>
      </c>
      <c r="J96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145</v>
      </c>
      <c r="L962" t="s">
        <v>146</v>
      </c>
      <c r="N962" s="29">
        <v>1</v>
      </c>
      <c r="P962" s="29">
        <v>1</v>
      </c>
      <c r="R962" s="29">
        <v>1</v>
      </c>
      <c r="S962" t="s">
        <v>70</v>
      </c>
      <c r="T962" t="s">
        <v>72</v>
      </c>
      <c r="U962" s="32">
        <v>30</v>
      </c>
      <c r="V962">
        <v>30</v>
      </c>
      <c r="W962" t="s">
        <v>79</v>
      </c>
      <c r="X962" t="s">
        <v>166</v>
      </c>
      <c r="Y962" t="s">
        <v>3313</v>
      </c>
      <c r="AA962" t="s">
        <v>75</v>
      </c>
      <c r="AC962" t="s">
        <v>83</v>
      </c>
      <c r="AE962" t="s">
        <v>75</v>
      </c>
      <c r="AF962" t="s">
        <v>84</v>
      </c>
      <c r="AG962" t="s">
        <v>84</v>
      </c>
      <c r="AH962" s="33">
        <f t="shared" si="43"/>
      </c>
      <c r="AI962" s="33">
        <f t="shared" si="44"/>
      </c>
    </row>
    <row r="963" ht="27.6" customHeight="1" spans="1:35" x14ac:dyDescent="0.25">
      <c r="A963" s="27" t="s">
        <v>3315</v>
      </c>
      <c r="B963">
        <f t="shared" si="42"/>
        <v>0</v>
      </c>
      <c r="C963" t="s">
        <v>64</v>
      </c>
      <c r="D963" s="27" t="s">
        <v>3316</v>
      </c>
      <c r="E963" t="s">
        <v>3317</v>
      </c>
      <c r="F963" s="28">
        <v>0</v>
      </c>
      <c r="G963" s="29">
        <v>1</v>
      </c>
      <c r="H963" s="30" t="s">
        <v>3318</v>
      </c>
      <c r="I963" t="s">
        <v>65</v>
      </c>
      <c r="J96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145</v>
      </c>
      <c r="L963" t="s">
        <v>146</v>
      </c>
      <c r="N963" s="29">
        <v>1</v>
      </c>
      <c r="P963" s="29">
        <v>1</v>
      </c>
      <c r="R963" s="29">
        <v>1</v>
      </c>
      <c r="S963" t="s">
        <v>70</v>
      </c>
      <c r="T963" t="s">
        <v>72</v>
      </c>
      <c r="U963" s="32">
        <v>30</v>
      </c>
      <c r="V963">
        <v>30</v>
      </c>
      <c r="W963" t="s">
        <v>79</v>
      </c>
      <c r="X963" t="s">
        <v>240</v>
      </c>
      <c r="Y963" t="s">
        <v>3319</v>
      </c>
      <c r="AA963" t="s">
        <v>75</v>
      </c>
      <c r="AC963" t="s">
        <v>83</v>
      </c>
      <c r="AE963" t="s">
        <v>75</v>
      </c>
      <c r="AF963" t="s">
        <v>84</v>
      </c>
      <c r="AG963" t="s">
        <v>84</v>
      </c>
      <c r="AH963" s="33">
        <f t="shared" si="43"/>
      </c>
      <c r="AI963" s="33">
        <f t="shared" si="44"/>
      </c>
    </row>
    <row r="964" ht="27.6" customHeight="1" spans="1:35" x14ac:dyDescent="0.25">
      <c r="A964" s="27" t="s">
        <v>2505</v>
      </c>
      <c r="B964">
        <f t="shared" si="42"/>
        <v>0</v>
      </c>
      <c r="C964" t="s">
        <v>64</v>
      </c>
      <c r="D964" s="27" t="s">
        <v>102</v>
      </c>
      <c r="E964" t="s">
        <v>3320</v>
      </c>
      <c r="F964" s="28">
        <v>0</v>
      </c>
      <c r="G964" s="29">
        <v>1</v>
      </c>
      <c r="H964" s="30" t="s">
        <v>3321</v>
      </c>
      <c r="I964" t="s">
        <v>65</v>
      </c>
      <c r="J96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145</v>
      </c>
      <c r="L964" t="s">
        <v>146</v>
      </c>
      <c r="N964" s="29">
        <v>1</v>
      </c>
      <c r="P964" s="29">
        <v>1</v>
      </c>
      <c r="R964" s="29">
        <v>1</v>
      </c>
      <c r="S964" t="s">
        <v>70</v>
      </c>
      <c r="T964" t="s">
        <v>72</v>
      </c>
      <c r="U964" s="32">
        <v>30</v>
      </c>
      <c r="V964">
        <v>30</v>
      </c>
      <c r="W964" t="s">
        <v>79</v>
      </c>
      <c r="X964" t="s">
        <v>3322</v>
      </c>
      <c r="Y964" t="s">
        <v>3323</v>
      </c>
      <c r="AA964" t="s">
        <v>75</v>
      </c>
      <c r="AC964" t="s">
        <v>83</v>
      </c>
      <c r="AE964" t="s">
        <v>75</v>
      </c>
      <c r="AF964" t="s">
        <v>84</v>
      </c>
      <c r="AG964" t="s">
        <v>84</v>
      </c>
      <c r="AH964" s="33">
        <f t="shared" si="43"/>
      </c>
      <c r="AI964" s="33">
        <f t="shared" si="44"/>
      </c>
    </row>
    <row r="965" ht="27.6" customHeight="1" spans="1:35" x14ac:dyDescent="0.25">
      <c r="A965" s="27" t="s">
        <v>3324</v>
      </c>
      <c r="B965">
        <f t="shared" si="42"/>
        <v>0</v>
      </c>
      <c r="C965" t="s">
        <v>64</v>
      </c>
      <c r="D965" s="27" t="s">
        <v>3325</v>
      </c>
      <c r="E965" t="s">
        <v>3326</v>
      </c>
      <c r="F965" s="28">
        <v>0</v>
      </c>
      <c r="G965" s="29">
        <v>1</v>
      </c>
      <c r="H965" s="30" t="s">
        <v>3327</v>
      </c>
      <c r="I965" t="s">
        <v>65</v>
      </c>
      <c r="J96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145</v>
      </c>
      <c r="L965" t="s">
        <v>146</v>
      </c>
      <c r="N965" s="29">
        <v>1</v>
      </c>
      <c r="P965" s="29">
        <v>1</v>
      </c>
      <c r="R965" s="29">
        <v>1</v>
      </c>
      <c r="S965" t="s">
        <v>70</v>
      </c>
      <c r="T965" t="s">
        <v>72</v>
      </c>
      <c r="U965" s="32">
        <v>30</v>
      </c>
      <c r="V965">
        <v>30</v>
      </c>
      <c r="W965" t="s">
        <v>79</v>
      </c>
      <c r="X965" t="s">
        <v>3322</v>
      </c>
      <c r="Y965" t="s">
        <v>3328</v>
      </c>
      <c r="AA965" t="s">
        <v>75</v>
      </c>
      <c r="AC965" t="s">
        <v>83</v>
      </c>
      <c r="AE965" t="s">
        <v>75</v>
      </c>
      <c r="AF965" t="s">
        <v>84</v>
      </c>
      <c r="AG965" t="s">
        <v>84</v>
      </c>
      <c r="AH965" s="33">
        <f t="shared" si="43"/>
      </c>
      <c r="AI965" s="33">
        <f t="shared" si="44"/>
      </c>
    </row>
    <row r="966" ht="27.6" customHeight="1" spans="1:35" x14ac:dyDescent="0.25">
      <c r="A966" s="27" t="s">
        <v>2488</v>
      </c>
      <c r="B966">
        <f t="shared" si="42"/>
        <v>0</v>
      </c>
      <c r="C966" t="s">
        <v>64</v>
      </c>
      <c r="D966" s="27" t="s">
        <v>3329</v>
      </c>
      <c r="E966" t="s">
        <v>3330</v>
      </c>
      <c r="F966" s="28">
        <v>2</v>
      </c>
      <c r="G966" s="29">
        <v>1</v>
      </c>
      <c r="H966" s="30" t="s">
        <v>3331</v>
      </c>
      <c r="I966" t="s">
        <v>65</v>
      </c>
      <c r="J96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145</v>
      </c>
      <c r="L966" t="s">
        <v>146</v>
      </c>
      <c r="N966" s="29">
        <v>1</v>
      </c>
      <c r="P966" s="29">
        <v>1</v>
      </c>
      <c r="R966" s="29">
        <v>1</v>
      </c>
      <c r="S966" t="s">
        <v>70</v>
      </c>
      <c r="T966" t="s">
        <v>72</v>
      </c>
      <c r="U966" s="32">
        <v>30</v>
      </c>
      <c r="V966">
        <v>30</v>
      </c>
      <c r="W966" t="s">
        <v>79</v>
      </c>
      <c r="X966" t="s">
        <v>3322</v>
      </c>
      <c r="Y966" t="s">
        <v>3332</v>
      </c>
      <c r="AA966" t="s">
        <v>75</v>
      </c>
      <c r="AC966" t="s">
        <v>83</v>
      </c>
      <c r="AE966" t="s">
        <v>75</v>
      </c>
      <c r="AF966" t="s">
        <v>84</v>
      </c>
      <c r="AG966" t="s">
        <v>84</v>
      </c>
      <c r="AH966" s="33">
        <f t="shared" si="43"/>
      </c>
      <c r="AI966" s="33">
        <f t="shared" si="44"/>
      </c>
    </row>
    <row r="967" ht="27.6" customHeight="1" spans="1:35" x14ac:dyDescent="0.25">
      <c r="A967" s="27" t="s">
        <v>2493</v>
      </c>
      <c r="B967">
        <f t="shared" si="42"/>
        <v>0</v>
      </c>
      <c r="C967" t="s">
        <v>64</v>
      </c>
      <c r="D967" s="27" t="s">
        <v>3329</v>
      </c>
      <c r="E967" t="s">
        <v>3330</v>
      </c>
      <c r="F967" s="28">
        <v>2</v>
      </c>
      <c r="G967" s="29">
        <v>1</v>
      </c>
      <c r="H967" s="30" t="s">
        <v>3333</v>
      </c>
      <c r="I967" t="s">
        <v>65</v>
      </c>
      <c r="J96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145</v>
      </c>
      <c r="L967" t="s">
        <v>146</v>
      </c>
      <c r="N967" s="29">
        <v>1</v>
      </c>
      <c r="P967" s="29">
        <v>1</v>
      </c>
      <c r="R967" s="29">
        <v>1</v>
      </c>
      <c r="S967" t="s">
        <v>70</v>
      </c>
      <c r="T967" t="s">
        <v>72</v>
      </c>
      <c r="U967" s="32">
        <v>30</v>
      </c>
      <c r="V967">
        <v>30</v>
      </c>
      <c r="W967" t="s">
        <v>79</v>
      </c>
      <c r="X967" t="s">
        <v>3322</v>
      </c>
      <c r="Y967" t="s">
        <v>3332</v>
      </c>
      <c r="AA967" t="s">
        <v>75</v>
      </c>
      <c r="AC967" t="s">
        <v>83</v>
      </c>
      <c r="AE967" t="s">
        <v>75</v>
      </c>
      <c r="AF967" t="s">
        <v>84</v>
      </c>
      <c r="AG967" t="s">
        <v>84</v>
      </c>
      <c r="AH967" s="33">
        <f t="shared" si="43"/>
      </c>
      <c r="AI967" s="33">
        <f t="shared" si="44"/>
      </c>
    </row>
    <row r="968" ht="27.6" customHeight="1" spans="1:35" x14ac:dyDescent="0.25">
      <c r="A968" s="27" t="s">
        <v>289</v>
      </c>
      <c r="B968">
        <f t="shared" ref="B968:B1001" si="45">LEN(INDIRECT(ADDRESS(ROW() + (0),COLUMN() + (-1))))</f>
        <v>0</v>
      </c>
      <c r="C968" t="s">
        <v>64</v>
      </c>
      <c r="D968" s="27" t="s">
        <v>102</v>
      </c>
      <c r="E968" t="s">
        <v>3334</v>
      </c>
      <c r="F968" s="28">
        <v>2</v>
      </c>
      <c r="G968" s="29">
        <v>1</v>
      </c>
      <c r="H968" s="30" t="s">
        <v>3335</v>
      </c>
      <c r="I968" t="s">
        <v>65</v>
      </c>
      <c r="J96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145</v>
      </c>
      <c r="L968" t="s">
        <v>146</v>
      </c>
      <c r="N968" s="29">
        <v>1</v>
      </c>
      <c r="P968" s="29">
        <v>1</v>
      </c>
      <c r="R968" s="29">
        <v>1</v>
      </c>
      <c r="S968" t="s">
        <v>70</v>
      </c>
      <c r="T968" t="s">
        <v>72</v>
      </c>
      <c r="U968" s="32">
        <v>30</v>
      </c>
      <c r="V968">
        <v>30</v>
      </c>
      <c r="W968" t="s">
        <v>79</v>
      </c>
      <c r="X968" t="s">
        <v>240</v>
      </c>
      <c r="Y968" t="s">
        <v>3336</v>
      </c>
      <c r="AA968" t="s">
        <v>75</v>
      </c>
      <c r="AC968" t="s">
        <v>83</v>
      </c>
      <c r="AE968" t="s">
        <v>75</v>
      </c>
      <c r="AF968" t="s">
        <v>84</v>
      </c>
      <c r="AG968" t="s">
        <v>84</v>
      </c>
      <c r="AH968" s="33">
        <f t="shared" ref="AH968:AH1001" si="46">IF(AND(INDIRECT("AI"&amp;ROW()) &lt;&gt; "",OR(TRIM(INDIRECT("C"&amp;ROW())) = "",INDIRECT("C"&amp;ROW()) = "Seleccionar"))," - Condición", "")&amp;IF(AND(INDIRECT("AI"&amp;ROW()) &lt;&gt; "",OR(TRIM(INDIRECT("D"&amp;ROW())) = "",INDIRECT("D"&amp;ROW()) = "Escribe o elige un valor"))," - Fotos", "")&amp;IF(AND(INDIRECT("AI"&amp;ROW()) &lt;&gt; "",OR(TRIM(INDIRECT("F"&amp;ROW())) = "",INDIRECT("F"&amp;ROW()) = ""))," - Stock", "")&amp;IF(AND(INDIRECT("AI"&amp;ROW()) &lt;&gt; "",OR(TRIM(INDIRECT("G"&amp;ROW())) = "",INDIRECT("G"&amp;ROW()) = ""))," - Precio [US$]", "")&amp;IF(AND(INDIRECT("AI"&amp;ROW()) &lt;&gt; "",OR(TRIM(INDIRECT("I"&amp;ROW())) = "",INDIRECT("I"&amp;ROW()) = "Seleccionar"))," - Tipo de publicación", "")&amp;IF(AND(INDIRECT("AI"&amp;ROW()) &lt;&gt; "",OR(TRIM(INDIRECT("K"&amp;ROW())) = "",INDIRECT("K"&amp;ROW()) = "Seleccionar"))," - Forma de envío", "")&amp;IF(AND(INDIRECT("AI"&amp;ROW()) &lt;&gt; "",OR(TRIM(INDIRECT("L"&amp;ROW())) = "",INDIRECT("L"&amp;ROW()) = "Seleccionar"))," - Costo de envío", "")&amp;IF(AND(INDIRECT("AI"&amp;ROW()) &lt;&gt; "",OR(TRIM(INDIRECT("S"&amp;ROW())) = "",INDIRECT("S"&amp;ROW()) = "Seleccionar"))," - Retiro en persona", "")&amp;IF(AND(INDIRECT("AI"&amp;ROW()) &lt;&gt; "",OR(TRIM(INDIRECT("W"&amp;ROW())) = "",INDIRECT("W"&amp;ROW()) = "Seleccionar"))," - Tienda Oficial", "")&amp;IF(AND(INDIRECT("AI"&amp;ROW()) &lt;&gt; "",OR(TRIM(INDIRECT("X"&amp;ROW())) = "",INDIRECT("X"&amp;ROW()) = "Escribe o elige un valor"))," - Marca", "")&amp;IF(AND(INDIRECT("AI"&amp;ROW()) &lt;&gt; "",OR(TRIM(INDIRECT("Y"&amp;ROW())) = "",INDIRECT("Y"&amp;ROW()) = "Escribe o elige un valor"))," - Número de pieza", "")</f>
      </c>
      <c r="AI968" s="33">
        <f t="shared" ref="AI968:AI1001" si="47">IF(TRIM(INDIRECT("A"&amp;ROW())) &lt;&gt; "",FALSE,"")</f>
      </c>
    </row>
    <row r="969" ht="27.6" customHeight="1" spans="1:35" x14ac:dyDescent="0.25">
      <c r="A969" s="27" t="s">
        <v>2214</v>
      </c>
      <c r="B969">
        <f t="shared" si="45"/>
        <v>0</v>
      </c>
      <c r="C969" t="s">
        <v>64</v>
      </c>
      <c r="D969" s="27" t="s">
        <v>102</v>
      </c>
      <c r="E969" t="s">
        <v>3337</v>
      </c>
      <c r="F969" s="28">
        <v>2</v>
      </c>
      <c r="G969" s="29">
        <v>1</v>
      </c>
      <c r="H969" s="30" t="s">
        <v>3338</v>
      </c>
      <c r="I969" t="s">
        <v>65</v>
      </c>
      <c r="J96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145</v>
      </c>
      <c r="L969" t="s">
        <v>146</v>
      </c>
      <c r="N969" s="29">
        <v>1</v>
      </c>
      <c r="P969" s="29">
        <v>1</v>
      </c>
      <c r="R969" s="29">
        <v>1</v>
      </c>
      <c r="S969" t="s">
        <v>70</v>
      </c>
      <c r="T969" t="s">
        <v>72</v>
      </c>
      <c r="U969" s="32">
        <v>30</v>
      </c>
      <c r="V969">
        <v>30</v>
      </c>
      <c r="W969" t="s">
        <v>79</v>
      </c>
      <c r="X969" t="s">
        <v>240</v>
      </c>
      <c r="Y969" t="s">
        <v>2217</v>
      </c>
      <c r="AA969" t="s">
        <v>75</v>
      </c>
      <c r="AC969" t="s">
        <v>83</v>
      </c>
      <c r="AE969" t="s">
        <v>75</v>
      </c>
      <c r="AF969" t="s">
        <v>84</v>
      </c>
      <c r="AG969" t="s">
        <v>84</v>
      </c>
      <c r="AH969" s="33">
        <f t="shared" si="46"/>
      </c>
      <c r="AI969" s="33">
        <f t="shared" si="47"/>
      </c>
    </row>
    <row r="970" ht="27.6" customHeight="1" spans="1:35" x14ac:dyDescent="0.25">
      <c r="A970" s="27" t="s">
        <v>3339</v>
      </c>
      <c r="B970">
        <f t="shared" si="45"/>
        <v>0</v>
      </c>
      <c r="C970" t="s">
        <v>64</v>
      </c>
      <c r="D970" s="27" t="s">
        <v>3340</v>
      </c>
      <c r="E970" t="s">
        <v>3341</v>
      </c>
      <c r="F970" s="28">
        <v>0</v>
      </c>
      <c r="G970" s="29">
        <v>1</v>
      </c>
      <c r="H970" s="30" t="s">
        <v>3342</v>
      </c>
      <c r="I970" t="s">
        <v>65</v>
      </c>
      <c r="J97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145</v>
      </c>
      <c r="L970" t="s">
        <v>146</v>
      </c>
      <c r="N970" s="29">
        <v>1</v>
      </c>
      <c r="P970" s="29">
        <v>1</v>
      </c>
      <c r="R970" s="29">
        <v>1</v>
      </c>
      <c r="S970" t="s">
        <v>70</v>
      </c>
      <c r="T970" t="s">
        <v>72</v>
      </c>
      <c r="U970" s="32">
        <v>30</v>
      </c>
      <c r="V970">
        <v>30</v>
      </c>
      <c r="W970" t="s">
        <v>79</v>
      </c>
      <c r="X970" t="s">
        <v>3322</v>
      </c>
      <c r="Y970" t="s">
        <v>1713</v>
      </c>
      <c r="AA970" t="s">
        <v>75</v>
      </c>
      <c r="AC970" t="s">
        <v>83</v>
      </c>
      <c r="AE970" t="s">
        <v>75</v>
      </c>
      <c r="AF970" t="s">
        <v>84</v>
      </c>
      <c r="AG970" t="s">
        <v>84</v>
      </c>
      <c r="AH970" s="33">
        <f t="shared" si="46"/>
      </c>
      <c r="AI970" s="33">
        <f t="shared" si="47"/>
      </c>
    </row>
    <row r="971" ht="27.6" customHeight="1" spans="1:35" x14ac:dyDescent="0.25">
      <c r="A971" s="27" t="s">
        <v>752</v>
      </c>
      <c r="B971">
        <f t="shared" si="45"/>
        <v>0</v>
      </c>
      <c r="C971" t="s">
        <v>64</v>
      </c>
      <c r="D971" s="27" t="s">
        <v>3343</v>
      </c>
      <c r="E971" t="s">
        <v>3344</v>
      </c>
      <c r="F971" s="28">
        <v>0</v>
      </c>
      <c r="G971" s="29">
        <v>1</v>
      </c>
      <c r="H971" s="30" t="s">
        <v>3345</v>
      </c>
      <c r="I971" t="s">
        <v>65</v>
      </c>
      <c r="J97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145</v>
      </c>
      <c r="L971" t="s">
        <v>146</v>
      </c>
      <c r="N971" s="29">
        <v>1</v>
      </c>
      <c r="P971" s="29">
        <v>1</v>
      </c>
      <c r="R971" s="29">
        <v>1</v>
      </c>
      <c r="S971" t="s">
        <v>70</v>
      </c>
      <c r="T971" t="s">
        <v>72</v>
      </c>
      <c r="U971" s="32">
        <v>30</v>
      </c>
      <c r="V971">
        <v>30</v>
      </c>
      <c r="W971" t="s">
        <v>79</v>
      </c>
      <c r="X971" t="s">
        <v>3322</v>
      </c>
      <c r="Y971" t="s">
        <v>3346</v>
      </c>
      <c r="AA971" t="s">
        <v>75</v>
      </c>
      <c r="AC971" t="s">
        <v>83</v>
      </c>
      <c r="AE971" t="s">
        <v>75</v>
      </c>
      <c r="AF971" t="s">
        <v>84</v>
      </c>
      <c r="AG971" t="s">
        <v>84</v>
      </c>
      <c r="AH971" s="33">
        <f t="shared" si="46"/>
      </c>
      <c r="AI971" s="33">
        <f t="shared" si="47"/>
      </c>
    </row>
    <row r="972" ht="27.6" customHeight="1" spans="1:35" x14ac:dyDescent="0.25">
      <c r="A972" s="27" t="s">
        <v>792</v>
      </c>
      <c r="B972">
        <f t="shared" si="45"/>
        <v>0</v>
      </c>
      <c r="C972" t="s">
        <v>64</v>
      </c>
      <c r="D972" s="27" t="s">
        <v>3347</v>
      </c>
      <c r="E972" t="s">
        <v>3348</v>
      </c>
      <c r="F972" s="28">
        <v>0</v>
      </c>
      <c r="G972" s="29">
        <v>1</v>
      </c>
      <c r="H972" s="30" t="s">
        <v>3349</v>
      </c>
      <c r="I972" t="s">
        <v>65</v>
      </c>
      <c r="J97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145</v>
      </c>
      <c r="L972" t="s">
        <v>146</v>
      </c>
      <c r="N972" s="29">
        <v>1</v>
      </c>
      <c r="P972" s="29">
        <v>1</v>
      </c>
      <c r="R972" s="29">
        <v>1</v>
      </c>
      <c r="S972" t="s">
        <v>70</v>
      </c>
      <c r="T972" t="s">
        <v>72</v>
      </c>
      <c r="U972" s="32">
        <v>30</v>
      </c>
      <c r="V972">
        <v>30</v>
      </c>
      <c r="W972" t="s">
        <v>79</v>
      </c>
      <c r="X972" t="s">
        <v>3322</v>
      </c>
      <c r="Y972" t="s">
        <v>1934</v>
      </c>
      <c r="AA972" t="s">
        <v>75</v>
      </c>
      <c r="AC972" t="s">
        <v>83</v>
      </c>
      <c r="AE972" t="s">
        <v>75</v>
      </c>
      <c r="AF972" t="s">
        <v>84</v>
      </c>
      <c r="AG972" t="s">
        <v>84</v>
      </c>
      <c r="AH972" s="33">
        <f t="shared" si="46"/>
      </c>
      <c r="AI972" s="33">
        <f t="shared" si="47"/>
      </c>
    </row>
    <row r="973" ht="27.6" customHeight="1" spans="1:35" x14ac:dyDescent="0.25">
      <c r="A973" s="27" t="s">
        <v>1626</v>
      </c>
      <c r="B973">
        <f t="shared" si="45"/>
        <v>0</v>
      </c>
      <c r="C973" t="s">
        <v>64</v>
      </c>
      <c r="D973" s="27" t="s">
        <v>102</v>
      </c>
      <c r="E973" t="s">
        <v>3350</v>
      </c>
      <c r="F973" s="28">
        <v>0</v>
      </c>
      <c r="G973" s="29">
        <v>1</v>
      </c>
      <c r="H973" s="30" t="s">
        <v>3351</v>
      </c>
      <c r="I973" t="s">
        <v>65</v>
      </c>
      <c r="J97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145</v>
      </c>
      <c r="L973" t="s">
        <v>146</v>
      </c>
      <c r="N973" s="29">
        <v>1</v>
      </c>
      <c r="P973" s="29">
        <v>1</v>
      </c>
      <c r="R973" s="29">
        <v>1</v>
      </c>
      <c r="S973" t="s">
        <v>70</v>
      </c>
      <c r="T973" t="s">
        <v>72</v>
      </c>
      <c r="U973" s="32">
        <v>30</v>
      </c>
      <c r="V973">
        <v>30</v>
      </c>
      <c r="W973" t="s">
        <v>79</v>
      </c>
      <c r="X973" t="s">
        <v>3322</v>
      </c>
      <c r="Y973" t="s">
        <v>3352</v>
      </c>
      <c r="AA973" t="s">
        <v>75</v>
      </c>
      <c r="AC973" t="s">
        <v>83</v>
      </c>
      <c r="AE973" t="s">
        <v>75</v>
      </c>
      <c r="AF973" t="s">
        <v>84</v>
      </c>
      <c r="AG973" t="s">
        <v>84</v>
      </c>
      <c r="AH973" s="33">
        <f t="shared" si="46"/>
      </c>
      <c r="AI973" s="33">
        <f t="shared" si="47"/>
      </c>
    </row>
    <row r="974" ht="27.6" customHeight="1" spans="1:35" x14ac:dyDescent="0.25">
      <c r="A974" s="27" t="s">
        <v>875</v>
      </c>
      <c r="B974">
        <f t="shared" si="45"/>
        <v>0</v>
      </c>
      <c r="C974" t="s">
        <v>64</v>
      </c>
      <c r="D974" s="27" t="s">
        <v>3353</v>
      </c>
      <c r="E974" t="s">
        <v>3354</v>
      </c>
      <c r="F974" s="28">
        <v>2</v>
      </c>
      <c r="G974" s="29">
        <v>1</v>
      </c>
      <c r="H974" s="30" t="s">
        <v>3355</v>
      </c>
      <c r="I974" t="s">
        <v>65</v>
      </c>
      <c r="J97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145</v>
      </c>
      <c r="L974" t="s">
        <v>146</v>
      </c>
      <c r="N974" s="29">
        <v>1</v>
      </c>
      <c r="P974" s="29">
        <v>1</v>
      </c>
      <c r="R974" s="29">
        <v>1</v>
      </c>
      <c r="S974" t="s">
        <v>70</v>
      </c>
      <c r="T974" t="s">
        <v>72</v>
      </c>
      <c r="U974" s="32">
        <v>30</v>
      </c>
      <c r="V974">
        <v>30</v>
      </c>
      <c r="W974" t="s">
        <v>79</v>
      </c>
      <c r="X974" t="s">
        <v>3322</v>
      </c>
      <c r="Y974" t="s">
        <v>3356</v>
      </c>
      <c r="AA974" t="s">
        <v>75</v>
      </c>
      <c r="AC974" t="s">
        <v>83</v>
      </c>
      <c r="AE974" t="s">
        <v>75</v>
      </c>
      <c r="AF974" t="s">
        <v>84</v>
      </c>
      <c r="AG974" t="s">
        <v>84</v>
      </c>
      <c r="AH974" s="33">
        <f t="shared" si="46"/>
      </c>
      <c r="AI974" s="33">
        <f t="shared" si="47"/>
      </c>
    </row>
    <row r="975" ht="27.6" customHeight="1" spans="1:35" x14ac:dyDescent="0.25">
      <c r="A975" s="27" t="s">
        <v>880</v>
      </c>
      <c r="B975">
        <f t="shared" si="45"/>
        <v>0</v>
      </c>
      <c r="C975" t="s">
        <v>64</v>
      </c>
      <c r="D975" s="27" t="s">
        <v>102</v>
      </c>
      <c r="E975" t="s">
        <v>3357</v>
      </c>
      <c r="F975" s="28">
        <v>0</v>
      </c>
      <c r="G975" s="29">
        <v>1</v>
      </c>
      <c r="H975" s="30" t="s">
        <v>3358</v>
      </c>
      <c r="I975" t="s">
        <v>65</v>
      </c>
      <c r="J97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145</v>
      </c>
      <c r="L975" t="s">
        <v>146</v>
      </c>
      <c r="N975" s="29">
        <v>1</v>
      </c>
      <c r="P975" s="29">
        <v>1</v>
      </c>
      <c r="R975" s="29">
        <v>1</v>
      </c>
      <c r="S975" t="s">
        <v>70</v>
      </c>
      <c r="T975" t="s">
        <v>72</v>
      </c>
      <c r="U975" s="32">
        <v>30</v>
      </c>
      <c r="V975">
        <v>30</v>
      </c>
      <c r="W975" t="s">
        <v>79</v>
      </c>
      <c r="X975" t="s">
        <v>3322</v>
      </c>
      <c r="Y975" t="s">
        <v>3357</v>
      </c>
      <c r="AA975" t="s">
        <v>75</v>
      </c>
      <c r="AC975" t="s">
        <v>83</v>
      </c>
      <c r="AE975" t="s">
        <v>75</v>
      </c>
      <c r="AF975" t="s">
        <v>84</v>
      </c>
      <c r="AG975" t="s">
        <v>84</v>
      </c>
      <c r="AH975" s="33">
        <f t="shared" si="46"/>
      </c>
      <c r="AI975" s="33">
        <f t="shared" si="47"/>
      </c>
    </row>
    <row r="976" ht="27.6" customHeight="1" spans="1:35" x14ac:dyDescent="0.25">
      <c r="A976" s="27" t="s">
        <v>880</v>
      </c>
      <c r="B976">
        <f t="shared" si="45"/>
        <v>0</v>
      </c>
      <c r="C976" t="s">
        <v>64</v>
      </c>
      <c r="D976" s="27" t="s">
        <v>3359</v>
      </c>
      <c r="E976" t="s">
        <v>3360</v>
      </c>
      <c r="F976" s="28">
        <v>0</v>
      </c>
      <c r="G976" s="29">
        <v>1</v>
      </c>
      <c r="H976" s="30" t="s">
        <v>3361</v>
      </c>
      <c r="I976" t="s">
        <v>65</v>
      </c>
      <c r="J97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145</v>
      </c>
      <c r="L976" t="s">
        <v>146</v>
      </c>
      <c r="N976" s="29">
        <v>1</v>
      </c>
      <c r="P976" s="29">
        <v>1</v>
      </c>
      <c r="R976" s="29">
        <v>1</v>
      </c>
      <c r="S976" t="s">
        <v>70</v>
      </c>
      <c r="T976" t="s">
        <v>72</v>
      </c>
      <c r="U976" s="32">
        <v>30</v>
      </c>
      <c r="V976">
        <v>30</v>
      </c>
      <c r="W976" t="s">
        <v>79</v>
      </c>
      <c r="X976" t="s">
        <v>3322</v>
      </c>
      <c r="Y976" t="s">
        <v>3362</v>
      </c>
      <c r="AA976" t="s">
        <v>75</v>
      </c>
      <c r="AC976" t="s">
        <v>83</v>
      </c>
      <c r="AE976" t="s">
        <v>75</v>
      </c>
      <c r="AF976" t="s">
        <v>84</v>
      </c>
      <c r="AG976" t="s">
        <v>84</v>
      </c>
      <c r="AH976" s="33">
        <f t="shared" si="46"/>
      </c>
      <c r="AI976" s="33">
        <f t="shared" si="47"/>
      </c>
    </row>
    <row r="977" ht="27.6" customHeight="1" spans="1:35" x14ac:dyDescent="0.25">
      <c r="A977" s="27" t="s">
        <v>869</v>
      </c>
      <c r="B977">
        <f t="shared" si="45"/>
        <v>0</v>
      </c>
      <c r="C977" t="s">
        <v>64</v>
      </c>
      <c r="D977" s="27" t="s">
        <v>102</v>
      </c>
      <c r="E977" t="s">
        <v>3363</v>
      </c>
      <c r="F977" s="28">
        <v>0</v>
      </c>
      <c r="G977" s="29">
        <v>1</v>
      </c>
      <c r="H977" s="30" t="s">
        <v>3364</v>
      </c>
      <c r="I977" t="s">
        <v>65</v>
      </c>
      <c r="J97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145</v>
      </c>
      <c r="L977" t="s">
        <v>146</v>
      </c>
      <c r="N977" s="29">
        <v>1</v>
      </c>
      <c r="P977" s="29">
        <v>1</v>
      </c>
      <c r="R977" s="29">
        <v>1</v>
      </c>
      <c r="S977" t="s">
        <v>70</v>
      </c>
      <c r="T977" t="s">
        <v>72</v>
      </c>
      <c r="U977" s="32">
        <v>30</v>
      </c>
      <c r="V977">
        <v>30</v>
      </c>
      <c r="W977" t="s">
        <v>79</v>
      </c>
      <c r="X977" t="s">
        <v>166</v>
      </c>
      <c r="Y977" t="s">
        <v>1488</v>
      </c>
      <c r="AA977" t="s">
        <v>75</v>
      </c>
      <c r="AC977" t="s">
        <v>83</v>
      </c>
      <c r="AE977" t="s">
        <v>75</v>
      </c>
      <c r="AF977" t="s">
        <v>84</v>
      </c>
      <c r="AG977" t="s">
        <v>84</v>
      </c>
      <c r="AH977" s="33">
        <f t="shared" si="46"/>
      </c>
      <c r="AI977" s="33">
        <f t="shared" si="47"/>
      </c>
    </row>
    <row r="978" ht="27.6" customHeight="1" spans="1:35" x14ac:dyDescent="0.25">
      <c r="A978" s="27" t="s">
        <v>873</v>
      </c>
      <c r="B978">
        <f t="shared" si="45"/>
        <v>0</v>
      </c>
      <c r="C978" t="s">
        <v>64</v>
      </c>
      <c r="D978" s="27" t="s">
        <v>102</v>
      </c>
      <c r="E978" t="s">
        <v>3363</v>
      </c>
      <c r="F978" s="28">
        <v>0</v>
      </c>
      <c r="G978" s="29">
        <v>1</v>
      </c>
      <c r="H978" s="30" t="s">
        <v>3365</v>
      </c>
      <c r="I978" t="s">
        <v>65</v>
      </c>
      <c r="J97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145</v>
      </c>
      <c r="L978" t="s">
        <v>146</v>
      </c>
      <c r="N978" s="29">
        <v>1</v>
      </c>
      <c r="P978" s="29">
        <v>1</v>
      </c>
      <c r="R978" s="29">
        <v>1</v>
      </c>
      <c r="S978" t="s">
        <v>70</v>
      </c>
      <c r="T978" t="s">
        <v>72</v>
      </c>
      <c r="U978" s="32">
        <v>30</v>
      </c>
      <c r="V978">
        <v>30</v>
      </c>
      <c r="W978" t="s">
        <v>79</v>
      </c>
      <c r="X978" t="s">
        <v>166</v>
      </c>
      <c r="Y978" t="s">
        <v>1488</v>
      </c>
      <c r="AA978" t="s">
        <v>75</v>
      </c>
      <c r="AC978" t="s">
        <v>83</v>
      </c>
      <c r="AE978" t="s">
        <v>75</v>
      </c>
      <c r="AF978" t="s">
        <v>84</v>
      </c>
      <c r="AG978" t="s">
        <v>84</v>
      </c>
      <c r="AH978" s="33">
        <f t="shared" si="46"/>
      </c>
      <c r="AI978" s="33">
        <f t="shared" si="47"/>
      </c>
    </row>
    <row r="979" ht="27.6" customHeight="1" spans="1:35" x14ac:dyDescent="0.25">
      <c r="A979" s="27" t="s">
        <v>3366</v>
      </c>
      <c r="B979">
        <f t="shared" si="45"/>
        <v>0</v>
      </c>
      <c r="C979" t="s">
        <v>64</v>
      </c>
      <c r="D979" s="27" t="s">
        <v>102</v>
      </c>
      <c r="E979" t="s">
        <v>3367</v>
      </c>
      <c r="F979" s="28">
        <v>0</v>
      </c>
      <c r="G979" s="29">
        <v>1</v>
      </c>
      <c r="H979" s="30" t="s">
        <v>3368</v>
      </c>
      <c r="I979" t="s">
        <v>65</v>
      </c>
      <c r="J97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145</v>
      </c>
      <c r="L979" t="s">
        <v>146</v>
      </c>
      <c r="N979" s="29">
        <v>1</v>
      </c>
      <c r="P979" s="29">
        <v>1</v>
      </c>
      <c r="R979" s="29">
        <v>1</v>
      </c>
      <c r="S979" t="s">
        <v>70</v>
      </c>
      <c r="T979" t="s">
        <v>72</v>
      </c>
      <c r="U979" s="32">
        <v>30</v>
      </c>
      <c r="V979">
        <v>30</v>
      </c>
      <c r="W979" t="s">
        <v>79</v>
      </c>
      <c r="X979" t="s">
        <v>240</v>
      </c>
      <c r="Y979" t="s">
        <v>3367</v>
      </c>
      <c r="AA979" t="s">
        <v>75</v>
      </c>
      <c r="AC979" t="s">
        <v>83</v>
      </c>
      <c r="AE979" t="s">
        <v>75</v>
      </c>
      <c r="AF979" t="s">
        <v>84</v>
      </c>
      <c r="AG979" t="s">
        <v>84</v>
      </c>
      <c r="AH979" s="33">
        <f t="shared" si="46"/>
      </c>
      <c r="AI979" s="33">
        <f t="shared" si="47"/>
      </c>
    </row>
    <row r="980" ht="27.6" customHeight="1" spans="1:35" x14ac:dyDescent="0.25">
      <c r="A980" s="27" t="s">
        <v>1938</v>
      </c>
      <c r="B980">
        <f t="shared" si="45"/>
        <v>0</v>
      </c>
      <c r="C980" t="s">
        <v>64</v>
      </c>
      <c r="D980" s="27" t="s">
        <v>102</v>
      </c>
      <c r="E980" t="s">
        <v>3369</v>
      </c>
      <c r="F980" s="28">
        <v>0</v>
      </c>
      <c r="G980" s="29">
        <v>1</v>
      </c>
      <c r="H980" s="30" t="s">
        <v>3370</v>
      </c>
      <c r="I980" t="s">
        <v>65</v>
      </c>
      <c r="J98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145</v>
      </c>
      <c r="L980" t="s">
        <v>146</v>
      </c>
      <c r="N980" s="29">
        <v>1</v>
      </c>
      <c r="P980" s="29">
        <v>1</v>
      </c>
      <c r="R980" s="29">
        <v>1</v>
      </c>
      <c r="S980" t="s">
        <v>70</v>
      </c>
      <c r="T980" t="s">
        <v>72</v>
      </c>
      <c r="U980" s="32">
        <v>30</v>
      </c>
      <c r="V980">
        <v>30</v>
      </c>
      <c r="W980" t="s">
        <v>79</v>
      </c>
      <c r="X980" t="s">
        <v>3371</v>
      </c>
      <c r="Y980" t="s">
        <v>512</v>
      </c>
      <c r="AA980" t="s">
        <v>75</v>
      </c>
      <c r="AC980" t="s">
        <v>83</v>
      </c>
      <c r="AE980" t="s">
        <v>75</v>
      </c>
      <c r="AF980" t="s">
        <v>84</v>
      </c>
      <c r="AG980" t="s">
        <v>84</v>
      </c>
      <c r="AH980" s="33">
        <f t="shared" si="46"/>
      </c>
      <c r="AI980" s="33">
        <f t="shared" si="47"/>
      </c>
    </row>
    <row r="981" ht="27.6" customHeight="1" spans="1:35" x14ac:dyDescent="0.25">
      <c r="A981" s="27" t="s">
        <v>1438</v>
      </c>
      <c r="B981">
        <f t="shared" si="45"/>
        <v>0</v>
      </c>
      <c r="C981" t="s">
        <v>64</v>
      </c>
      <c r="D981" s="27" t="s">
        <v>102</v>
      </c>
      <c r="E981" t="s">
        <v>3372</v>
      </c>
      <c r="F981" s="28">
        <v>0</v>
      </c>
      <c r="G981" s="29">
        <v>1</v>
      </c>
      <c r="H981" s="30" t="s">
        <v>3373</v>
      </c>
      <c r="I981" t="s">
        <v>65</v>
      </c>
      <c r="J98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145</v>
      </c>
      <c r="L981" t="s">
        <v>146</v>
      </c>
      <c r="N981" s="29">
        <v>1</v>
      </c>
      <c r="P981" s="29">
        <v>1</v>
      </c>
      <c r="R981" s="29">
        <v>1</v>
      </c>
      <c r="S981" t="s">
        <v>70</v>
      </c>
      <c r="T981" t="s">
        <v>72</v>
      </c>
      <c r="U981" s="32">
        <v>30</v>
      </c>
      <c r="V981">
        <v>30</v>
      </c>
      <c r="W981" t="s">
        <v>79</v>
      </c>
      <c r="X981" t="s">
        <v>171</v>
      </c>
      <c r="Y981" t="s">
        <v>2734</v>
      </c>
      <c r="AA981" t="s">
        <v>75</v>
      </c>
      <c r="AC981" t="s">
        <v>83</v>
      </c>
      <c r="AE981" t="s">
        <v>75</v>
      </c>
      <c r="AF981" t="s">
        <v>84</v>
      </c>
      <c r="AG981" t="s">
        <v>84</v>
      </c>
      <c r="AH981" s="33">
        <f t="shared" si="46"/>
      </c>
      <c r="AI981" s="33">
        <f t="shared" si="47"/>
      </c>
    </row>
    <row r="982" ht="27.6" customHeight="1" spans="1:35" x14ac:dyDescent="0.25">
      <c r="A982" s="27" t="s">
        <v>1438</v>
      </c>
      <c r="B982">
        <f t="shared" si="45"/>
        <v>0</v>
      </c>
      <c r="C982" t="s">
        <v>64</v>
      </c>
      <c r="D982" s="27" t="s">
        <v>102</v>
      </c>
      <c r="E982" t="s">
        <v>3372</v>
      </c>
      <c r="F982" s="28">
        <v>0</v>
      </c>
      <c r="G982" s="29">
        <v>1</v>
      </c>
      <c r="H982" s="30" t="s">
        <v>3374</v>
      </c>
      <c r="I982" t="s">
        <v>65</v>
      </c>
      <c r="J98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145</v>
      </c>
      <c r="L982" t="s">
        <v>146</v>
      </c>
      <c r="N982" s="29">
        <v>1</v>
      </c>
      <c r="P982" s="29">
        <v>1</v>
      </c>
      <c r="R982" s="29">
        <v>1</v>
      </c>
      <c r="S982" t="s">
        <v>70</v>
      </c>
      <c r="T982" t="s">
        <v>72</v>
      </c>
      <c r="U982" s="32">
        <v>30</v>
      </c>
      <c r="V982">
        <v>30</v>
      </c>
      <c r="W982" t="s">
        <v>79</v>
      </c>
      <c r="X982" t="s">
        <v>171</v>
      </c>
      <c r="Y982" t="s">
        <v>2734</v>
      </c>
      <c r="AA982" t="s">
        <v>75</v>
      </c>
      <c r="AC982" t="s">
        <v>83</v>
      </c>
      <c r="AE982" t="s">
        <v>75</v>
      </c>
      <c r="AF982" t="s">
        <v>84</v>
      </c>
      <c r="AG982" t="s">
        <v>84</v>
      </c>
      <c r="AH982" s="33">
        <f t="shared" si="46"/>
      </c>
      <c r="AI982" s="33">
        <f t="shared" si="47"/>
      </c>
    </row>
    <row r="983" ht="27.6" customHeight="1" spans="1:35" x14ac:dyDescent="0.25">
      <c r="A983" s="27" t="s">
        <v>1661</v>
      </c>
      <c r="B983">
        <f t="shared" si="45"/>
        <v>0</v>
      </c>
      <c r="C983" t="s">
        <v>64</v>
      </c>
      <c r="D983" s="27" t="s">
        <v>102</v>
      </c>
      <c r="E983" t="s">
        <v>3375</v>
      </c>
      <c r="F983" s="28">
        <v>0</v>
      </c>
      <c r="G983" s="29">
        <v>1</v>
      </c>
      <c r="H983" s="30" t="s">
        <v>3376</v>
      </c>
      <c r="I983" t="s">
        <v>65</v>
      </c>
      <c r="J98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145</v>
      </c>
      <c r="L983" t="s">
        <v>146</v>
      </c>
      <c r="N983" s="29">
        <v>1</v>
      </c>
      <c r="P983" s="29">
        <v>1</v>
      </c>
      <c r="R983" s="29">
        <v>1</v>
      </c>
      <c r="S983" t="s">
        <v>70</v>
      </c>
      <c r="T983" t="s">
        <v>72</v>
      </c>
      <c r="U983" s="32">
        <v>30</v>
      </c>
      <c r="V983">
        <v>30</v>
      </c>
      <c r="W983" t="s">
        <v>79</v>
      </c>
      <c r="X983" t="s">
        <v>171</v>
      </c>
      <c r="Y983" t="s">
        <v>3377</v>
      </c>
      <c r="AA983" t="s">
        <v>75</v>
      </c>
      <c r="AC983" t="s">
        <v>83</v>
      </c>
      <c r="AE983" t="s">
        <v>75</v>
      </c>
      <c r="AF983" t="s">
        <v>84</v>
      </c>
      <c r="AG983" t="s">
        <v>84</v>
      </c>
      <c r="AH983" s="33">
        <f t="shared" si="46"/>
      </c>
      <c r="AI983" s="33">
        <f t="shared" si="47"/>
      </c>
    </row>
    <row r="984" ht="27.6" customHeight="1" spans="1:35" x14ac:dyDescent="0.25">
      <c r="A984" s="27" t="s">
        <v>3378</v>
      </c>
      <c r="B984">
        <f t="shared" si="45"/>
        <v>0</v>
      </c>
      <c r="C984" t="s">
        <v>64</v>
      </c>
      <c r="D984" s="27" t="s">
        <v>102</v>
      </c>
      <c r="E984" t="s">
        <v>3379</v>
      </c>
      <c r="F984" s="28">
        <v>0</v>
      </c>
      <c r="G984" s="29">
        <v>1</v>
      </c>
      <c r="H984" s="30" t="s">
        <v>3380</v>
      </c>
      <c r="I984" t="s">
        <v>65</v>
      </c>
      <c r="J98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145</v>
      </c>
      <c r="L984" t="s">
        <v>146</v>
      </c>
      <c r="N984" s="29">
        <v>1</v>
      </c>
      <c r="P984" s="29">
        <v>1</v>
      </c>
      <c r="R984" s="29">
        <v>1</v>
      </c>
      <c r="S984" t="s">
        <v>70</v>
      </c>
      <c r="T984" t="s">
        <v>72</v>
      </c>
      <c r="U984" s="32">
        <v>30</v>
      </c>
      <c r="V984">
        <v>30</v>
      </c>
      <c r="W984" t="s">
        <v>79</v>
      </c>
      <c r="X984" t="s">
        <v>770</v>
      </c>
      <c r="Y984" t="s">
        <v>3381</v>
      </c>
      <c r="AA984" t="s">
        <v>75</v>
      </c>
      <c r="AC984" t="s">
        <v>83</v>
      </c>
      <c r="AE984" t="s">
        <v>75</v>
      </c>
      <c r="AF984" t="s">
        <v>84</v>
      </c>
      <c r="AG984" t="s">
        <v>84</v>
      </c>
      <c r="AH984" s="33">
        <f t="shared" si="46"/>
      </c>
      <c r="AI984" s="33">
        <f t="shared" si="47"/>
      </c>
    </row>
    <row r="985" ht="27.6" customHeight="1" spans="1:35" x14ac:dyDescent="0.25">
      <c r="A985" s="27" t="s">
        <v>3382</v>
      </c>
      <c r="B985">
        <f t="shared" si="45"/>
        <v>0</v>
      </c>
      <c r="C985" t="s">
        <v>64</v>
      </c>
      <c r="D985" s="27" t="s">
        <v>3383</v>
      </c>
      <c r="E985" t="s">
        <v>3384</v>
      </c>
      <c r="F985" s="28">
        <v>0</v>
      </c>
      <c r="G985" s="29">
        <v>1</v>
      </c>
      <c r="H985" s="30" t="s">
        <v>3385</v>
      </c>
      <c r="I985" t="s">
        <v>65</v>
      </c>
      <c r="J98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145</v>
      </c>
      <c r="L985" t="s">
        <v>146</v>
      </c>
      <c r="N985" s="29">
        <v>1</v>
      </c>
      <c r="P985" s="29">
        <v>1</v>
      </c>
      <c r="R985" s="29">
        <v>1</v>
      </c>
      <c r="S985" t="s">
        <v>70</v>
      </c>
      <c r="T985" t="s">
        <v>72</v>
      </c>
      <c r="U985" s="32">
        <v>30</v>
      </c>
      <c r="V985">
        <v>30</v>
      </c>
      <c r="W985" t="s">
        <v>79</v>
      </c>
      <c r="X985" t="s">
        <v>171</v>
      </c>
      <c r="Y985" t="s">
        <v>3384</v>
      </c>
      <c r="AA985" t="s">
        <v>75</v>
      </c>
      <c r="AC985" t="s">
        <v>83</v>
      </c>
      <c r="AE985" t="s">
        <v>75</v>
      </c>
      <c r="AF985" t="s">
        <v>84</v>
      </c>
      <c r="AG985" t="s">
        <v>84</v>
      </c>
      <c r="AH985" s="33">
        <f t="shared" si="46"/>
      </c>
      <c r="AI985" s="33">
        <f t="shared" si="47"/>
      </c>
    </row>
    <row r="986" ht="27.6" customHeight="1" spans="1:35" x14ac:dyDescent="0.25">
      <c r="A986" s="27" t="s">
        <v>3386</v>
      </c>
      <c r="B986">
        <f t="shared" si="45"/>
        <v>0</v>
      </c>
      <c r="C986" t="s">
        <v>64</v>
      </c>
      <c r="D986" s="27" t="s">
        <v>3387</v>
      </c>
      <c r="E986" t="s">
        <v>3388</v>
      </c>
      <c r="F986" s="28">
        <v>0</v>
      </c>
      <c r="G986" s="29">
        <v>1</v>
      </c>
      <c r="H986" s="30" t="s">
        <v>3389</v>
      </c>
      <c r="I986" t="s">
        <v>65</v>
      </c>
      <c r="J98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145</v>
      </c>
      <c r="L986" t="s">
        <v>146</v>
      </c>
      <c r="N986" s="29">
        <v>1</v>
      </c>
      <c r="P986" s="29">
        <v>1</v>
      </c>
      <c r="R986" s="29">
        <v>1</v>
      </c>
      <c r="S986" t="s">
        <v>70</v>
      </c>
      <c r="T986" t="s">
        <v>72</v>
      </c>
      <c r="U986" s="32">
        <v>30</v>
      </c>
      <c r="V986">
        <v>30</v>
      </c>
      <c r="W986" t="s">
        <v>79</v>
      </c>
      <c r="X986" t="s">
        <v>171</v>
      </c>
      <c r="Y986" t="s">
        <v>3388</v>
      </c>
      <c r="AA986" t="s">
        <v>75</v>
      </c>
      <c r="AC986" t="s">
        <v>83</v>
      </c>
      <c r="AE986" t="s">
        <v>75</v>
      </c>
      <c r="AF986" t="s">
        <v>84</v>
      </c>
      <c r="AG986" t="s">
        <v>84</v>
      </c>
      <c r="AH986" s="33">
        <f t="shared" si="46"/>
      </c>
      <c r="AI986" s="33">
        <f t="shared" si="47"/>
      </c>
    </row>
    <row r="987" ht="27.6" customHeight="1" spans="1:35" x14ac:dyDescent="0.25">
      <c r="A987" s="27" t="s">
        <v>3390</v>
      </c>
      <c r="B987">
        <f t="shared" si="45"/>
        <v>0</v>
      </c>
      <c r="C987" t="s">
        <v>64</v>
      </c>
      <c r="D987" s="27" t="s">
        <v>3391</v>
      </c>
      <c r="E987" t="s">
        <v>3392</v>
      </c>
      <c r="F987" s="28">
        <v>2</v>
      </c>
      <c r="G987" s="29">
        <v>1</v>
      </c>
      <c r="H987" s="30" t="s">
        <v>3393</v>
      </c>
      <c r="I987" t="s">
        <v>65</v>
      </c>
      <c r="J98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145</v>
      </c>
      <c r="L987" t="s">
        <v>146</v>
      </c>
      <c r="N987" s="29">
        <v>1</v>
      </c>
      <c r="P987" s="29">
        <v>1</v>
      </c>
      <c r="R987" s="29">
        <v>1</v>
      </c>
      <c r="S987" t="s">
        <v>70</v>
      </c>
      <c r="T987" t="s">
        <v>72</v>
      </c>
      <c r="U987" s="32">
        <v>30</v>
      </c>
      <c r="V987">
        <v>30</v>
      </c>
      <c r="W987" t="s">
        <v>79</v>
      </c>
      <c r="X987" t="s">
        <v>171</v>
      </c>
      <c r="Y987" t="s">
        <v>3394</v>
      </c>
      <c r="AA987" t="s">
        <v>75</v>
      </c>
      <c r="AC987" t="s">
        <v>83</v>
      </c>
      <c r="AE987" t="s">
        <v>75</v>
      </c>
      <c r="AF987" t="s">
        <v>84</v>
      </c>
      <c r="AG987" t="s">
        <v>84</v>
      </c>
      <c r="AH987" s="33">
        <f t="shared" si="46"/>
      </c>
      <c r="AI987" s="33">
        <f t="shared" si="47"/>
      </c>
    </row>
    <row r="988" ht="27.6" customHeight="1" spans="1:35" x14ac:dyDescent="0.25">
      <c r="A988" s="27" t="s">
        <v>3395</v>
      </c>
      <c r="B988">
        <f t="shared" si="45"/>
        <v>0</v>
      </c>
      <c r="C988" t="s">
        <v>64</v>
      </c>
      <c r="D988" s="27" t="s">
        <v>102</v>
      </c>
      <c r="E988" t="s">
        <v>3396</v>
      </c>
      <c r="F988" s="28">
        <v>0</v>
      </c>
      <c r="G988" s="29">
        <v>1</v>
      </c>
      <c r="H988" s="30" t="s">
        <v>3397</v>
      </c>
      <c r="I988" t="s">
        <v>65</v>
      </c>
      <c r="J98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145</v>
      </c>
      <c r="L988" t="s">
        <v>146</v>
      </c>
      <c r="N988" s="29">
        <v>1</v>
      </c>
      <c r="P988" s="29">
        <v>1</v>
      </c>
      <c r="R988" s="29">
        <v>1</v>
      </c>
      <c r="S988" t="s">
        <v>70</v>
      </c>
      <c r="T988" t="s">
        <v>72</v>
      </c>
      <c r="U988" s="32">
        <v>30</v>
      </c>
      <c r="V988">
        <v>30</v>
      </c>
      <c r="W988" t="s">
        <v>79</v>
      </c>
      <c r="X988" t="s">
        <v>770</v>
      </c>
      <c r="Y988" t="s">
        <v>3396</v>
      </c>
      <c r="AA988" t="s">
        <v>75</v>
      </c>
      <c r="AC988" t="s">
        <v>83</v>
      </c>
      <c r="AE988" t="s">
        <v>75</v>
      </c>
      <c r="AF988" t="s">
        <v>84</v>
      </c>
      <c r="AG988" t="s">
        <v>84</v>
      </c>
      <c r="AH988" s="33">
        <f t="shared" si="46"/>
      </c>
      <c r="AI988" s="33">
        <f t="shared" si="47"/>
      </c>
    </row>
    <row r="989" ht="27.6" customHeight="1" spans="1:35" x14ac:dyDescent="0.25">
      <c r="A989" s="27" t="s">
        <v>3398</v>
      </c>
      <c r="B989">
        <f t="shared" si="45"/>
        <v>0</v>
      </c>
      <c r="C989" t="s">
        <v>64</v>
      </c>
      <c r="D989" s="27" t="s">
        <v>102</v>
      </c>
      <c r="E989" t="s">
        <v>3399</v>
      </c>
      <c r="F989" s="28">
        <v>0</v>
      </c>
      <c r="G989" s="29">
        <v>1</v>
      </c>
      <c r="H989" s="30" t="s">
        <v>3400</v>
      </c>
      <c r="I989" t="s">
        <v>65</v>
      </c>
      <c r="J98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145</v>
      </c>
      <c r="L989" t="s">
        <v>146</v>
      </c>
      <c r="N989" s="29">
        <v>1</v>
      </c>
      <c r="P989" s="29">
        <v>1</v>
      </c>
      <c r="R989" s="29">
        <v>1</v>
      </c>
      <c r="S989" t="s">
        <v>70</v>
      </c>
      <c r="T989" t="s">
        <v>72</v>
      </c>
      <c r="U989" s="32">
        <v>30</v>
      </c>
      <c r="V989">
        <v>30</v>
      </c>
      <c r="W989" t="s">
        <v>79</v>
      </c>
      <c r="X989" t="s">
        <v>770</v>
      </c>
      <c r="Y989" t="s">
        <v>3401</v>
      </c>
      <c r="AA989" t="s">
        <v>75</v>
      </c>
      <c r="AC989" t="s">
        <v>83</v>
      </c>
      <c r="AE989" t="s">
        <v>75</v>
      </c>
      <c r="AF989" t="s">
        <v>84</v>
      </c>
      <c r="AG989" t="s">
        <v>84</v>
      </c>
      <c r="AH989" s="33">
        <f t="shared" si="46"/>
      </c>
      <c r="AI989" s="33">
        <f t="shared" si="47"/>
      </c>
    </row>
    <row r="990" ht="27.6" customHeight="1" spans="1:35" x14ac:dyDescent="0.25">
      <c r="A990" s="27" t="s">
        <v>2564</v>
      </c>
      <c r="B990">
        <f t="shared" si="45"/>
        <v>0</v>
      </c>
      <c r="C990" t="s">
        <v>64</v>
      </c>
      <c r="D990" s="27" t="s">
        <v>102</v>
      </c>
      <c r="E990" t="s">
        <v>3402</v>
      </c>
      <c r="F990" s="28">
        <v>2</v>
      </c>
      <c r="G990" s="29">
        <v>1</v>
      </c>
      <c r="H990" s="30" t="s">
        <v>3403</v>
      </c>
      <c r="I990" t="s">
        <v>65</v>
      </c>
      <c r="J99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145</v>
      </c>
      <c r="L990" t="s">
        <v>146</v>
      </c>
      <c r="N990" s="29">
        <v>1</v>
      </c>
      <c r="P990" s="29">
        <v>1</v>
      </c>
      <c r="R990" s="29">
        <v>1</v>
      </c>
      <c r="S990" t="s">
        <v>70</v>
      </c>
      <c r="T990" t="s">
        <v>72</v>
      </c>
      <c r="U990" s="32">
        <v>30</v>
      </c>
      <c r="V990">
        <v>30</v>
      </c>
      <c r="W990" t="s">
        <v>79</v>
      </c>
      <c r="X990" t="s">
        <v>171</v>
      </c>
      <c r="Y990" t="s">
        <v>3404</v>
      </c>
      <c r="AA990" t="s">
        <v>75</v>
      </c>
      <c r="AC990" t="s">
        <v>83</v>
      </c>
      <c r="AE990" t="s">
        <v>75</v>
      </c>
      <c r="AF990" t="s">
        <v>84</v>
      </c>
      <c r="AG990" t="s">
        <v>84</v>
      </c>
      <c r="AH990" s="33">
        <f t="shared" si="46"/>
      </c>
      <c r="AI990" s="33">
        <f t="shared" si="47"/>
      </c>
    </row>
    <row r="991" ht="27.6" customHeight="1" spans="1:35" x14ac:dyDescent="0.25">
      <c r="A991" s="27" t="s">
        <v>943</v>
      </c>
      <c r="B991">
        <f t="shared" si="45"/>
        <v>0</v>
      </c>
      <c r="C991" t="s">
        <v>64</v>
      </c>
      <c r="D991" s="27" t="s">
        <v>3405</v>
      </c>
      <c r="E991" t="s">
        <v>3406</v>
      </c>
      <c r="F991" s="28">
        <v>2</v>
      </c>
      <c r="G991" s="29">
        <v>1</v>
      </c>
      <c r="H991" s="30" t="s">
        <v>3407</v>
      </c>
      <c r="I991" t="s">
        <v>65</v>
      </c>
      <c r="J99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145</v>
      </c>
      <c r="L991" t="s">
        <v>146</v>
      </c>
      <c r="N991" s="29">
        <v>1</v>
      </c>
      <c r="P991" s="29">
        <v>1</v>
      </c>
      <c r="R991" s="29">
        <v>1</v>
      </c>
      <c r="S991" t="s">
        <v>70</v>
      </c>
      <c r="T991" t="s">
        <v>72</v>
      </c>
      <c r="U991" s="32">
        <v>30</v>
      </c>
      <c r="V991">
        <v>30</v>
      </c>
      <c r="W991" t="s">
        <v>79</v>
      </c>
      <c r="X991" t="s">
        <v>171</v>
      </c>
      <c r="Y991" t="s">
        <v>3408</v>
      </c>
      <c r="AA991" t="s">
        <v>75</v>
      </c>
      <c r="AC991" t="s">
        <v>83</v>
      </c>
      <c r="AE991" t="s">
        <v>75</v>
      </c>
      <c r="AF991" t="s">
        <v>84</v>
      </c>
      <c r="AG991" t="s">
        <v>84</v>
      </c>
      <c r="AH991" s="33">
        <f t="shared" si="46"/>
      </c>
      <c r="AI991" s="33">
        <f t="shared" si="47"/>
      </c>
    </row>
    <row r="992" ht="27.6" customHeight="1" spans="1:35" x14ac:dyDescent="0.25">
      <c r="A992" s="27" t="s">
        <v>947</v>
      </c>
      <c r="B992">
        <f t="shared" si="45"/>
        <v>0</v>
      </c>
      <c r="C992" t="s">
        <v>64</v>
      </c>
      <c r="D992" s="27" t="s">
        <v>3405</v>
      </c>
      <c r="E992" t="s">
        <v>3406</v>
      </c>
      <c r="F992" s="28">
        <v>2</v>
      </c>
      <c r="G992" s="29">
        <v>1</v>
      </c>
      <c r="H992" s="30" t="s">
        <v>3409</v>
      </c>
      <c r="I992" t="s">
        <v>65</v>
      </c>
      <c r="J992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145</v>
      </c>
      <c r="L992" t="s">
        <v>146</v>
      </c>
      <c r="N992" s="29">
        <v>1</v>
      </c>
      <c r="P992" s="29">
        <v>1</v>
      </c>
      <c r="R992" s="29">
        <v>1</v>
      </c>
      <c r="S992" t="s">
        <v>70</v>
      </c>
      <c r="T992" t="s">
        <v>72</v>
      </c>
      <c r="U992" s="32">
        <v>30</v>
      </c>
      <c r="V992">
        <v>30</v>
      </c>
      <c r="W992" t="s">
        <v>79</v>
      </c>
      <c r="X992" t="s">
        <v>171</v>
      </c>
      <c r="Y992" t="s">
        <v>3408</v>
      </c>
      <c r="AA992" t="s">
        <v>75</v>
      </c>
      <c r="AC992" t="s">
        <v>83</v>
      </c>
      <c r="AE992" t="s">
        <v>75</v>
      </c>
      <c r="AF992" t="s">
        <v>84</v>
      </c>
      <c r="AG992" t="s">
        <v>84</v>
      </c>
      <c r="AH992" s="33">
        <f t="shared" si="46"/>
      </c>
      <c r="AI992" s="33">
        <f t="shared" si="47"/>
      </c>
    </row>
    <row r="993" ht="27.6" customHeight="1" spans="1:35" x14ac:dyDescent="0.25">
      <c r="A993" s="27" t="s">
        <v>3410</v>
      </c>
      <c r="B993">
        <f t="shared" si="45"/>
        <v>0</v>
      </c>
      <c r="C993" t="s">
        <v>64</v>
      </c>
      <c r="D993" s="27" t="s">
        <v>102</v>
      </c>
      <c r="E993" t="s">
        <v>3411</v>
      </c>
      <c r="F993" s="28">
        <v>0</v>
      </c>
      <c r="G993" s="29">
        <v>1</v>
      </c>
      <c r="H993" s="30" t="s">
        <v>3412</v>
      </c>
      <c r="I993" t="s">
        <v>65</v>
      </c>
      <c r="J993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145</v>
      </c>
      <c r="L993" t="s">
        <v>146</v>
      </c>
      <c r="N993" s="29">
        <v>1</v>
      </c>
      <c r="P993" s="29">
        <v>1</v>
      </c>
      <c r="R993" s="29">
        <v>1</v>
      </c>
      <c r="S993" t="s">
        <v>70</v>
      </c>
      <c r="T993" t="s">
        <v>72</v>
      </c>
      <c r="U993" s="32">
        <v>30</v>
      </c>
      <c r="V993">
        <v>30</v>
      </c>
      <c r="W993" t="s">
        <v>79</v>
      </c>
      <c r="X993" t="s">
        <v>171</v>
      </c>
      <c r="Y993" t="s">
        <v>3411</v>
      </c>
      <c r="AA993" t="s">
        <v>75</v>
      </c>
      <c r="AC993" t="s">
        <v>83</v>
      </c>
      <c r="AE993" t="s">
        <v>75</v>
      </c>
      <c r="AF993" t="s">
        <v>84</v>
      </c>
      <c r="AG993" t="s">
        <v>84</v>
      </c>
      <c r="AH993" s="33">
        <f t="shared" si="46"/>
      </c>
      <c r="AI993" s="33">
        <f t="shared" si="47"/>
      </c>
    </row>
    <row r="994" ht="27.6" customHeight="1" spans="1:35" x14ac:dyDescent="0.25">
      <c r="A994" s="27" t="s">
        <v>3413</v>
      </c>
      <c r="B994">
        <f t="shared" si="45"/>
        <v>0</v>
      </c>
      <c r="C994" t="s">
        <v>64</v>
      </c>
      <c r="D994" s="27" t="s">
        <v>102</v>
      </c>
      <c r="E994" t="s">
        <v>3414</v>
      </c>
      <c r="F994" s="28">
        <v>2</v>
      </c>
      <c r="G994" s="29">
        <v>1</v>
      </c>
      <c r="H994" s="30" t="s">
        <v>3415</v>
      </c>
      <c r="I994" t="s">
        <v>65</v>
      </c>
      <c r="J994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145</v>
      </c>
      <c r="L994" t="s">
        <v>146</v>
      </c>
      <c r="N994" s="29">
        <v>1</v>
      </c>
      <c r="P994" s="29">
        <v>1</v>
      </c>
      <c r="R994" s="29">
        <v>1</v>
      </c>
      <c r="S994" t="s">
        <v>70</v>
      </c>
      <c r="T994" t="s">
        <v>72</v>
      </c>
      <c r="U994" s="32">
        <v>30</v>
      </c>
      <c r="V994">
        <v>30</v>
      </c>
      <c r="W994" t="s">
        <v>79</v>
      </c>
      <c r="X994" t="s">
        <v>171</v>
      </c>
      <c r="Y994" t="s">
        <v>3414</v>
      </c>
      <c r="AA994" t="s">
        <v>75</v>
      </c>
      <c r="AC994" t="s">
        <v>83</v>
      </c>
      <c r="AE994" t="s">
        <v>75</v>
      </c>
      <c r="AF994" t="s">
        <v>84</v>
      </c>
      <c r="AG994" t="s">
        <v>84</v>
      </c>
      <c r="AH994" s="33">
        <f t="shared" si="46"/>
      </c>
      <c r="AI994" s="33">
        <f t="shared" si="47"/>
      </c>
    </row>
    <row r="995" ht="27.6" customHeight="1" spans="1:35" x14ac:dyDescent="0.25">
      <c r="A995" s="27" t="s">
        <v>699</v>
      </c>
      <c r="B995">
        <f t="shared" si="45"/>
        <v>0</v>
      </c>
      <c r="C995" t="s">
        <v>64</v>
      </c>
      <c r="D995" s="27" t="s">
        <v>3416</v>
      </c>
      <c r="E995" t="s">
        <v>3417</v>
      </c>
      <c r="F995" s="28">
        <v>0</v>
      </c>
      <c r="G995" s="29">
        <v>1</v>
      </c>
      <c r="H995" s="30" t="s">
        <v>3418</v>
      </c>
      <c r="I995" t="s">
        <v>65</v>
      </c>
      <c r="J995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145</v>
      </c>
      <c r="L995" t="s">
        <v>146</v>
      </c>
      <c r="N995" s="29">
        <v>1</v>
      </c>
      <c r="P995" s="29">
        <v>1</v>
      </c>
      <c r="R995" s="29">
        <v>1</v>
      </c>
      <c r="S995" t="s">
        <v>70</v>
      </c>
      <c r="T995" t="s">
        <v>72</v>
      </c>
      <c r="U995" s="32">
        <v>30</v>
      </c>
      <c r="V995">
        <v>30</v>
      </c>
      <c r="W995" t="s">
        <v>79</v>
      </c>
      <c r="X995" t="s">
        <v>171</v>
      </c>
      <c r="Y995" t="s">
        <v>3419</v>
      </c>
      <c r="AA995" t="s">
        <v>75</v>
      </c>
      <c r="AC995" t="s">
        <v>83</v>
      </c>
      <c r="AE995" t="s">
        <v>75</v>
      </c>
      <c r="AF995" t="s">
        <v>84</v>
      </c>
      <c r="AG995" t="s">
        <v>84</v>
      </c>
      <c r="AH995" s="33">
        <f t="shared" si="46"/>
      </c>
      <c r="AI995" s="33">
        <f t="shared" si="47"/>
      </c>
    </row>
    <row r="996" ht="27.6" customHeight="1" spans="1:35" x14ac:dyDescent="0.25">
      <c r="A996" s="27" t="s">
        <v>3420</v>
      </c>
      <c r="B996">
        <f t="shared" si="45"/>
        <v>0</v>
      </c>
      <c r="C996" t="s">
        <v>64</v>
      </c>
      <c r="D996" s="27" t="s">
        <v>102</v>
      </c>
      <c r="E996" t="s">
        <v>3421</v>
      </c>
      <c r="F996" s="28">
        <v>0</v>
      </c>
      <c r="G996" s="29">
        <v>1</v>
      </c>
      <c r="H996" s="30" t="s">
        <v>3422</v>
      </c>
      <c r="I996" t="s">
        <v>65</v>
      </c>
      <c r="J996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145</v>
      </c>
      <c r="L996" t="s">
        <v>146</v>
      </c>
      <c r="N996" s="29">
        <v>1</v>
      </c>
      <c r="P996" s="29">
        <v>1</v>
      </c>
      <c r="R996" s="29">
        <v>1</v>
      </c>
      <c r="S996" t="s">
        <v>70</v>
      </c>
      <c r="T996" t="s">
        <v>72</v>
      </c>
      <c r="U996" s="32">
        <v>30</v>
      </c>
      <c r="V996">
        <v>30</v>
      </c>
      <c r="W996" t="s">
        <v>79</v>
      </c>
      <c r="X996" t="s">
        <v>770</v>
      </c>
      <c r="Y996" t="s">
        <v>3423</v>
      </c>
      <c r="AA996" t="s">
        <v>75</v>
      </c>
      <c r="AC996" t="s">
        <v>83</v>
      </c>
      <c r="AE996" t="s">
        <v>75</v>
      </c>
      <c r="AF996" t="s">
        <v>84</v>
      </c>
      <c r="AG996" t="s">
        <v>84</v>
      </c>
      <c r="AH996" s="33">
        <f t="shared" si="46"/>
      </c>
      <c r="AI996" s="33">
        <f t="shared" si="47"/>
      </c>
    </row>
    <row r="997" ht="27.6" customHeight="1" spans="1:35" x14ac:dyDescent="0.25">
      <c r="A997" s="27" t="s">
        <v>3424</v>
      </c>
      <c r="B997">
        <f t="shared" si="45"/>
        <v>0</v>
      </c>
      <c r="C997" t="s">
        <v>64</v>
      </c>
      <c r="D997" s="27" t="s">
        <v>102</v>
      </c>
      <c r="E997" t="s">
        <v>3425</v>
      </c>
      <c r="F997" s="28">
        <v>0</v>
      </c>
      <c r="G997" s="29">
        <v>1</v>
      </c>
      <c r="H997" s="30" t="s">
        <v>3426</v>
      </c>
      <c r="I997" t="s">
        <v>65</v>
      </c>
      <c r="J997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145</v>
      </c>
      <c r="L997" t="s">
        <v>146</v>
      </c>
      <c r="N997" s="29">
        <v>1</v>
      </c>
      <c r="P997" s="29">
        <v>1</v>
      </c>
      <c r="R997" s="29">
        <v>1</v>
      </c>
      <c r="S997" t="s">
        <v>70</v>
      </c>
      <c r="T997" t="s">
        <v>72</v>
      </c>
      <c r="U997" s="32">
        <v>30</v>
      </c>
      <c r="V997">
        <v>30</v>
      </c>
      <c r="W997" t="s">
        <v>79</v>
      </c>
      <c r="X997" t="s">
        <v>171</v>
      </c>
      <c r="Y997" t="s">
        <v>3425</v>
      </c>
      <c r="AA997" t="s">
        <v>75</v>
      </c>
      <c r="AC997" t="s">
        <v>83</v>
      </c>
      <c r="AE997" t="s">
        <v>75</v>
      </c>
      <c r="AF997" t="s">
        <v>84</v>
      </c>
      <c r="AG997" t="s">
        <v>84</v>
      </c>
      <c r="AH997" s="33">
        <f t="shared" si="46"/>
      </c>
      <c r="AI997" s="33">
        <f t="shared" si="47"/>
      </c>
    </row>
    <row r="998" ht="27.6" customHeight="1" spans="1:35" x14ac:dyDescent="0.25">
      <c r="A998" s="27" t="s">
        <v>3427</v>
      </c>
      <c r="B998">
        <f t="shared" si="45"/>
        <v>0</v>
      </c>
      <c r="C998" t="s">
        <v>64</v>
      </c>
      <c r="D998" s="27" t="s">
        <v>102</v>
      </c>
      <c r="E998" t="s">
        <v>3428</v>
      </c>
      <c r="F998" s="28">
        <v>0</v>
      </c>
      <c r="G998" s="29">
        <v>1</v>
      </c>
      <c r="H998" s="30" t="s">
        <v>3429</v>
      </c>
      <c r="I998" t="s">
        <v>65</v>
      </c>
      <c r="J998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145</v>
      </c>
      <c r="L998" t="s">
        <v>146</v>
      </c>
      <c r="N998" s="29">
        <v>1</v>
      </c>
      <c r="P998" s="29">
        <v>1</v>
      </c>
      <c r="R998" s="29">
        <v>1</v>
      </c>
      <c r="S998" t="s">
        <v>70</v>
      </c>
      <c r="T998" t="s">
        <v>72</v>
      </c>
      <c r="U998" s="32">
        <v>30</v>
      </c>
      <c r="V998">
        <v>30</v>
      </c>
      <c r="W998" t="s">
        <v>79</v>
      </c>
      <c r="X998" t="s">
        <v>171</v>
      </c>
      <c r="Y998" t="s">
        <v>3428</v>
      </c>
      <c r="AA998" t="s">
        <v>75</v>
      </c>
      <c r="AC998" t="s">
        <v>83</v>
      </c>
      <c r="AE998" t="s">
        <v>75</v>
      </c>
      <c r="AF998" t="s">
        <v>84</v>
      </c>
      <c r="AG998" t="s">
        <v>84</v>
      </c>
      <c r="AH998" s="33">
        <f t="shared" si="46"/>
      </c>
      <c r="AI998" s="33">
        <f t="shared" si="47"/>
      </c>
    </row>
    <row r="999" ht="27.6" customHeight="1" spans="1:35" x14ac:dyDescent="0.25">
      <c r="A999" s="27" t="s">
        <v>3430</v>
      </c>
      <c r="B999">
        <f t="shared" si="45"/>
        <v>0</v>
      </c>
      <c r="C999" t="s">
        <v>64</v>
      </c>
      <c r="D999" s="27" t="s">
        <v>102</v>
      </c>
      <c r="E999" t="s">
        <v>3431</v>
      </c>
      <c r="F999" s="28">
        <v>0</v>
      </c>
      <c r="G999" s="29">
        <v>1</v>
      </c>
      <c r="H999" s="30" t="s">
        <v>3432</v>
      </c>
      <c r="I999" t="s">
        <v>65</v>
      </c>
      <c r="J999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145</v>
      </c>
      <c r="L999" t="s">
        <v>146</v>
      </c>
      <c r="N999" s="29">
        <v>1</v>
      </c>
      <c r="P999" s="29">
        <v>1</v>
      </c>
      <c r="R999" s="29">
        <v>1</v>
      </c>
      <c r="S999" t="s">
        <v>70</v>
      </c>
      <c r="T999" t="s">
        <v>72</v>
      </c>
      <c r="U999" s="32">
        <v>30</v>
      </c>
      <c r="V999">
        <v>30</v>
      </c>
      <c r="W999" t="s">
        <v>79</v>
      </c>
      <c r="X999" t="s">
        <v>171</v>
      </c>
      <c r="Y999" t="s">
        <v>3431</v>
      </c>
      <c r="AA999" t="s">
        <v>75</v>
      </c>
      <c r="AC999" t="s">
        <v>83</v>
      </c>
      <c r="AE999" t="s">
        <v>75</v>
      </c>
      <c r="AF999" t="s">
        <v>84</v>
      </c>
      <c r="AG999" t="s">
        <v>84</v>
      </c>
      <c r="AH999" s="33">
        <f t="shared" si="46"/>
      </c>
      <c r="AI999" s="33">
        <f t="shared" si="47"/>
      </c>
    </row>
    <row r="1000" ht="27.6" customHeight="1" spans="1:35" x14ac:dyDescent="0.25">
      <c r="A1000" s="27" t="s">
        <v>1579</v>
      </c>
      <c r="B1000">
        <f t="shared" si="45"/>
        <v>0</v>
      </c>
      <c r="C1000" t="s">
        <v>64</v>
      </c>
      <c r="D1000" s="27" t="s">
        <v>102</v>
      </c>
      <c r="E1000" t="s">
        <v>3433</v>
      </c>
      <c r="F1000" s="28">
        <v>0</v>
      </c>
      <c r="G1000" s="29">
        <v>1</v>
      </c>
      <c r="H1000" s="30" t="s">
        <v>3434</v>
      </c>
      <c r="I1000" t="s">
        <v>65</v>
      </c>
      <c r="J1000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145</v>
      </c>
      <c r="L1000" t="s">
        <v>146</v>
      </c>
      <c r="N1000" s="29">
        <v>1</v>
      </c>
      <c r="P1000" s="29">
        <v>1</v>
      </c>
      <c r="R1000" s="29">
        <v>1</v>
      </c>
      <c r="S1000" t="s">
        <v>70</v>
      </c>
      <c r="T1000" t="s">
        <v>72</v>
      </c>
      <c r="U1000" s="32">
        <v>30</v>
      </c>
      <c r="V1000">
        <v>30</v>
      </c>
      <c r="W1000" t="s">
        <v>79</v>
      </c>
      <c r="X1000" t="s">
        <v>171</v>
      </c>
      <c r="Y1000" t="s">
        <v>3435</v>
      </c>
      <c r="AA1000" t="s">
        <v>75</v>
      </c>
      <c r="AC1000" t="s">
        <v>83</v>
      </c>
      <c r="AE1000" t="s">
        <v>75</v>
      </c>
      <c r="AF1000" t="s">
        <v>84</v>
      </c>
      <c r="AG1000" t="s">
        <v>84</v>
      </c>
      <c r="AH1000" s="33">
        <f t="shared" si="46"/>
      </c>
      <c r="AI1000" s="33">
        <f t="shared" si="47"/>
      </c>
    </row>
    <row r="1001" ht="27.6" customHeight="1" spans="1:35" x14ac:dyDescent="0.25">
      <c r="A1001" s="27" t="s">
        <v>1579</v>
      </c>
      <c r="B1001">
        <f t="shared" si="45"/>
        <v>0</v>
      </c>
      <c r="C1001" t="s">
        <v>64</v>
      </c>
      <c r="D1001" s="27" t="s">
        <v>102</v>
      </c>
      <c r="E1001" t="s">
        <v>3433</v>
      </c>
      <c r="F1001" s="28">
        <v>0</v>
      </c>
      <c r="G1001" s="29">
        <v>1</v>
      </c>
      <c r="H1001" s="30" t="s">
        <v>3436</v>
      </c>
      <c r="I1001" t="s">
        <v>65</v>
      </c>
      <c r="J1001" s="31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145</v>
      </c>
      <c r="L1001" t="s">
        <v>146</v>
      </c>
      <c r="N1001" s="29">
        <v>1</v>
      </c>
      <c r="P1001" s="29">
        <v>1</v>
      </c>
      <c r="R1001" s="29">
        <v>1</v>
      </c>
      <c r="S1001" t="s">
        <v>70</v>
      </c>
      <c r="T1001" t="s">
        <v>72</v>
      </c>
      <c r="U1001" s="32">
        <v>30</v>
      </c>
      <c r="V1001">
        <v>30</v>
      </c>
      <c r="W1001" t="s">
        <v>79</v>
      </c>
      <c r="X1001" t="s">
        <v>171</v>
      </c>
      <c r="Y1001" t="s">
        <v>3435</v>
      </c>
      <c r="AA1001" t="s">
        <v>75</v>
      </c>
      <c r="AC1001" t="s">
        <v>83</v>
      </c>
      <c r="AE1001" t="s">
        <v>75</v>
      </c>
      <c r="AF1001" t="s">
        <v>84</v>
      </c>
      <c r="AG1001" t="s">
        <v>84</v>
      </c>
      <c r="AH1001" s="33">
        <f t="shared" si="46"/>
      </c>
      <c r="AI1001" s="33">
        <f t="shared" si="47"/>
      </c>
    </row>
    <row r="1002" spans="1:25" x14ac:dyDescent="0.25">
      <c r="A1002" s="27" t="s">
        <v>3437</v>
      </c>
      <c r="C1002" t="s">
        <v>64</v>
      </c>
      <c r="D1002" s="27" t="s">
        <v>3438</v>
      </c>
      <c r="E1002" t="s">
        <v>3439</v>
      </c>
      <c r="F1002" s="28">
        <v>2</v>
      </c>
      <c r="G1002" s="29">
        <v>1</v>
      </c>
      <c r="H1002" s="30" t="s">
        <v>3440</v>
      </c>
      <c r="I1002" t="s">
        <v>65</v>
      </c>
      <c r="K1002" t="s">
        <v>145</v>
      </c>
      <c r="L1002" t="s">
        <v>146</v>
      </c>
      <c r="N1002" s="29">
        <v>1</v>
      </c>
      <c r="P1002" s="29">
        <v>1</v>
      </c>
      <c r="R1002" s="29">
        <v>1</v>
      </c>
      <c r="S1002" t="s">
        <v>70</v>
      </c>
      <c r="T1002" t="s">
        <v>72</v>
      </c>
      <c r="U1002" s="32">
        <v>30</v>
      </c>
      <c r="V1002">
        <v>30</v>
      </c>
      <c r="X1002" t="s">
        <v>171</v>
      </c>
      <c r="Y1002" t="s">
        <v>3441</v>
      </c>
    </row>
    <row r="1003" spans="1:25" x14ac:dyDescent="0.25">
      <c r="A1003" s="27" t="s">
        <v>3442</v>
      </c>
      <c r="C1003" t="s">
        <v>64</v>
      </c>
      <c r="D1003" s="27" t="s">
        <v>102</v>
      </c>
      <c r="E1003" t="s">
        <v>3443</v>
      </c>
      <c r="F1003" s="28">
        <v>0</v>
      </c>
      <c r="G1003" s="29">
        <v>1</v>
      </c>
      <c r="H1003" s="30" t="s">
        <v>3444</v>
      </c>
      <c r="I1003" t="s">
        <v>65</v>
      </c>
      <c r="K1003" t="s">
        <v>145</v>
      </c>
      <c r="L1003" t="s">
        <v>146</v>
      </c>
      <c r="N1003" s="29">
        <v>1</v>
      </c>
      <c r="P1003" s="29">
        <v>1</v>
      </c>
      <c r="R1003" s="29">
        <v>1</v>
      </c>
      <c r="S1003" t="s">
        <v>70</v>
      </c>
      <c r="T1003" t="s">
        <v>72</v>
      </c>
      <c r="U1003" s="32">
        <v>30</v>
      </c>
      <c r="V1003">
        <v>30</v>
      </c>
      <c r="X1003" t="s">
        <v>171</v>
      </c>
      <c r="Y1003" t="s">
        <v>3445</v>
      </c>
    </row>
    <row r="1004" spans="1:25" x14ac:dyDescent="0.25">
      <c r="A1004" s="27" t="s">
        <v>1558</v>
      </c>
      <c r="C1004" t="s">
        <v>64</v>
      </c>
      <c r="D1004" s="27" t="s">
        <v>3446</v>
      </c>
      <c r="E1004" t="s">
        <v>3447</v>
      </c>
      <c r="F1004" s="28">
        <v>0</v>
      </c>
      <c r="G1004" s="29">
        <v>1</v>
      </c>
      <c r="H1004" s="30" t="s">
        <v>3448</v>
      </c>
      <c r="I1004" t="s">
        <v>65</v>
      </c>
      <c r="K1004" t="s">
        <v>145</v>
      </c>
      <c r="L1004" t="s">
        <v>146</v>
      </c>
      <c r="N1004" s="29">
        <v>1</v>
      </c>
      <c r="P1004" s="29">
        <v>1</v>
      </c>
      <c r="R1004" s="29">
        <v>1</v>
      </c>
      <c r="S1004" t="s">
        <v>70</v>
      </c>
      <c r="T1004" t="s">
        <v>72</v>
      </c>
      <c r="U1004" s="32">
        <v>30</v>
      </c>
      <c r="V1004">
        <v>30</v>
      </c>
      <c r="X1004" t="s">
        <v>3322</v>
      </c>
      <c r="Y1004" t="s">
        <v>3449</v>
      </c>
    </row>
    <row r="1005" spans="1:25" x14ac:dyDescent="0.25">
      <c r="A1005" s="27" t="s">
        <v>2688</v>
      </c>
      <c r="C1005" t="s">
        <v>64</v>
      </c>
      <c r="D1005" s="27" t="s">
        <v>3450</v>
      </c>
      <c r="E1005" t="s">
        <v>3451</v>
      </c>
      <c r="F1005" s="28">
        <v>0</v>
      </c>
      <c r="G1005" s="29">
        <v>1</v>
      </c>
      <c r="H1005" s="30" t="s">
        <v>3452</v>
      </c>
      <c r="I1005" t="s">
        <v>65</v>
      </c>
      <c r="K1005" t="s">
        <v>145</v>
      </c>
      <c r="L1005" t="s">
        <v>146</v>
      </c>
      <c r="N1005" s="29">
        <v>1</v>
      </c>
      <c r="P1005" s="29">
        <v>1</v>
      </c>
      <c r="R1005" s="29">
        <v>1</v>
      </c>
      <c r="S1005" t="s">
        <v>70</v>
      </c>
      <c r="T1005" t="s">
        <v>72</v>
      </c>
      <c r="U1005" s="32">
        <v>30</v>
      </c>
      <c r="V1005">
        <v>30</v>
      </c>
      <c r="X1005" t="s">
        <v>171</v>
      </c>
      <c r="Y1005" t="s">
        <v>3453</v>
      </c>
    </row>
    <row r="1006" spans="1:25" x14ac:dyDescent="0.25">
      <c r="A1006" s="27" t="s">
        <v>3454</v>
      </c>
      <c r="C1006" t="s">
        <v>64</v>
      </c>
      <c r="D1006" s="27" t="s">
        <v>102</v>
      </c>
      <c r="E1006" t="s">
        <v>3455</v>
      </c>
      <c r="F1006" s="28">
        <v>0</v>
      </c>
      <c r="G1006" s="29">
        <v>1</v>
      </c>
      <c r="H1006" s="30" t="s">
        <v>3456</v>
      </c>
      <c r="I1006" t="s">
        <v>65</v>
      </c>
      <c r="K1006" t="s">
        <v>145</v>
      </c>
      <c r="L1006" t="s">
        <v>146</v>
      </c>
      <c r="N1006" s="29">
        <v>1</v>
      </c>
      <c r="P1006" s="29">
        <v>1</v>
      </c>
      <c r="R1006" s="29">
        <v>1</v>
      </c>
      <c r="S1006" t="s">
        <v>70</v>
      </c>
      <c r="T1006" t="s">
        <v>72</v>
      </c>
      <c r="U1006" s="32">
        <v>30</v>
      </c>
      <c r="V1006">
        <v>30</v>
      </c>
      <c r="X1006" t="s">
        <v>980</v>
      </c>
      <c r="Y1006" t="s">
        <v>3455</v>
      </c>
    </row>
    <row r="1007" spans="1:25" x14ac:dyDescent="0.25">
      <c r="A1007" s="27" t="s">
        <v>3457</v>
      </c>
      <c r="C1007" t="s">
        <v>64</v>
      </c>
      <c r="D1007" s="27" t="s">
        <v>102</v>
      </c>
      <c r="E1007" t="s">
        <v>3458</v>
      </c>
      <c r="F1007" s="28">
        <v>0</v>
      </c>
      <c r="G1007" s="29">
        <v>1</v>
      </c>
      <c r="H1007" s="30" t="s">
        <v>3459</v>
      </c>
      <c r="I1007" t="s">
        <v>65</v>
      </c>
      <c r="K1007" t="s">
        <v>145</v>
      </c>
      <c r="L1007" t="s">
        <v>146</v>
      </c>
      <c r="N1007" s="29">
        <v>1</v>
      </c>
      <c r="P1007" s="29">
        <v>1</v>
      </c>
      <c r="R1007" s="29">
        <v>1</v>
      </c>
      <c r="S1007" t="s">
        <v>70</v>
      </c>
      <c r="T1007" t="s">
        <v>72</v>
      </c>
      <c r="U1007" s="32">
        <v>30</v>
      </c>
      <c r="V1007">
        <v>30</v>
      </c>
      <c r="X1007" t="s">
        <v>980</v>
      </c>
      <c r="Y1007" t="s">
        <v>3458</v>
      </c>
    </row>
    <row r="1008" spans="1:25" x14ac:dyDescent="0.25">
      <c r="A1008" s="27" t="s">
        <v>3460</v>
      </c>
      <c r="C1008" t="s">
        <v>64</v>
      </c>
      <c r="D1008" s="27" t="s">
        <v>102</v>
      </c>
      <c r="E1008" t="s">
        <v>3461</v>
      </c>
      <c r="F1008" s="28">
        <v>0</v>
      </c>
      <c r="G1008" s="29">
        <v>1</v>
      </c>
      <c r="H1008" s="30" t="s">
        <v>3462</v>
      </c>
      <c r="I1008" t="s">
        <v>65</v>
      </c>
      <c r="K1008" t="s">
        <v>145</v>
      </c>
      <c r="L1008" t="s">
        <v>146</v>
      </c>
      <c r="N1008" s="29">
        <v>1</v>
      </c>
      <c r="P1008" s="29">
        <v>1</v>
      </c>
      <c r="R1008" s="29">
        <v>1</v>
      </c>
      <c r="S1008" t="s">
        <v>70</v>
      </c>
      <c r="T1008" t="s">
        <v>72</v>
      </c>
      <c r="U1008" s="32">
        <v>30</v>
      </c>
      <c r="V1008">
        <v>30</v>
      </c>
      <c r="X1008" t="s">
        <v>980</v>
      </c>
      <c r="Y1008" t="s">
        <v>3461</v>
      </c>
    </row>
    <row r="1009" spans="1:25" x14ac:dyDescent="0.25">
      <c r="A1009" s="27" t="s">
        <v>3463</v>
      </c>
      <c r="C1009" t="s">
        <v>64</v>
      </c>
      <c r="D1009" s="27" t="s">
        <v>102</v>
      </c>
      <c r="E1009" t="s">
        <v>3464</v>
      </c>
      <c r="F1009" s="28">
        <v>0</v>
      </c>
      <c r="G1009" s="29">
        <v>1</v>
      </c>
      <c r="H1009" s="30" t="s">
        <v>3465</v>
      </c>
      <c r="I1009" t="s">
        <v>65</v>
      </c>
      <c r="K1009" t="s">
        <v>145</v>
      </c>
      <c r="L1009" t="s">
        <v>146</v>
      </c>
      <c r="N1009" s="29">
        <v>1</v>
      </c>
      <c r="P1009" s="29">
        <v>1</v>
      </c>
      <c r="R1009" s="29">
        <v>1</v>
      </c>
      <c r="S1009" t="s">
        <v>70</v>
      </c>
      <c r="T1009" t="s">
        <v>72</v>
      </c>
      <c r="U1009" s="32">
        <v>30</v>
      </c>
      <c r="V1009">
        <v>30</v>
      </c>
      <c r="X1009" t="s">
        <v>980</v>
      </c>
      <c r="Y1009" t="s">
        <v>3464</v>
      </c>
    </row>
    <row r="1010" spans="1:25" x14ac:dyDescent="0.25">
      <c r="A1010" s="27" t="s">
        <v>3466</v>
      </c>
      <c r="C1010" t="s">
        <v>64</v>
      </c>
      <c r="D1010" s="27" t="s">
        <v>102</v>
      </c>
      <c r="E1010" t="s">
        <v>3467</v>
      </c>
      <c r="F1010" s="28">
        <v>0</v>
      </c>
      <c r="G1010" s="29">
        <v>1</v>
      </c>
      <c r="H1010" s="30" t="s">
        <v>3468</v>
      </c>
      <c r="I1010" t="s">
        <v>65</v>
      </c>
      <c r="K1010" t="s">
        <v>145</v>
      </c>
      <c r="L1010" t="s">
        <v>146</v>
      </c>
      <c r="N1010" s="29">
        <v>1</v>
      </c>
      <c r="P1010" s="29">
        <v>1</v>
      </c>
      <c r="R1010" s="29">
        <v>1</v>
      </c>
      <c r="S1010" t="s">
        <v>70</v>
      </c>
      <c r="T1010" t="s">
        <v>72</v>
      </c>
      <c r="U1010" s="32">
        <v>30</v>
      </c>
      <c r="V1010">
        <v>30</v>
      </c>
      <c r="X1010" t="s">
        <v>980</v>
      </c>
      <c r="Y1010" t="s">
        <v>3467</v>
      </c>
    </row>
    <row r="1011" spans="1:25" x14ac:dyDescent="0.25">
      <c r="A1011" s="27" t="s">
        <v>3469</v>
      </c>
      <c r="C1011" t="s">
        <v>64</v>
      </c>
      <c r="D1011" s="27" t="s">
        <v>102</v>
      </c>
      <c r="E1011" t="s">
        <v>3470</v>
      </c>
      <c r="F1011" s="28">
        <v>0</v>
      </c>
      <c r="G1011" s="29">
        <v>1</v>
      </c>
      <c r="H1011" s="30" t="s">
        <v>3471</v>
      </c>
      <c r="I1011" t="s">
        <v>65</v>
      </c>
      <c r="K1011" t="s">
        <v>145</v>
      </c>
      <c r="L1011" t="s">
        <v>146</v>
      </c>
      <c r="N1011" s="29">
        <v>1</v>
      </c>
      <c r="P1011" s="29">
        <v>1</v>
      </c>
      <c r="R1011" s="29">
        <v>1</v>
      </c>
      <c r="S1011" t="s">
        <v>70</v>
      </c>
      <c r="T1011" t="s">
        <v>72</v>
      </c>
      <c r="U1011" s="32">
        <v>30</v>
      </c>
      <c r="V1011">
        <v>30</v>
      </c>
      <c r="X1011" t="s">
        <v>980</v>
      </c>
      <c r="Y1011" t="s">
        <v>3470</v>
      </c>
    </row>
    <row r="1012" spans="1:25" x14ac:dyDescent="0.25">
      <c r="A1012" s="27" t="s">
        <v>3472</v>
      </c>
      <c r="C1012" t="s">
        <v>64</v>
      </c>
      <c r="D1012" s="27" t="s">
        <v>102</v>
      </c>
      <c r="E1012" t="s">
        <v>3473</v>
      </c>
      <c r="F1012" s="28">
        <v>0</v>
      </c>
      <c r="G1012" s="29">
        <v>1</v>
      </c>
      <c r="H1012" s="30" t="s">
        <v>3474</v>
      </c>
      <c r="I1012" t="s">
        <v>65</v>
      </c>
      <c r="K1012" t="s">
        <v>145</v>
      </c>
      <c r="L1012" t="s">
        <v>146</v>
      </c>
      <c r="N1012" s="29">
        <v>1</v>
      </c>
      <c r="P1012" s="29">
        <v>1</v>
      </c>
      <c r="R1012" s="29">
        <v>1</v>
      </c>
      <c r="S1012" t="s">
        <v>70</v>
      </c>
      <c r="T1012" t="s">
        <v>72</v>
      </c>
      <c r="U1012" s="32">
        <v>30</v>
      </c>
      <c r="V1012">
        <v>30</v>
      </c>
      <c r="X1012" t="s">
        <v>3371</v>
      </c>
      <c r="Y1012" t="s">
        <v>3475</v>
      </c>
    </row>
    <row r="1013" spans="1:25" x14ac:dyDescent="0.25">
      <c r="A1013" s="27" t="s">
        <v>3472</v>
      </c>
      <c r="C1013" t="s">
        <v>64</v>
      </c>
      <c r="D1013" s="27" t="s">
        <v>102</v>
      </c>
      <c r="E1013" t="s">
        <v>3476</v>
      </c>
      <c r="F1013" s="28">
        <v>0</v>
      </c>
      <c r="G1013" s="29">
        <v>1</v>
      </c>
      <c r="H1013" s="30" t="s">
        <v>3477</v>
      </c>
      <c r="I1013" t="s">
        <v>65</v>
      </c>
      <c r="K1013" t="s">
        <v>145</v>
      </c>
      <c r="L1013" t="s">
        <v>146</v>
      </c>
      <c r="N1013" s="29">
        <v>1</v>
      </c>
      <c r="P1013" s="29">
        <v>1</v>
      </c>
      <c r="R1013" s="29">
        <v>1</v>
      </c>
      <c r="S1013" t="s">
        <v>70</v>
      </c>
      <c r="T1013" t="s">
        <v>72</v>
      </c>
      <c r="U1013" s="32">
        <v>30</v>
      </c>
      <c r="V1013">
        <v>30</v>
      </c>
      <c r="X1013" t="s">
        <v>3478</v>
      </c>
      <c r="Y1013" t="s">
        <v>3479</v>
      </c>
    </row>
    <row r="1014" spans="1:25" x14ac:dyDescent="0.25">
      <c r="A1014" s="27" t="s">
        <v>3480</v>
      </c>
      <c r="C1014" t="s">
        <v>64</v>
      </c>
      <c r="D1014" s="27" t="s">
        <v>102</v>
      </c>
      <c r="E1014" t="s">
        <v>3481</v>
      </c>
      <c r="F1014" s="28">
        <v>0</v>
      </c>
      <c r="G1014" s="29">
        <v>1</v>
      </c>
      <c r="H1014" s="30" t="s">
        <v>3482</v>
      </c>
      <c r="I1014" t="s">
        <v>65</v>
      </c>
      <c r="K1014" t="s">
        <v>145</v>
      </c>
      <c r="L1014" t="s">
        <v>146</v>
      </c>
      <c r="N1014" s="29">
        <v>1</v>
      </c>
      <c r="P1014" s="29">
        <v>1</v>
      </c>
      <c r="R1014" s="29">
        <v>1</v>
      </c>
      <c r="S1014" t="s">
        <v>70</v>
      </c>
      <c r="T1014" t="s">
        <v>72</v>
      </c>
      <c r="U1014" s="32">
        <v>30</v>
      </c>
      <c r="V1014">
        <v>30</v>
      </c>
      <c r="X1014" t="s">
        <v>3483</v>
      </c>
      <c r="Y1014" t="s">
        <v>3481</v>
      </c>
    </row>
    <row r="1015" spans="1:25" x14ac:dyDescent="0.25">
      <c r="A1015" s="27" t="s">
        <v>3484</v>
      </c>
      <c r="C1015" t="s">
        <v>64</v>
      </c>
      <c r="D1015" s="27" t="s">
        <v>102</v>
      </c>
      <c r="E1015" t="s">
        <v>3485</v>
      </c>
      <c r="F1015" s="28">
        <v>0</v>
      </c>
      <c r="G1015" s="29">
        <v>1</v>
      </c>
      <c r="H1015" s="30" t="s">
        <v>3486</v>
      </c>
      <c r="I1015" t="s">
        <v>65</v>
      </c>
      <c r="K1015" t="s">
        <v>145</v>
      </c>
      <c r="L1015" t="s">
        <v>146</v>
      </c>
      <c r="N1015" s="29">
        <v>1</v>
      </c>
      <c r="P1015" s="29">
        <v>1</v>
      </c>
      <c r="R1015" s="29">
        <v>1</v>
      </c>
      <c r="S1015" t="s">
        <v>70</v>
      </c>
      <c r="T1015" t="s">
        <v>72</v>
      </c>
      <c r="U1015" s="32">
        <v>30</v>
      </c>
      <c r="V1015">
        <v>30</v>
      </c>
      <c r="X1015" t="s">
        <v>3483</v>
      </c>
      <c r="Y1015" t="s">
        <v>3485</v>
      </c>
    </row>
    <row r="1016" spans="1:25" x14ac:dyDescent="0.25">
      <c r="A1016" s="27" t="s">
        <v>1290</v>
      </c>
      <c r="C1016" t="s">
        <v>64</v>
      </c>
      <c r="D1016" s="27" t="s">
        <v>3487</v>
      </c>
      <c r="E1016" t="s">
        <v>3488</v>
      </c>
      <c r="F1016" s="28">
        <v>0</v>
      </c>
      <c r="G1016" s="29">
        <v>1</v>
      </c>
      <c r="H1016" s="30" t="s">
        <v>3489</v>
      </c>
      <c r="I1016" t="s">
        <v>65</v>
      </c>
      <c r="K1016" t="s">
        <v>145</v>
      </c>
      <c r="L1016" t="s">
        <v>146</v>
      </c>
      <c r="N1016" s="29">
        <v>1</v>
      </c>
      <c r="P1016" s="29">
        <v>1</v>
      </c>
      <c r="R1016" s="29">
        <v>1</v>
      </c>
      <c r="S1016" t="s">
        <v>70</v>
      </c>
      <c r="T1016" t="s">
        <v>72</v>
      </c>
      <c r="U1016" s="32">
        <v>30</v>
      </c>
      <c r="V1016">
        <v>30</v>
      </c>
      <c r="X1016" t="s">
        <v>3371</v>
      </c>
      <c r="Y1016" t="s">
        <v>1293</v>
      </c>
    </row>
    <row r="1017" spans="1:25" x14ac:dyDescent="0.25">
      <c r="A1017" s="27" t="s">
        <v>1286</v>
      </c>
      <c r="C1017" t="s">
        <v>64</v>
      </c>
      <c r="D1017" s="27" t="s">
        <v>3490</v>
      </c>
      <c r="E1017" t="s">
        <v>3491</v>
      </c>
      <c r="F1017" s="28">
        <v>0</v>
      </c>
      <c r="G1017" s="29">
        <v>1</v>
      </c>
      <c r="H1017" s="30" t="s">
        <v>3492</v>
      </c>
      <c r="I1017" t="s">
        <v>65</v>
      </c>
      <c r="K1017" t="s">
        <v>145</v>
      </c>
      <c r="L1017" t="s">
        <v>146</v>
      </c>
      <c r="N1017" s="29">
        <v>1</v>
      </c>
      <c r="P1017" s="29">
        <v>1</v>
      </c>
      <c r="R1017" s="29">
        <v>1</v>
      </c>
      <c r="S1017" t="s">
        <v>70</v>
      </c>
      <c r="T1017" t="s">
        <v>72</v>
      </c>
      <c r="U1017" s="32">
        <v>30</v>
      </c>
      <c r="V1017">
        <v>30</v>
      </c>
      <c r="X1017" t="s">
        <v>3371</v>
      </c>
      <c r="Y1017" t="s">
        <v>1289</v>
      </c>
    </row>
    <row r="1018" spans="1:25" x14ac:dyDescent="0.25">
      <c r="A1018" s="27" t="s">
        <v>1136</v>
      </c>
      <c r="C1018" t="s">
        <v>64</v>
      </c>
      <c r="D1018" s="27" t="s">
        <v>102</v>
      </c>
      <c r="E1018" t="s">
        <v>3493</v>
      </c>
      <c r="F1018" s="28">
        <v>0</v>
      </c>
      <c r="G1018" s="29">
        <v>1</v>
      </c>
      <c r="H1018" s="30" t="s">
        <v>3494</v>
      </c>
      <c r="I1018" t="s">
        <v>65</v>
      </c>
      <c r="K1018" t="s">
        <v>145</v>
      </c>
      <c r="L1018" t="s">
        <v>146</v>
      </c>
      <c r="N1018" s="29">
        <v>1</v>
      </c>
      <c r="P1018" s="29">
        <v>1</v>
      </c>
      <c r="R1018" s="29">
        <v>1</v>
      </c>
      <c r="S1018" t="s">
        <v>70</v>
      </c>
      <c r="T1018" t="s">
        <v>72</v>
      </c>
      <c r="U1018" s="32">
        <v>30</v>
      </c>
      <c r="V1018">
        <v>30</v>
      </c>
      <c r="X1018" t="s">
        <v>3495</v>
      </c>
      <c r="Y1018" t="s">
        <v>1139</v>
      </c>
    </row>
    <row r="1019" spans="1:25" x14ac:dyDescent="0.25">
      <c r="A1019" s="27" t="s">
        <v>3496</v>
      </c>
      <c r="C1019" t="s">
        <v>64</v>
      </c>
      <c r="D1019" s="27" t="s">
        <v>102</v>
      </c>
      <c r="E1019" t="s">
        <v>3497</v>
      </c>
      <c r="F1019" s="28">
        <v>0</v>
      </c>
      <c r="G1019" s="29">
        <v>1</v>
      </c>
      <c r="H1019" s="30" t="s">
        <v>3498</v>
      </c>
      <c r="I1019" t="s">
        <v>65</v>
      </c>
      <c r="K1019" t="s">
        <v>145</v>
      </c>
      <c r="L1019" t="s">
        <v>146</v>
      </c>
      <c r="N1019" s="29">
        <v>1</v>
      </c>
      <c r="P1019" s="29">
        <v>1</v>
      </c>
      <c r="R1019" s="29">
        <v>1</v>
      </c>
      <c r="S1019" t="s">
        <v>70</v>
      </c>
      <c r="T1019" t="s">
        <v>72</v>
      </c>
      <c r="U1019" s="32">
        <v>30</v>
      </c>
      <c r="V1019">
        <v>30</v>
      </c>
      <c r="X1019" t="s">
        <v>3495</v>
      </c>
      <c r="Y1019" t="s">
        <v>3499</v>
      </c>
    </row>
    <row r="1020" spans="1:25" x14ac:dyDescent="0.25">
      <c r="A1020" s="27" t="s">
        <v>3500</v>
      </c>
      <c r="C1020" t="s">
        <v>64</v>
      </c>
      <c r="D1020" s="27" t="s">
        <v>102</v>
      </c>
      <c r="E1020" t="s">
        <v>3501</v>
      </c>
      <c r="F1020" s="28">
        <v>0</v>
      </c>
      <c r="G1020" s="29">
        <v>1</v>
      </c>
      <c r="H1020" s="30" t="s">
        <v>3502</v>
      </c>
      <c r="I1020" t="s">
        <v>65</v>
      </c>
      <c r="K1020" t="s">
        <v>145</v>
      </c>
      <c r="L1020" t="s">
        <v>146</v>
      </c>
      <c r="N1020" s="29">
        <v>1</v>
      </c>
      <c r="P1020" s="29">
        <v>1</v>
      </c>
      <c r="R1020" s="29">
        <v>1</v>
      </c>
      <c r="S1020" t="s">
        <v>70</v>
      </c>
      <c r="T1020" t="s">
        <v>72</v>
      </c>
      <c r="U1020" s="32">
        <v>30</v>
      </c>
      <c r="V1020">
        <v>30</v>
      </c>
      <c r="X1020" t="s">
        <v>3371</v>
      </c>
      <c r="Y1020" t="s">
        <v>3503</v>
      </c>
    </row>
    <row r="1021" spans="1:25" x14ac:dyDescent="0.25">
      <c r="A1021" s="27" t="s">
        <v>3504</v>
      </c>
      <c r="C1021" t="s">
        <v>64</v>
      </c>
      <c r="D1021" s="27" t="s">
        <v>102</v>
      </c>
      <c r="E1021" t="s">
        <v>3505</v>
      </c>
      <c r="F1021" s="28">
        <v>0</v>
      </c>
      <c r="G1021" s="29">
        <v>1</v>
      </c>
      <c r="H1021" s="30" t="s">
        <v>3506</v>
      </c>
      <c r="I1021" t="s">
        <v>65</v>
      </c>
      <c r="K1021" t="s">
        <v>145</v>
      </c>
      <c r="L1021" t="s">
        <v>146</v>
      </c>
      <c r="N1021" s="29">
        <v>1</v>
      </c>
      <c r="P1021" s="29">
        <v>1</v>
      </c>
      <c r="R1021" s="29">
        <v>1</v>
      </c>
      <c r="S1021" t="s">
        <v>70</v>
      </c>
      <c r="T1021" t="s">
        <v>72</v>
      </c>
      <c r="U1021" s="32">
        <v>30</v>
      </c>
      <c r="V1021">
        <v>30</v>
      </c>
      <c r="X1021" t="s">
        <v>3371</v>
      </c>
      <c r="Y1021" t="s">
        <v>3503</v>
      </c>
    </row>
    <row r="1022" spans="1:25" x14ac:dyDescent="0.25">
      <c r="A1022" s="27" t="s">
        <v>1118</v>
      </c>
      <c r="C1022" t="s">
        <v>64</v>
      </c>
      <c r="D1022" s="27" t="s">
        <v>3507</v>
      </c>
      <c r="E1022" t="s">
        <v>3508</v>
      </c>
      <c r="F1022" s="28">
        <v>0</v>
      </c>
      <c r="G1022" s="29">
        <v>1</v>
      </c>
      <c r="H1022" s="30" t="s">
        <v>3509</v>
      </c>
      <c r="I1022" t="s">
        <v>65</v>
      </c>
      <c r="K1022" t="s">
        <v>145</v>
      </c>
      <c r="L1022" t="s">
        <v>146</v>
      </c>
      <c r="N1022" s="29">
        <v>1</v>
      </c>
      <c r="P1022" s="29">
        <v>1</v>
      </c>
      <c r="R1022" s="29">
        <v>1</v>
      </c>
      <c r="S1022" t="s">
        <v>70</v>
      </c>
      <c r="T1022" t="s">
        <v>72</v>
      </c>
      <c r="U1022" s="32">
        <v>30</v>
      </c>
      <c r="V1022">
        <v>30</v>
      </c>
      <c r="X1022" t="s">
        <v>3495</v>
      </c>
      <c r="Y1022" t="s">
        <v>3510</v>
      </c>
    </row>
    <row r="1023" spans="1:25" x14ac:dyDescent="0.25">
      <c r="A1023" s="27" t="s">
        <v>1127</v>
      </c>
      <c r="C1023" t="s">
        <v>64</v>
      </c>
      <c r="D1023" s="27" t="s">
        <v>3511</v>
      </c>
      <c r="E1023" t="s">
        <v>3512</v>
      </c>
      <c r="F1023" s="28">
        <v>0</v>
      </c>
      <c r="G1023" s="29">
        <v>1</v>
      </c>
      <c r="H1023" s="30" t="s">
        <v>3513</v>
      </c>
      <c r="I1023" t="s">
        <v>65</v>
      </c>
      <c r="K1023" t="s">
        <v>145</v>
      </c>
      <c r="L1023" t="s">
        <v>146</v>
      </c>
      <c r="N1023" s="29">
        <v>1</v>
      </c>
      <c r="P1023" s="29">
        <v>1</v>
      </c>
      <c r="R1023" s="29">
        <v>1</v>
      </c>
      <c r="S1023" t="s">
        <v>70</v>
      </c>
      <c r="T1023" t="s">
        <v>72</v>
      </c>
      <c r="U1023" s="32">
        <v>30</v>
      </c>
      <c r="V1023">
        <v>30</v>
      </c>
      <c r="X1023" t="s">
        <v>3495</v>
      </c>
      <c r="Y1023" t="s">
        <v>3514</v>
      </c>
    </row>
    <row r="1024" spans="1:25" x14ac:dyDescent="0.25">
      <c r="A1024" s="27" t="s">
        <v>1118</v>
      </c>
      <c r="C1024" t="s">
        <v>64</v>
      </c>
      <c r="D1024" s="27" t="s">
        <v>102</v>
      </c>
      <c r="E1024" t="s">
        <v>3515</v>
      </c>
      <c r="F1024" s="28">
        <v>0</v>
      </c>
      <c r="G1024" s="29">
        <v>1</v>
      </c>
      <c r="H1024" s="30" t="s">
        <v>3516</v>
      </c>
      <c r="I1024" t="s">
        <v>65</v>
      </c>
      <c r="K1024" t="s">
        <v>145</v>
      </c>
      <c r="L1024" t="s">
        <v>146</v>
      </c>
      <c r="N1024" s="29">
        <v>1</v>
      </c>
      <c r="P1024" s="29">
        <v>1</v>
      </c>
      <c r="R1024" s="29">
        <v>1</v>
      </c>
      <c r="S1024" t="s">
        <v>70</v>
      </c>
      <c r="T1024" t="s">
        <v>72</v>
      </c>
      <c r="U1024" s="32">
        <v>30</v>
      </c>
      <c r="V1024">
        <v>30</v>
      </c>
      <c r="X1024" t="s">
        <v>3495</v>
      </c>
      <c r="Y1024" t="s">
        <v>3517</v>
      </c>
    </row>
    <row r="1025" spans="1:25" x14ac:dyDescent="0.25">
      <c r="A1025" s="27" t="s">
        <v>3518</v>
      </c>
      <c r="C1025" t="s">
        <v>64</v>
      </c>
      <c r="D1025" s="27" t="s">
        <v>102</v>
      </c>
      <c r="E1025" t="s">
        <v>3519</v>
      </c>
      <c r="F1025" s="28">
        <v>1</v>
      </c>
      <c r="G1025" s="29">
        <v>1</v>
      </c>
      <c r="H1025" s="30" t="s">
        <v>3520</v>
      </c>
      <c r="I1025" t="s">
        <v>65</v>
      </c>
      <c r="K1025" t="s">
        <v>145</v>
      </c>
      <c r="L1025" t="s">
        <v>146</v>
      </c>
      <c r="N1025" s="29">
        <v>1</v>
      </c>
      <c r="P1025" s="29">
        <v>1</v>
      </c>
      <c r="R1025" s="29">
        <v>1</v>
      </c>
      <c r="S1025" t="s">
        <v>70</v>
      </c>
      <c r="T1025" t="s">
        <v>72</v>
      </c>
      <c r="U1025" s="32">
        <v>30</v>
      </c>
      <c r="V1025">
        <v>30</v>
      </c>
      <c r="X1025" t="s">
        <v>245</v>
      </c>
      <c r="Y1025" t="s">
        <v>3521</v>
      </c>
    </row>
    <row r="1026" spans="1:25" x14ac:dyDescent="0.25">
      <c r="A1026" s="27" t="s">
        <v>3522</v>
      </c>
      <c r="C1026" t="s">
        <v>64</v>
      </c>
      <c r="D1026" s="27" t="s">
        <v>102</v>
      </c>
      <c r="E1026" t="s">
        <v>3523</v>
      </c>
      <c r="F1026" s="28">
        <v>1</v>
      </c>
      <c r="G1026" s="29">
        <v>1</v>
      </c>
      <c r="H1026" s="30" t="s">
        <v>3524</v>
      </c>
      <c r="I1026" t="s">
        <v>65</v>
      </c>
      <c r="K1026" t="s">
        <v>145</v>
      </c>
      <c r="L1026" t="s">
        <v>146</v>
      </c>
      <c r="N1026" s="29">
        <v>1</v>
      </c>
      <c r="P1026" s="29">
        <v>1</v>
      </c>
      <c r="R1026" s="29">
        <v>1</v>
      </c>
      <c r="S1026" t="s">
        <v>70</v>
      </c>
      <c r="T1026" t="s">
        <v>72</v>
      </c>
      <c r="U1026" s="32">
        <v>30</v>
      </c>
      <c r="V1026">
        <v>30</v>
      </c>
      <c r="X1026" t="s">
        <v>245</v>
      </c>
      <c r="Y1026" t="s">
        <v>3525</v>
      </c>
    </row>
    <row r="1027" spans="1:25" x14ac:dyDescent="0.25">
      <c r="A1027" s="27" t="s">
        <v>2715</v>
      </c>
      <c r="C1027" t="s">
        <v>64</v>
      </c>
      <c r="D1027" s="27" t="s">
        <v>3526</v>
      </c>
      <c r="E1027" t="s">
        <v>3527</v>
      </c>
      <c r="F1027" s="28">
        <v>0</v>
      </c>
      <c r="G1027" s="29">
        <v>1</v>
      </c>
      <c r="H1027" s="30" t="s">
        <v>3528</v>
      </c>
      <c r="I1027" t="s">
        <v>65</v>
      </c>
      <c r="K1027" t="s">
        <v>145</v>
      </c>
      <c r="L1027" t="s">
        <v>146</v>
      </c>
      <c r="N1027" s="29">
        <v>1</v>
      </c>
      <c r="P1027" s="29">
        <v>1</v>
      </c>
      <c r="R1027" s="29">
        <v>1</v>
      </c>
      <c r="S1027" t="s">
        <v>70</v>
      </c>
      <c r="T1027" t="s">
        <v>72</v>
      </c>
      <c r="U1027" s="32">
        <v>30</v>
      </c>
      <c r="V1027">
        <v>30</v>
      </c>
      <c r="X1027" t="s">
        <v>3529</v>
      </c>
      <c r="Y1027" t="s">
        <v>2716</v>
      </c>
    </row>
    <row r="1028" spans="1:25" x14ac:dyDescent="0.25">
      <c r="A1028" s="27" t="s">
        <v>1617</v>
      </c>
      <c r="C1028" t="s">
        <v>64</v>
      </c>
      <c r="D1028" s="27" t="s">
        <v>102</v>
      </c>
      <c r="E1028" t="s">
        <v>3530</v>
      </c>
      <c r="F1028" s="28">
        <v>0</v>
      </c>
      <c r="G1028" s="29">
        <v>1</v>
      </c>
      <c r="H1028" s="30" t="s">
        <v>3531</v>
      </c>
      <c r="I1028" t="s">
        <v>65</v>
      </c>
      <c r="K1028" t="s">
        <v>145</v>
      </c>
      <c r="L1028" t="s">
        <v>146</v>
      </c>
      <c r="N1028" s="29">
        <v>1</v>
      </c>
      <c r="P1028" s="29">
        <v>1</v>
      </c>
      <c r="R1028" s="29">
        <v>1</v>
      </c>
      <c r="S1028" t="s">
        <v>70</v>
      </c>
      <c r="T1028" t="s">
        <v>72</v>
      </c>
      <c r="U1028" s="32">
        <v>30</v>
      </c>
      <c r="V1028">
        <v>30</v>
      </c>
      <c r="X1028" t="s">
        <v>3529</v>
      </c>
      <c r="Y1028" t="s">
        <v>3532</v>
      </c>
    </row>
    <row r="1029" spans="1:25" x14ac:dyDescent="0.25">
      <c r="A1029" s="27" t="s">
        <v>1860</v>
      </c>
      <c r="C1029" t="s">
        <v>64</v>
      </c>
      <c r="D1029" s="27" t="s">
        <v>3533</v>
      </c>
      <c r="E1029" t="s">
        <v>3534</v>
      </c>
      <c r="F1029" s="28">
        <v>0</v>
      </c>
      <c r="G1029" s="29">
        <v>1</v>
      </c>
      <c r="H1029" s="30" t="s">
        <v>3535</v>
      </c>
      <c r="I1029" t="s">
        <v>65</v>
      </c>
      <c r="K1029" t="s">
        <v>145</v>
      </c>
      <c r="L1029" t="s">
        <v>146</v>
      </c>
      <c r="N1029" s="29">
        <v>1</v>
      </c>
      <c r="P1029" s="29">
        <v>1</v>
      </c>
      <c r="R1029" s="29">
        <v>1</v>
      </c>
      <c r="S1029" t="s">
        <v>70</v>
      </c>
      <c r="T1029" t="s">
        <v>72</v>
      </c>
      <c r="U1029" s="32">
        <v>30</v>
      </c>
      <c r="V1029">
        <v>30</v>
      </c>
      <c r="X1029" t="s">
        <v>3529</v>
      </c>
      <c r="Y1029" t="s">
        <v>1861</v>
      </c>
    </row>
    <row r="1030" spans="1:25" x14ac:dyDescent="0.25">
      <c r="A1030" s="27" t="s">
        <v>3536</v>
      </c>
      <c r="C1030" t="s">
        <v>64</v>
      </c>
      <c r="D1030" s="27" t="s">
        <v>102</v>
      </c>
      <c r="E1030" t="s">
        <v>3537</v>
      </c>
      <c r="F1030" s="28">
        <v>1</v>
      </c>
      <c r="G1030" s="29">
        <v>1</v>
      </c>
      <c r="H1030" s="30" t="s">
        <v>3538</v>
      </c>
      <c r="I1030" t="s">
        <v>65</v>
      </c>
      <c r="K1030" t="s">
        <v>145</v>
      </c>
      <c r="L1030" t="s">
        <v>146</v>
      </c>
      <c r="N1030" s="29">
        <v>1</v>
      </c>
      <c r="P1030" s="29">
        <v>1</v>
      </c>
      <c r="R1030" s="29">
        <v>1</v>
      </c>
      <c r="S1030" t="s">
        <v>70</v>
      </c>
      <c r="T1030" t="s">
        <v>72</v>
      </c>
      <c r="U1030" s="32">
        <v>30</v>
      </c>
      <c r="V1030">
        <v>30</v>
      </c>
      <c r="X1030" t="s">
        <v>3529</v>
      </c>
      <c r="Y1030" t="s">
        <v>3539</v>
      </c>
    </row>
    <row r="1031" spans="1:25" x14ac:dyDescent="0.25">
      <c r="A1031" s="27" t="s">
        <v>3536</v>
      </c>
      <c r="C1031" t="s">
        <v>64</v>
      </c>
      <c r="D1031" s="27" t="s">
        <v>102</v>
      </c>
      <c r="E1031" t="s">
        <v>3540</v>
      </c>
      <c r="F1031" s="28">
        <v>0</v>
      </c>
      <c r="G1031" s="29">
        <v>1</v>
      </c>
      <c r="H1031" s="30" t="s">
        <v>3541</v>
      </c>
      <c r="I1031" t="s">
        <v>65</v>
      </c>
      <c r="K1031" t="s">
        <v>145</v>
      </c>
      <c r="L1031" t="s">
        <v>146</v>
      </c>
      <c r="N1031" s="29">
        <v>1</v>
      </c>
      <c r="P1031" s="29">
        <v>1</v>
      </c>
      <c r="R1031" s="29">
        <v>1</v>
      </c>
      <c r="S1031" t="s">
        <v>70</v>
      </c>
      <c r="T1031" t="s">
        <v>72</v>
      </c>
      <c r="U1031" s="32">
        <v>30</v>
      </c>
      <c r="V1031">
        <v>30</v>
      </c>
      <c r="X1031" t="s">
        <v>3529</v>
      </c>
      <c r="Y1031" t="s">
        <v>3542</v>
      </c>
    </row>
    <row r="1032" spans="1:25" x14ac:dyDescent="0.25">
      <c r="A1032" s="27" t="s">
        <v>3543</v>
      </c>
      <c r="C1032" t="s">
        <v>64</v>
      </c>
      <c r="D1032" s="27" t="s">
        <v>102</v>
      </c>
      <c r="E1032" t="s">
        <v>3544</v>
      </c>
      <c r="F1032" s="28">
        <v>1</v>
      </c>
      <c r="G1032" s="29">
        <v>1</v>
      </c>
      <c r="H1032" s="30" t="s">
        <v>3545</v>
      </c>
      <c r="I1032" t="s">
        <v>65</v>
      </c>
      <c r="K1032" t="s">
        <v>145</v>
      </c>
      <c r="L1032" t="s">
        <v>146</v>
      </c>
      <c r="N1032" s="29">
        <v>1</v>
      </c>
      <c r="P1032" s="29">
        <v>1</v>
      </c>
      <c r="R1032" s="29">
        <v>1</v>
      </c>
      <c r="S1032" t="s">
        <v>70</v>
      </c>
      <c r="T1032" t="s">
        <v>72</v>
      </c>
      <c r="U1032" s="32">
        <v>30</v>
      </c>
      <c r="V1032">
        <v>30</v>
      </c>
      <c r="X1032" t="s">
        <v>3529</v>
      </c>
      <c r="Y1032" t="s">
        <v>3546</v>
      </c>
    </row>
    <row r="1033" spans="1:25" x14ac:dyDescent="0.25">
      <c r="A1033" s="27" t="s">
        <v>3543</v>
      </c>
      <c r="C1033" t="s">
        <v>64</v>
      </c>
      <c r="D1033" s="27" t="s">
        <v>102</v>
      </c>
      <c r="E1033" t="s">
        <v>3547</v>
      </c>
      <c r="F1033" s="28">
        <v>1</v>
      </c>
      <c r="G1033" s="29">
        <v>1</v>
      </c>
      <c r="H1033" s="30" t="s">
        <v>3548</v>
      </c>
      <c r="I1033" t="s">
        <v>65</v>
      </c>
      <c r="K1033" t="s">
        <v>145</v>
      </c>
      <c r="L1033" t="s">
        <v>146</v>
      </c>
      <c r="N1033" s="29">
        <v>1</v>
      </c>
      <c r="P1033" s="29">
        <v>1</v>
      </c>
      <c r="R1033" s="29">
        <v>1</v>
      </c>
      <c r="S1033" t="s">
        <v>70</v>
      </c>
      <c r="T1033" t="s">
        <v>72</v>
      </c>
      <c r="U1033" s="32">
        <v>30</v>
      </c>
      <c r="V1033">
        <v>30</v>
      </c>
      <c r="X1033" t="s">
        <v>3529</v>
      </c>
      <c r="Y1033" t="s">
        <v>3549</v>
      </c>
    </row>
    <row r="1034" spans="1:25" x14ac:dyDescent="0.25">
      <c r="A1034" s="27" t="s">
        <v>3550</v>
      </c>
      <c r="C1034" t="s">
        <v>64</v>
      </c>
      <c r="D1034" s="27" t="s">
        <v>3551</v>
      </c>
      <c r="E1034" t="s">
        <v>3552</v>
      </c>
      <c r="F1034" s="28">
        <v>1</v>
      </c>
      <c r="G1034" s="29">
        <v>1</v>
      </c>
      <c r="H1034" s="30" t="s">
        <v>3553</v>
      </c>
      <c r="I1034" t="s">
        <v>65</v>
      </c>
      <c r="K1034" t="s">
        <v>145</v>
      </c>
      <c r="L1034" t="s">
        <v>146</v>
      </c>
      <c r="N1034" s="29">
        <v>1</v>
      </c>
      <c r="P1034" s="29">
        <v>1</v>
      </c>
      <c r="R1034" s="29">
        <v>1</v>
      </c>
      <c r="S1034" t="s">
        <v>70</v>
      </c>
      <c r="T1034" t="s">
        <v>72</v>
      </c>
      <c r="U1034" s="32">
        <v>30</v>
      </c>
      <c r="V1034">
        <v>30</v>
      </c>
      <c r="X1034" t="s">
        <v>3529</v>
      </c>
      <c r="Y1034" t="s">
        <v>3532</v>
      </c>
    </row>
    <row r="1035" spans="1:25" x14ac:dyDescent="0.25">
      <c r="A1035" s="27" t="s">
        <v>3554</v>
      </c>
      <c r="C1035" t="s">
        <v>64</v>
      </c>
      <c r="D1035" s="27" t="s">
        <v>102</v>
      </c>
      <c r="E1035" t="s">
        <v>3555</v>
      </c>
      <c r="F1035" s="28">
        <v>1</v>
      </c>
      <c r="G1035" s="29">
        <v>1</v>
      </c>
      <c r="H1035" s="30" t="s">
        <v>3556</v>
      </c>
      <c r="I1035" t="s">
        <v>65</v>
      </c>
      <c r="K1035" t="s">
        <v>145</v>
      </c>
      <c r="L1035" t="s">
        <v>146</v>
      </c>
      <c r="N1035" s="29">
        <v>1</v>
      </c>
      <c r="P1035" s="29">
        <v>1</v>
      </c>
      <c r="R1035" s="29">
        <v>1</v>
      </c>
      <c r="S1035" t="s">
        <v>70</v>
      </c>
      <c r="T1035" t="s">
        <v>72</v>
      </c>
      <c r="U1035" s="32">
        <v>30</v>
      </c>
      <c r="V1035">
        <v>30</v>
      </c>
      <c r="X1035" t="s">
        <v>3529</v>
      </c>
      <c r="Y1035" t="s">
        <v>3555</v>
      </c>
    </row>
    <row r="1036" spans="1:25" x14ac:dyDescent="0.25">
      <c r="A1036" s="27" t="s">
        <v>1661</v>
      </c>
      <c r="C1036" t="s">
        <v>64</v>
      </c>
      <c r="D1036" s="27" t="s">
        <v>102</v>
      </c>
      <c r="E1036" t="s">
        <v>3557</v>
      </c>
      <c r="F1036" s="28">
        <v>2</v>
      </c>
      <c r="G1036" s="29">
        <v>1</v>
      </c>
      <c r="H1036" s="30" t="s">
        <v>3558</v>
      </c>
      <c r="I1036" t="s">
        <v>65</v>
      </c>
      <c r="K1036" t="s">
        <v>145</v>
      </c>
      <c r="L1036" t="s">
        <v>146</v>
      </c>
      <c r="N1036" s="29">
        <v>1</v>
      </c>
      <c r="P1036" s="29">
        <v>1</v>
      </c>
      <c r="R1036" s="29">
        <v>1</v>
      </c>
      <c r="S1036" t="s">
        <v>70</v>
      </c>
      <c r="T1036" t="s">
        <v>72</v>
      </c>
      <c r="U1036" s="32">
        <v>30</v>
      </c>
      <c r="V1036">
        <v>30</v>
      </c>
      <c r="X1036" t="s">
        <v>3529</v>
      </c>
      <c r="Y1036" t="s">
        <v>3559</v>
      </c>
    </row>
    <row r="1037" spans="1:25" x14ac:dyDescent="0.25">
      <c r="A1037" s="27" t="s">
        <v>3560</v>
      </c>
      <c r="C1037" t="s">
        <v>64</v>
      </c>
      <c r="D1037" s="27" t="s">
        <v>102</v>
      </c>
      <c r="E1037" t="s">
        <v>3561</v>
      </c>
      <c r="F1037" s="28">
        <v>1</v>
      </c>
      <c r="G1037" s="29">
        <v>1</v>
      </c>
      <c r="H1037" s="30" t="s">
        <v>3562</v>
      </c>
      <c r="I1037" t="s">
        <v>65</v>
      </c>
      <c r="K1037" t="s">
        <v>145</v>
      </c>
      <c r="L1037" t="s">
        <v>146</v>
      </c>
      <c r="N1037" s="29">
        <v>1</v>
      </c>
      <c r="P1037" s="29">
        <v>1</v>
      </c>
      <c r="R1037" s="29">
        <v>1</v>
      </c>
      <c r="S1037" t="s">
        <v>70</v>
      </c>
      <c r="T1037" t="s">
        <v>72</v>
      </c>
      <c r="U1037" s="32">
        <v>30</v>
      </c>
      <c r="V1037">
        <v>30</v>
      </c>
      <c r="X1037" t="s">
        <v>3529</v>
      </c>
      <c r="Y1037" t="s">
        <v>3561</v>
      </c>
    </row>
    <row r="1038" spans="1:25" x14ac:dyDescent="0.25">
      <c r="A1038" s="27" t="s">
        <v>3398</v>
      </c>
      <c r="C1038" t="s">
        <v>64</v>
      </c>
      <c r="D1038" s="27" t="s">
        <v>102</v>
      </c>
      <c r="E1038" t="s">
        <v>3563</v>
      </c>
      <c r="F1038" s="28">
        <v>0</v>
      </c>
      <c r="G1038" s="29">
        <v>1</v>
      </c>
      <c r="H1038" s="30" t="s">
        <v>3564</v>
      </c>
      <c r="I1038" t="s">
        <v>65</v>
      </c>
      <c r="K1038" t="s">
        <v>145</v>
      </c>
      <c r="L1038" t="s">
        <v>146</v>
      </c>
      <c r="N1038" s="29">
        <v>1</v>
      </c>
      <c r="P1038" s="29">
        <v>1</v>
      </c>
      <c r="R1038" s="29">
        <v>1</v>
      </c>
      <c r="S1038" t="s">
        <v>70</v>
      </c>
      <c r="T1038" t="s">
        <v>72</v>
      </c>
      <c r="U1038" s="32">
        <v>30</v>
      </c>
      <c r="V1038">
        <v>30</v>
      </c>
      <c r="X1038" t="s">
        <v>3529</v>
      </c>
      <c r="Y1038" t="s">
        <v>3401</v>
      </c>
    </row>
    <row r="1039" spans="1:25" x14ac:dyDescent="0.25">
      <c r="A1039" s="27" t="s">
        <v>1856</v>
      </c>
      <c r="C1039" t="s">
        <v>64</v>
      </c>
      <c r="D1039" s="27" t="s">
        <v>102</v>
      </c>
      <c r="E1039" t="s">
        <v>3565</v>
      </c>
      <c r="F1039" s="28">
        <v>0</v>
      </c>
      <c r="G1039" s="29">
        <v>1</v>
      </c>
      <c r="H1039" s="30" t="s">
        <v>3566</v>
      </c>
      <c r="I1039" t="s">
        <v>65</v>
      </c>
      <c r="K1039" t="s">
        <v>145</v>
      </c>
      <c r="L1039" t="s">
        <v>146</v>
      </c>
      <c r="N1039" s="29">
        <v>1</v>
      </c>
      <c r="P1039" s="29">
        <v>1</v>
      </c>
      <c r="R1039" s="29">
        <v>1</v>
      </c>
      <c r="S1039" t="s">
        <v>70</v>
      </c>
      <c r="T1039" t="s">
        <v>72</v>
      </c>
      <c r="U1039" s="32">
        <v>30</v>
      </c>
      <c r="V1039">
        <v>30</v>
      </c>
      <c r="X1039" t="s">
        <v>3529</v>
      </c>
      <c r="Y1039" t="s">
        <v>1858</v>
      </c>
    </row>
    <row r="1040" spans="1:25" x14ac:dyDescent="0.25">
      <c r="A1040" s="27" t="s">
        <v>2842</v>
      </c>
      <c r="C1040" t="s">
        <v>64</v>
      </c>
      <c r="D1040" s="27" t="s">
        <v>102</v>
      </c>
      <c r="E1040" t="s">
        <v>3567</v>
      </c>
      <c r="F1040" s="28">
        <v>0</v>
      </c>
      <c r="G1040" s="29">
        <v>1</v>
      </c>
      <c r="H1040" s="30" t="s">
        <v>3568</v>
      </c>
      <c r="I1040" t="s">
        <v>65</v>
      </c>
      <c r="K1040" t="s">
        <v>145</v>
      </c>
      <c r="L1040" t="s">
        <v>146</v>
      </c>
      <c r="N1040" s="29">
        <v>1</v>
      </c>
      <c r="P1040" s="29">
        <v>1</v>
      </c>
      <c r="R1040" s="29">
        <v>1</v>
      </c>
      <c r="S1040" t="s">
        <v>70</v>
      </c>
      <c r="T1040" t="s">
        <v>72</v>
      </c>
      <c r="U1040" s="32">
        <v>30</v>
      </c>
      <c r="V1040">
        <v>30</v>
      </c>
      <c r="X1040" t="s">
        <v>599</v>
      </c>
      <c r="Y1040" t="s">
        <v>3569</v>
      </c>
    </row>
    <row r="1041" spans="1:25" x14ac:dyDescent="0.25">
      <c r="A1041" s="27" t="s">
        <v>3570</v>
      </c>
      <c r="C1041" t="s">
        <v>64</v>
      </c>
      <c r="D1041" s="27" t="s">
        <v>102</v>
      </c>
      <c r="E1041" t="s">
        <v>3571</v>
      </c>
      <c r="F1041" s="28">
        <v>0</v>
      </c>
      <c r="G1041" s="29">
        <v>1</v>
      </c>
      <c r="H1041" s="30" t="s">
        <v>3572</v>
      </c>
      <c r="I1041" t="s">
        <v>65</v>
      </c>
      <c r="K1041" t="s">
        <v>145</v>
      </c>
      <c r="L1041" t="s">
        <v>146</v>
      </c>
      <c r="N1041" s="29">
        <v>1</v>
      </c>
      <c r="P1041" s="29">
        <v>1</v>
      </c>
      <c r="R1041" s="29">
        <v>1</v>
      </c>
      <c r="S1041" t="s">
        <v>70</v>
      </c>
      <c r="T1041" t="s">
        <v>72</v>
      </c>
      <c r="U1041" s="32">
        <v>30</v>
      </c>
      <c r="V1041">
        <v>30</v>
      </c>
      <c r="X1041" t="s">
        <v>599</v>
      </c>
      <c r="Y1041" t="s">
        <v>3573</v>
      </c>
    </row>
    <row r="1042" spans="1:25" x14ac:dyDescent="0.25">
      <c r="A1042" s="27" t="s">
        <v>3574</v>
      </c>
      <c r="C1042" t="s">
        <v>64</v>
      </c>
      <c r="D1042" s="27" t="s">
        <v>102</v>
      </c>
      <c r="E1042" t="s">
        <v>3575</v>
      </c>
      <c r="F1042" s="28">
        <v>0</v>
      </c>
      <c r="G1042" s="29">
        <v>1</v>
      </c>
      <c r="H1042" s="30" t="s">
        <v>3576</v>
      </c>
      <c r="I1042" t="s">
        <v>65</v>
      </c>
      <c r="K1042" t="s">
        <v>145</v>
      </c>
      <c r="L1042" t="s">
        <v>146</v>
      </c>
      <c r="N1042" s="29">
        <v>1</v>
      </c>
      <c r="P1042" s="29">
        <v>1</v>
      </c>
      <c r="R1042" s="29">
        <v>1</v>
      </c>
      <c r="S1042" t="s">
        <v>70</v>
      </c>
      <c r="T1042" t="s">
        <v>72</v>
      </c>
      <c r="U1042" s="32">
        <v>30</v>
      </c>
      <c r="V1042">
        <v>30</v>
      </c>
      <c r="X1042" t="s">
        <v>599</v>
      </c>
      <c r="Y1042" t="s">
        <v>3577</v>
      </c>
    </row>
    <row r="1043" spans="1:25" x14ac:dyDescent="0.25">
      <c r="A1043" s="27" t="s">
        <v>3578</v>
      </c>
      <c r="C1043" t="s">
        <v>64</v>
      </c>
      <c r="D1043" s="27" t="s">
        <v>102</v>
      </c>
      <c r="E1043" t="s">
        <v>3579</v>
      </c>
      <c r="F1043" s="28">
        <v>0</v>
      </c>
      <c r="G1043" s="29">
        <v>1</v>
      </c>
      <c r="H1043" s="30" t="s">
        <v>3580</v>
      </c>
      <c r="I1043" t="s">
        <v>65</v>
      </c>
      <c r="K1043" t="s">
        <v>145</v>
      </c>
      <c r="L1043" t="s">
        <v>146</v>
      </c>
      <c r="N1043" s="29">
        <v>1</v>
      </c>
      <c r="P1043" s="29">
        <v>1</v>
      </c>
      <c r="R1043" s="29">
        <v>1</v>
      </c>
      <c r="S1043" t="s">
        <v>70</v>
      </c>
      <c r="T1043" t="s">
        <v>72</v>
      </c>
      <c r="U1043" s="32">
        <v>30</v>
      </c>
      <c r="V1043">
        <v>30</v>
      </c>
      <c r="X1043" t="s">
        <v>599</v>
      </c>
      <c r="Y1043" t="s">
        <v>3579</v>
      </c>
    </row>
    <row r="1044" spans="1:25" x14ac:dyDescent="0.25">
      <c r="A1044" s="27" t="s">
        <v>3581</v>
      </c>
      <c r="C1044" t="s">
        <v>64</v>
      </c>
      <c r="D1044" s="27" t="s">
        <v>102</v>
      </c>
      <c r="E1044" t="s">
        <v>3582</v>
      </c>
      <c r="F1044" s="28">
        <v>0</v>
      </c>
      <c r="G1044" s="29">
        <v>1</v>
      </c>
      <c r="H1044" s="30" t="s">
        <v>3583</v>
      </c>
      <c r="I1044" t="s">
        <v>65</v>
      </c>
      <c r="K1044" t="s">
        <v>145</v>
      </c>
      <c r="L1044" t="s">
        <v>146</v>
      </c>
      <c r="N1044" s="29">
        <v>1</v>
      </c>
      <c r="P1044" s="29">
        <v>1</v>
      </c>
      <c r="R1044" s="29">
        <v>1</v>
      </c>
      <c r="S1044" t="s">
        <v>70</v>
      </c>
      <c r="T1044" t="s">
        <v>72</v>
      </c>
      <c r="U1044" s="32">
        <v>30</v>
      </c>
      <c r="V1044">
        <v>30</v>
      </c>
      <c r="X1044" t="s">
        <v>599</v>
      </c>
      <c r="Y1044" t="s">
        <v>3582</v>
      </c>
    </row>
    <row r="1045" spans="1:25" x14ac:dyDescent="0.25">
      <c r="A1045" s="27" t="s">
        <v>3584</v>
      </c>
      <c r="C1045" t="s">
        <v>64</v>
      </c>
      <c r="D1045" s="27" t="s">
        <v>102</v>
      </c>
      <c r="E1045" t="s">
        <v>3585</v>
      </c>
      <c r="F1045" s="28">
        <v>1</v>
      </c>
      <c r="G1045" s="29">
        <v>1</v>
      </c>
      <c r="H1045" s="30" t="s">
        <v>3586</v>
      </c>
      <c r="I1045" t="s">
        <v>65</v>
      </c>
      <c r="K1045" t="s">
        <v>145</v>
      </c>
      <c r="L1045" t="s">
        <v>146</v>
      </c>
      <c r="N1045" s="29">
        <v>1</v>
      </c>
      <c r="P1045" s="29">
        <v>1</v>
      </c>
      <c r="R1045" s="29">
        <v>1</v>
      </c>
      <c r="S1045" t="s">
        <v>70</v>
      </c>
      <c r="T1045" t="s">
        <v>72</v>
      </c>
      <c r="U1045" s="32">
        <v>30</v>
      </c>
      <c r="V1045">
        <v>30</v>
      </c>
      <c r="X1045" t="s">
        <v>599</v>
      </c>
      <c r="Y1045" t="s">
        <v>3587</v>
      </c>
    </row>
    <row r="1046" spans="1:25" x14ac:dyDescent="0.25">
      <c r="A1046" s="27" t="s">
        <v>3588</v>
      </c>
      <c r="C1046" t="s">
        <v>64</v>
      </c>
      <c r="D1046" s="27" t="s">
        <v>102</v>
      </c>
      <c r="E1046" t="s">
        <v>3589</v>
      </c>
      <c r="F1046" s="28">
        <v>1</v>
      </c>
      <c r="G1046" s="29">
        <v>1</v>
      </c>
      <c r="H1046" s="30" t="s">
        <v>3590</v>
      </c>
      <c r="I1046" t="s">
        <v>65</v>
      </c>
      <c r="K1046" t="s">
        <v>145</v>
      </c>
      <c r="L1046" t="s">
        <v>146</v>
      </c>
      <c r="N1046" s="29">
        <v>1</v>
      </c>
      <c r="P1046" s="29">
        <v>1</v>
      </c>
      <c r="R1046" s="29">
        <v>1</v>
      </c>
      <c r="S1046" t="s">
        <v>70</v>
      </c>
      <c r="T1046" t="s">
        <v>72</v>
      </c>
      <c r="U1046" s="32">
        <v>30</v>
      </c>
      <c r="V1046">
        <v>30</v>
      </c>
      <c r="X1046" t="s">
        <v>599</v>
      </c>
      <c r="Y1046" t="s">
        <v>3591</v>
      </c>
    </row>
    <row r="1047" spans="1:25" x14ac:dyDescent="0.25">
      <c r="A1047" s="27" t="s">
        <v>3592</v>
      </c>
      <c r="C1047" t="s">
        <v>64</v>
      </c>
      <c r="D1047" s="27" t="s">
        <v>102</v>
      </c>
      <c r="E1047" t="s">
        <v>3593</v>
      </c>
      <c r="F1047" s="28">
        <v>0</v>
      </c>
      <c r="G1047" s="29">
        <v>1</v>
      </c>
      <c r="H1047" s="30" t="s">
        <v>3594</v>
      </c>
      <c r="I1047" t="s">
        <v>65</v>
      </c>
      <c r="K1047" t="s">
        <v>145</v>
      </c>
      <c r="L1047" t="s">
        <v>146</v>
      </c>
      <c r="N1047" s="29">
        <v>1</v>
      </c>
      <c r="P1047" s="29">
        <v>1</v>
      </c>
      <c r="R1047" s="29">
        <v>1</v>
      </c>
      <c r="S1047" t="s">
        <v>70</v>
      </c>
      <c r="T1047" t="s">
        <v>72</v>
      </c>
      <c r="U1047" s="32">
        <v>30</v>
      </c>
      <c r="V1047">
        <v>30</v>
      </c>
      <c r="X1047" t="s">
        <v>599</v>
      </c>
      <c r="Y1047" t="s">
        <v>3595</v>
      </c>
    </row>
    <row r="1048" spans="1:25" x14ac:dyDescent="0.25">
      <c r="A1048" s="27" t="s">
        <v>3596</v>
      </c>
      <c r="C1048" t="s">
        <v>64</v>
      </c>
      <c r="D1048" s="27" t="s">
        <v>102</v>
      </c>
      <c r="E1048" t="s">
        <v>3597</v>
      </c>
      <c r="F1048" s="28">
        <v>0</v>
      </c>
      <c r="G1048" s="29">
        <v>1</v>
      </c>
      <c r="H1048" s="30" t="s">
        <v>3598</v>
      </c>
      <c r="I1048" t="s">
        <v>65</v>
      </c>
      <c r="K1048" t="s">
        <v>145</v>
      </c>
      <c r="L1048" t="s">
        <v>146</v>
      </c>
      <c r="N1048" s="29">
        <v>1</v>
      </c>
      <c r="P1048" s="29">
        <v>1</v>
      </c>
      <c r="R1048" s="29">
        <v>1</v>
      </c>
      <c r="S1048" t="s">
        <v>70</v>
      </c>
      <c r="T1048" t="s">
        <v>72</v>
      </c>
      <c r="U1048" s="32">
        <v>30</v>
      </c>
      <c r="V1048">
        <v>30</v>
      </c>
      <c r="X1048" t="s">
        <v>599</v>
      </c>
      <c r="Y1048" t="s">
        <v>3599</v>
      </c>
    </row>
    <row r="1049" spans="1:25" x14ac:dyDescent="0.25">
      <c r="A1049" s="27" t="s">
        <v>3600</v>
      </c>
      <c r="C1049" t="s">
        <v>64</v>
      </c>
      <c r="D1049" s="27" t="s">
        <v>102</v>
      </c>
      <c r="E1049" t="s">
        <v>3601</v>
      </c>
      <c r="F1049" s="28">
        <v>0</v>
      </c>
      <c r="G1049" s="29">
        <v>1</v>
      </c>
      <c r="H1049" s="30" t="s">
        <v>3602</v>
      </c>
      <c r="I1049" t="s">
        <v>65</v>
      </c>
      <c r="K1049" t="s">
        <v>145</v>
      </c>
      <c r="L1049" t="s">
        <v>146</v>
      </c>
      <c r="N1049" s="29">
        <v>1</v>
      </c>
      <c r="P1049" s="29">
        <v>1</v>
      </c>
      <c r="R1049" s="29">
        <v>1</v>
      </c>
      <c r="S1049" t="s">
        <v>70</v>
      </c>
      <c r="T1049" t="s">
        <v>72</v>
      </c>
      <c r="U1049" s="32">
        <v>30</v>
      </c>
      <c r="V1049">
        <v>30</v>
      </c>
      <c r="X1049" t="s">
        <v>599</v>
      </c>
      <c r="Y1049" t="s">
        <v>3603</v>
      </c>
    </row>
    <row r="1050" spans="1:25" x14ac:dyDescent="0.25">
      <c r="A1050" s="27" t="s">
        <v>3604</v>
      </c>
      <c r="C1050" t="s">
        <v>64</v>
      </c>
      <c r="D1050" s="27" t="s">
        <v>102</v>
      </c>
      <c r="E1050" t="s">
        <v>3605</v>
      </c>
      <c r="F1050" s="28">
        <v>0</v>
      </c>
      <c r="G1050" s="29">
        <v>1</v>
      </c>
      <c r="H1050" s="30" t="s">
        <v>3606</v>
      </c>
      <c r="I1050" t="s">
        <v>65</v>
      </c>
      <c r="K1050" t="s">
        <v>145</v>
      </c>
      <c r="L1050" t="s">
        <v>146</v>
      </c>
      <c r="N1050" s="29">
        <v>1</v>
      </c>
      <c r="P1050" s="29">
        <v>1</v>
      </c>
      <c r="R1050" s="29">
        <v>1</v>
      </c>
      <c r="S1050" t="s">
        <v>70</v>
      </c>
      <c r="T1050" t="s">
        <v>72</v>
      </c>
      <c r="U1050" s="32">
        <v>30</v>
      </c>
      <c r="V1050">
        <v>30</v>
      </c>
      <c r="X1050" t="s">
        <v>599</v>
      </c>
      <c r="Y1050" t="s">
        <v>3607</v>
      </c>
    </row>
    <row r="1051" spans="1:25" x14ac:dyDescent="0.25">
      <c r="A1051" s="27" t="s">
        <v>3608</v>
      </c>
      <c r="C1051" t="s">
        <v>64</v>
      </c>
      <c r="D1051" s="27" t="s">
        <v>102</v>
      </c>
      <c r="E1051" t="s">
        <v>3609</v>
      </c>
      <c r="F1051" s="28">
        <v>0</v>
      </c>
      <c r="G1051" s="29">
        <v>1</v>
      </c>
      <c r="H1051" s="30" t="s">
        <v>3610</v>
      </c>
      <c r="I1051" t="s">
        <v>65</v>
      </c>
      <c r="K1051" t="s">
        <v>145</v>
      </c>
      <c r="L1051" t="s">
        <v>146</v>
      </c>
      <c r="N1051" s="29">
        <v>1</v>
      </c>
      <c r="P1051" s="29">
        <v>1</v>
      </c>
      <c r="R1051" s="29">
        <v>1</v>
      </c>
      <c r="S1051" t="s">
        <v>70</v>
      </c>
      <c r="T1051" t="s">
        <v>72</v>
      </c>
      <c r="U1051" s="32">
        <v>30</v>
      </c>
      <c r="V1051">
        <v>30</v>
      </c>
      <c r="X1051" t="s">
        <v>599</v>
      </c>
      <c r="Y1051" t="s">
        <v>3611</v>
      </c>
    </row>
    <row r="1052" spans="1:25" x14ac:dyDescent="0.25">
      <c r="A1052" s="27" t="s">
        <v>3612</v>
      </c>
      <c r="C1052" t="s">
        <v>64</v>
      </c>
      <c r="D1052" s="27" t="s">
        <v>102</v>
      </c>
      <c r="E1052" t="s">
        <v>3613</v>
      </c>
      <c r="F1052" s="28">
        <v>0</v>
      </c>
      <c r="G1052" s="29">
        <v>1</v>
      </c>
      <c r="H1052" s="30" t="s">
        <v>3614</v>
      </c>
      <c r="I1052" t="s">
        <v>65</v>
      </c>
      <c r="K1052" t="s">
        <v>145</v>
      </c>
      <c r="L1052" t="s">
        <v>146</v>
      </c>
      <c r="N1052" s="29">
        <v>1</v>
      </c>
      <c r="P1052" s="29">
        <v>1</v>
      </c>
      <c r="R1052" s="29">
        <v>1</v>
      </c>
      <c r="S1052" t="s">
        <v>70</v>
      </c>
      <c r="T1052" t="s">
        <v>72</v>
      </c>
      <c r="U1052" s="32">
        <v>30</v>
      </c>
      <c r="V1052">
        <v>30</v>
      </c>
      <c r="X1052" t="s">
        <v>599</v>
      </c>
      <c r="Y1052" t="s">
        <v>3615</v>
      </c>
    </row>
    <row r="1053" spans="1:25" x14ac:dyDescent="0.25">
      <c r="A1053" s="27" t="s">
        <v>3616</v>
      </c>
      <c r="C1053" t="s">
        <v>64</v>
      </c>
      <c r="D1053" s="27" t="s">
        <v>102</v>
      </c>
      <c r="E1053" t="s">
        <v>3617</v>
      </c>
      <c r="F1053" s="28">
        <v>0</v>
      </c>
      <c r="G1053" s="29">
        <v>1</v>
      </c>
      <c r="H1053" s="30" t="s">
        <v>3618</v>
      </c>
      <c r="I1053" t="s">
        <v>65</v>
      </c>
      <c r="K1053" t="s">
        <v>145</v>
      </c>
      <c r="L1053" t="s">
        <v>146</v>
      </c>
      <c r="N1053" s="29">
        <v>1</v>
      </c>
      <c r="P1053" s="29">
        <v>1</v>
      </c>
      <c r="R1053" s="29">
        <v>1</v>
      </c>
      <c r="S1053" t="s">
        <v>70</v>
      </c>
      <c r="T1053" t="s">
        <v>72</v>
      </c>
      <c r="U1053" s="32">
        <v>30</v>
      </c>
      <c r="V1053">
        <v>30</v>
      </c>
      <c r="X1053" t="s">
        <v>599</v>
      </c>
      <c r="Y1053" t="s">
        <v>3619</v>
      </c>
    </row>
    <row r="1054" spans="1:25" x14ac:dyDescent="0.25">
      <c r="A1054" s="27" t="s">
        <v>3070</v>
      </c>
      <c r="C1054" t="s">
        <v>64</v>
      </c>
      <c r="D1054" s="27" t="s">
        <v>102</v>
      </c>
      <c r="E1054" t="s">
        <v>3620</v>
      </c>
      <c r="F1054" s="28">
        <v>0</v>
      </c>
      <c r="G1054" s="29">
        <v>1</v>
      </c>
      <c r="H1054" s="30" t="s">
        <v>3621</v>
      </c>
      <c r="I1054" t="s">
        <v>65</v>
      </c>
      <c r="K1054" t="s">
        <v>145</v>
      </c>
      <c r="L1054" t="s">
        <v>146</v>
      </c>
      <c r="N1054" s="29">
        <v>1</v>
      </c>
      <c r="P1054" s="29">
        <v>1</v>
      </c>
      <c r="R1054" s="29">
        <v>1</v>
      </c>
      <c r="S1054" t="s">
        <v>70</v>
      </c>
      <c r="T1054" t="s">
        <v>72</v>
      </c>
      <c r="U1054" s="32">
        <v>30</v>
      </c>
      <c r="V1054">
        <v>30</v>
      </c>
      <c r="X1054" t="s">
        <v>599</v>
      </c>
      <c r="Y1054" t="s">
        <v>3622</v>
      </c>
    </row>
    <row r="1055" spans="1:25" x14ac:dyDescent="0.25">
      <c r="A1055" s="27" t="s">
        <v>1310</v>
      </c>
      <c r="C1055" t="s">
        <v>64</v>
      </c>
      <c r="D1055" s="27" t="s">
        <v>102</v>
      </c>
      <c r="E1055" t="s">
        <v>3623</v>
      </c>
      <c r="F1055" s="28">
        <v>0</v>
      </c>
      <c r="G1055" s="29">
        <v>1</v>
      </c>
      <c r="H1055" s="30" t="s">
        <v>3624</v>
      </c>
      <c r="I1055" t="s">
        <v>65</v>
      </c>
      <c r="K1055" t="s">
        <v>145</v>
      </c>
      <c r="L1055" t="s">
        <v>146</v>
      </c>
      <c r="N1055" s="29">
        <v>1</v>
      </c>
      <c r="P1055" s="29">
        <v>1</v>
      </c>
      <c r="R1055" s="29">
        <v>1</v>
      </c>
      <c r="S1055" t="s">
        <v>70</v>
      </c>
      <c r="T1055" t="s">
        <v>72</v>
      </c>
      <c r="U1055" s="32">
        <v>30</v>
      </c>
      <c r="V1055">
        <v>30</v>
      </c>
      <c r="X1055" t="s">
        <v>599</v>
      </c>
      <c r="Y1055" t="s">
        <v>3625</v>
      </c>
    </row>
    <row r="1056" spans="1:25" x14ac:dyDescent="0.25">
      <c r="A1056" s="27" t="s">
        <v>3626</v>
      </c>
      <c r="C1056" t="s">
        <v>64</v>
      </c>
      <c r="D1056" s="27" t="s">
        <v>102</v>
      </c>
      <c r="E1056" t="s">
        <v>3627</v>
      </c>
      <c r="F1056" s="28">
        <v>0</v>
      </c>
      <c r="G1056" s="29">
        <v>1</v>
      </c>
      <c r="H1056" s="30" t="s">
        <v>3628</v>
      </c>
      <c r="I1056" t="s">
        <v>65</v>
      </c>
      <c r="K1056" t="s">
        <v>145</v>
      </c>
      <c r="L1056" t="s">
        <v>146</v>
      </c>
      <c r="N1056" s="29">
        <v>1</v>
      </c>
      <c r="P1056" s="29">
        <v>1</v>
      </c>
      <c r="R1056" s="29">
        <v>1</v>
      </c>
      <c r="S1056" t="s">
        <v>70</v>
      </c>
      <c r="T1056" t="s">
        <v>72</v>
      </c>
      <c r="U1056" s="32">
        <v>30</v>
      </c>
      <c r="V1056">
        <v>30</v>
      </c>
      <c r="X1056" t="s">
        <v>3629</v>
      </c>
      <c r="Y1056" t="s">
        <v>3630</v>
      </c>
    </row>
    <row r="1057" spans="1:25" x14ac:dyDescent="0.25">
      <c r="A1057" s="27" t="s">
        <v>3631</v>
      </c>
      <c r="C1057" t="s">
        <v>64</v>
      </c>
      <c r="D1057" s="27" t="s">
        <v>3632</v>
      </c>
      <c r="E1057" t="s">
        <v>3633</v>
      </c>
      <c r="F1057" s="28">
        <v>0</v>
      </c>
      <c r="G1057" s="29">
        <v>1</v>
      </c>
      <c r="H1057" s="30" t="s">
        <v>3634</v>
      </c>
      <c r="I1057" t="s">
        <v>65</v>
      </c>
      <c r="K1057" t="s">
        <v>145</v>
      </c>
      <c r="L1057" t="s">
        <v>146</v>
      </c>
      <c r="N1057" s="29">
        <v>1</v>
      </c>
      <c r="P1057" s="29">
        <v>1</v>
      </c>
      <c r="R1057" s="29">
        <v>1</v>
      </c>
      <c r="S1057" t="s">
        <v>70</v>
      </c>
      <c r="T1057" t="s">
        <v>72</v>
      </c>
      <c r="U1057" s="32">
        <v>30</v>
      </c>
      <c r="V1057">
        <v>30</v>
      </c>
      <c r="X1057" t="s">
        <v>3629</v>
      </c>
      <c r="Y1057" t="s">
        <v>3630</v>
      </c>
    </row>
    <row r="1058" spans="1:25" x14ac:dyDescent="0.25">
      <c r="A1058" s="27" t="s">
        <v>3635</v>
      </c>
      <c r="C1058" t="s">
        <v>64</v>
      </c>
      <c r="D1058" s="27" t="s">
        <v>102</v>
      </c>
      <c r="E1058" t="s">
        <v>3636</v>
      </c>
      <c r="F1058" s="28">
        <v>0</v>
      </c>
      <c r="G1058" s="29">
        <v>1</v>
      </c>
      <c r="H1058" s="30" t="s">
        <v>3637</v>
      </c>
      <c r="I1058" t="s">
        <v>65</v>
      </c>
      <c r="K1058" t="s">
        <v>145</v>
      </c>
      <c r="L1058" t="s">
        <v>146</v>
      </c>
      <c r="N1058" s="29">
        <v>1</v>
      </c>
      <c r="P1058" s="29">
        <v>1</v>
      </c>
      <c r="R1058" s="29">
        <v>1</v>
      </c>
      <c r="S1058" t="s">
        <v>70</v>
      </c>
      <c r="T1058" t="s">
        <v>72</v>
      </c>
      <c r="U1058" s="32">
        <v>30</v>
      </c>
      <c r="V1058">
        <v>30</v>
      </c>
      <c r="X1058" t="s">
        <v>3629</v>
      </c>
      <c r="Y1058" t="s">
        <v>3630</v>
      </c>
    </row>
    <row r="1059" spans="1:25" x14ac:dyDescent="0.25">
      <c r="A1059" s="27" t="s">
        <v>3638</v>
      </c>
      <c r="C1059" t="s">
        <v>64</v>
      </c>
      <c r="D1059" s="27" t="s">
        <v>3639</v>
      </c>
      <c r="E1059" t="s">
        <v>3640</v>
      </c>
      <c r="F1059" s="28">
        <v>0</v>
      </c>
      <c r="G1059" s="29">
        <v>1</v>
      </c>
      <c r="H1059" s="30" t="s">
        <v>3641</v>
      </c>
      <c r="I1059" t="s">
        <v>65</v>
      </c>
      <c r="K1059" t="s">
        <v>145</v>
      </c>
      <c r="L1059" t="s">
        <v>146</v>
      </c>
      <c r="N1059" s="29">
        <v>1</v>
      </c>
      <c r="P1059" s="29">
        <v>1</v>
      </c>
      <c r="R1059" s="29">
        <v>1</v>
      </c>
      <c r="S1059" t="s">
        <v>70</v>
      </c>
      <c r="T1059" t="s">
        <v>72</v>
      </c>
      <c r="U1059" s="32">
        <v>30</v>
      </c>
      <c r="V1059">
        <v>30</v>
      </c>
      <c r="X1059" t="s">
        <v>171</v>
      </c>
      <c r="Y1059" t="s">
        <v>3642</v>
      </c>
    </row>
    <row r="1060" spans="1:25" x14ac:dyDescent="0.25">
      <c r="A1060" s="27" t="s">
        <v>3643</v>
      </c>
      <c r="C1060" t="s">
        <v>64</v>
      </c>
      <c r="D1060" s="27" t="s">
        <v>3644</v>
      </c>
      <c r="E1060" t="s">
        <v>3645</v>
      </c>
      <c r="F1060" s="28">
        <v>0</v>
      </c>
      <c r="G1060" s="29">
        <v>1</v>
      </c>
      <c r="H1060" s="30" t="s">
        <v>3646</v>
      </c>
      <c r="I1060" t="s">
        <v>65</v>
      </c>
      <c r="K1060" t="s">
        <v>145</v>
      </c>
      <c r="L1060" t="s">
        <v>146</v>
      </c>
      <c r="N1060" s="29">
        <v>1</v>
      </c>
      <c r="P1060" s="29">
        <v>1</v>
      </c>
      <c r="R1060" s="29">
        <v>1</v>
      </c>
      <c r="S1060" t="s">
        <v>70</v>
      </c>
      <c r="T1060" t="s">
        <v>72</v>
      </c>
      <c r="U1060" s="32">
        <v>30</v>
      </c>
      <c r="V1060">
        <v>30</v>
      </c>
      <c r="X1060" t="s">
        <v>171</v>
      </c>
      <c r="Y1060" t="s">
        <v>3645</v>
      </c>
    </row>
    <row r="1061" spans="1:25" x14ac:dyDescent="0.25">
      <c r="A1061" s="27" t="s">
        <v>3543</v>
      </c>
      <c r="C1061" t="s">
        <v>64</v>
      </c>
      <c r="D1061" s="27" t="s">
        <v>102</v>
      </c>
      <c r="E1061" t="s">
        <v>3647</v>
      </c>
      <c r="F1061" s="28">
        <v>0</v>
      </c>
      <c r="G1061" s="29">
        <v>1</v>
      </c>
      <c r="H1061" s="30" t="s">
        <v>3648</v>
      </c>
      <c r="I1061" t="s">
        <v>65</v>
      </c>
      <c r="K1061" t="s">
        <v>145</v>
      </c>
      <c r="L1061" t="s">
        <v>146</v>
      </c>
      <c r="N1061" s="29">
        <v>1</v>
      </c>
      <c r="P1061" s="29">
        <v>1</v>
      </c>
      <c r="R1061" s="29">
        <v>1</v>
      </c>
      <c r="S1061" t="s">
        <v>70</v>
      </c>
      <c r="T1061" t="s">
        <v>72</v>
      </c>
      <c r="U1061" s="32">
        <v>30</v>
      </c>
      <c r="V1061">
        <v>30</v>
      </c>
      <c r="X1061" t="s">
        <v>3138</v>
      </c>
      <c r="Y1061" t="s">
        <v>3649</v>
      </c>
    </row>
    <row r="1062" spans="1:25" x14ac:dyDescent="0.25">
      <c r="A1062" s="27" t="s">
        <v>3536</v>
      </c>
      <c r="C1062" t="s">
        <v>64</v>
      </c>
      <c r="D1062" s="27" t="s">
        <v>102</v>
      </c>
      <c r="E1062" t="s">
        <v>3650</v>
      </c>
      <c r="F1062" s="28">
        <v>1</v>
      </c>
      <c r="G1062" s="29">
        <v>1</v>
      </c>
      <c r="H1062" s="30" t="s">
        <v>3651</v>
      </c>
      <c r="I1062" t="s">
        <v>65</v>
      </c>
      <c r="K1062" t="s">
        <v>145</v>
      </c>
      <c r="L1062" t="s">
        <v>146</v>
      </c>
      <c r="N1062" s="29">
        <v>1</v>
      </c>
      <c r="P1062" s="29">
        <v>1</v>
      </c>
      <c r="R1062" s="29">
        <v>1</v>
      </c>
      <c r="S1062" t="s">
        <v>70</v>
      </c>
      <c r="T1062" t="s">
        <v>72</v>
      </c>
      <c r="U1062" s="32">
        <v>30</v>
      </c>
      <c r="V1062">
        <v>30</v>
      </c>
      <c r="X1062" t="s">
        <v>3138</v>
      </c>
      <c r="Y1062" t="s">
        <v>3652</v>
      </c>
    </row>
    <row r="1063" spans="1:25" x14ac:dyDescent="0.25">
      <c r="A1063" s="27" t="s">
        <v>3653</v>
      </c>
      <c r="C1063" t="s">
        <v>64</v>
      </c>
      <c r="D1063" s="27" t="s">
        <v>102</v>
      </c>
      <c r="E1063" t="s">
        <v>3654</v>
      </c>
      <c r="F1063" s="28">
        <v>0</v>
      </c>
      <c r="G1063" s="29">
        <v>1</v>
      </c>
      <c r="H1063" s="30" t="s">
        <v>3655</v>
      </c>
      <c r="I1063" t="s">
        <v>65</v>
      </c>
      <c r="K1063" t="s">
        <v>145</v>
      </c>
      <c r="L1063" t="s">
        <v>146</v>
      </c>
      <c r="N1063" s="29">
        <v>1</v>
      </c>
      <c r="P1063" s="29">
        <v>1</v>
      </c>
      <c r="R1063" s="29">
        <v>1</v>
      </c>
      <c r="S1063" t="s">
        <v>70</v>
      </c>
      <c r="T1063" t="s">
        <v>72</v>
      </c>
      <c r="U1063" s="32">
        <v>30</v>
      </c>
      <c r="V1063">
        <v>30</v>
      </c>
      <c r="X1063" t="s">
        <v>171</v>
      </c>
      <c r="Y1063" t="s">
        <v>3654</v>
      </c>
    </row>
    <row r="1064" spans="1:25" x14ac:dyDescent="0.25">
      <c r="A1064" s="27" t="s">
        <v>3656</v>
      </c>
      <c r="C1064" t="s">
        <v>64</v>
      </c>
      <c r="D1064" s="27" t="s">
        <v>102</v>
      </c>
      <c r="E1064" t="s">
        <v>3657</v>
      </c>
      <c r="F1064" s="28">
        <v>0</v>
      </c>
      <c r="G1064" s="29">
        <v>1</v>
      </c>
      <c r="H1064" s="30" t="s">
        <v>3658</v>
      </c>
      <c r="I1064" t="s">
        <v>65</v>
      </c>
      <c r="K1064" t="s">
        <v>145</v>
      </c>
      <c r="L1064" t="s">
        <v>146</v>
      </c>
      <c r="N1064" s="29">
        <v>1</v>
      </c>
      <c r="P1064" s="29">
        <v>1</v>
      </c>
      <c r="R1064" s="29">
        <v>1</v>
      </c>
      <c r="S1064" t="s">
        <v>70</v>
      </c>
      <c r="T1064" t="s">
        <v>72</v>
      </c>
      <c r="U1064" s="32">
        <v>30</v>
      </c>
      <c r="V1064">
        <v>30</v>
      </c>
      <c r="X1064" t="s">
        <v>171</v>
      </c>
      <c r="Y1064" t="s">
        <v>3657</v>
      </c>
    </row>
    <row r="1065" spans="1:25" x14ac:dyDescent="0.25">
      <c r="A1065" s="27" t="s">
        <v>3659</v>
      </c>
      <c r="C1065" t="s">
        <v>64</v>
      </c>
      <c r="D1065" s="27" t="s">
        <v>102</v>
      </c>
      <c r="E1065" t="s">
        <v>3660</v>
      </c>
      <c r="F1065" s="28">
        <v>0</v>
      </c>
      <c r="G1065" s="29">
        <v>1</v>
      </c>
      <c r="H1065" s="30" t="s">
        <v>3661</v>
      </c>
      <c r="I1065" t="s">
        <v>65</v>
      </c>
      <c r="K1065" t="s">
        <v>145</v>
      </c>
      <c r="L1065" t="s">
        <v>146</v>
      </c>
      <c r="N1065" s="29">
        <v>1</v>
      </c>
      <c r="P1065" s="29">
        <v>1</v>
      </c>
      <c r="R1065" s="29">
        <v>1</v>
      </c>
      <c r="S1065" t="s">
        <v>70</v>
      </c>
      <c r="T1065" t="s">
        <v>72</v>
      </c>
      <c r="U1065" s="32">
        <v>30</v>
      </c>
      <c r="V1065">
        <v>30</v>
      </c>
      <c r="X1065" t="s">
        <v>171</v>
      </c>
      <c r="Y1065" t="s">
        <v>3662</v>
      </c>
    </row>
    <row r="1066" spans="1:25" x14ac:dyDescent="0.25">
      <c r="A1066" s="27" t="s">
        <v>1506</v>
      </c>
      <c r="C1066" t="s">
        <v>64</v>
      </c>
      <c r="D1066" s="27" t="s">
        <v>102</v>
      </c>
      <c r="E1066" t="s">
        <v>3663</v>
      </c>
      <c r="F1066" s="28">
        <v>0</v>
      </c>
      <c r="G1066" s="29">
        <v>1</v>
      </c>
      <c r="H1066" s="30" t="s">
        <v>3664</v>
      </c>
      <c r="I1066" t="s">
        <v>65</v>
      </c>
      <c r="K1066" t="s">
        <v>145</v>
      </c>
      <c r="L1066" t="s">
        <v>146</v>
      </c>
      <c r="N1066" s="29">
        <v>1</v>
      </c>
      <c r="P1066" s="29">
        <v>1</v>
      </c>
      <c r="R1066" s="29">
        <v>1</v>
      </c>
      <c r="S1066" t="s">
        <v>70</v>
      </c>
      <c r="T1066" t="s">
        <v>72</v>
      </c>
      <c r="U1066" s="32">
        <v>30</v>
      </c>
      <c r="V1066">
        <v>30</v>
      </c>
      <c r="X1066" t="s">
        <v>599</v>
      </c>
      <c r="Y1066" t="s">
        <v>3665</v>
      </c>
    </row>
    <row r="1067" spans="1:25" x14ac:dyDescent="0.25">
      <c r="A1067" s="27" t="s">
        <v>3666</v>
      </c>
      <c r="C1067" t="s">
        <v>64</v>
      </c>
      <c r="D1067" s="27" t="s">
        <v>102</v>
      </c>
      <c r="E1067" t="s">
        <v>3667</v>
      </c>
      <c r="F1067" s="28">
        <v>0</v>
      </c>
      <c r="G1067" s="29">
        <v>1</v>
      </c>
      <c r="H1067" s="30" t="s">
        <v>3668</v>
      </c>
      <c r="I1067" t="s">
        <v>65</v>
      </c>
      <c r="K1067" t="s">
        <v>145</v>
      </c>
      <c r="L1067" t="s">
        <v>146</v>
      </c>
      <c r="N1067" s="29">
        <v>1</v>
      </c>
      <c r="P1067" s="29">
        <v>1</v>
      </c>
      <c r="R1067" s="29">
        <v>1</v>
      </c>
      <c r="S1067" t="s">
        <v>70</v>
      </c>
      <c r="T1067" t="s">
        <v>72</v>
      </c>
      <c r="U1067" s="32">
        <v>30</v>
      </c>
      <c r="V1067">
        <v>30</v>
      </c>
      <c r="X1067" t="s">
        <v>599</v>
      </c>
      <c r="Y1067" t="s">
        <v>3669</v>
      </c>
    </row>
    <row r="1068" spans="1:25" x14ac:dyDescent="0.25">
      <c r="A1068" s="27" t="s">
        <v>3670</v>
      </c>
      <c r="C1068" t="s">
        <v>64</v>
      </c>
      <c r="D1068" s="27" t="s">
        <v>102</v>
      </c>
      <c r="E1068" t="s">
        <v>3671</v>
      </c>
      <c r="F1068" s="28">
        <v>0</v>
      </c>
      <c r="G1068" s="29">
        <v>1</v>
      </c>
      <c r="H1068" s="30" t="s">
        <v>3672</v>
      </c>
      <c r="I1068" t="s">
        <v>65</v>
      </c>
      <c r="K1068" t="s">
        <v>145</v>
      </c>
      <c r="L1068" t="s">
        <v>146</v>
      </c>
      <c r="N1068" s="29">
        <v>1</v>
      </c>
      <c r="P1068" s="29">
        <v>1</v>
      </c>
      <c r="R1068" s="29">
        <v>1</v>
      </c>
      <c r="S1068" t="s">
        <v>70</v>
      </c>
      <c r="T1068" t="s">
        <v>72</v>
      </c>
      <c r="U1068" s="32">
        <v>30</v>
      </c>
      <c r="V1068">
        <v>30</v>
      </c>
      <c r="X1068" t="s">
        <v>599</v>
      </c>
      <c r="Y1068" t="s">
        <v>3673</v>
      </c>
    </row>
    <row r="1069" spans="1:25" x14ac:dyDescent="0.25">
      <c r="A1069" s="27" t="s">
        <v>3674</v>
      </c>
      <c r="C1069" t="s">
        <v>64</v>
      </c>
      <c r="D1069" s="27" t="s">
        <v>102</v>
      </c>
      <c r="E1069" t="s">
        <v>3675</v>
      </c>
      <c r="F1069" s="28">
        <v>0</v>
      </c>
      <c r="G1069" s="29">
        <v>1</v>
      </c>
      <c r="H1069" s="30" t="s">
        <v>3676</v>
      </c>
      <c r="I1069" t="s">
        <v>65</v>
      </c>
      <c r="K1069" t="s">
        <v>145</v>
      </c>
      <c r="L1069" t="s">
        <v>146</v>
      </c>
      <c r="N1069" s="29">
        <v>1</v>
      </c>
      <c r="P1069" s="29">
        <v>1</v>
      </c>
      <c r="R1069" s="29">
        <v>1</v>
      </c>
      <c r="S1069" t="s">
        <v>70</v>
      </c>
      <c r="T1069" t="s">
        <v>72</v>
      </c>
      <c r="U1069" s="32">
        <v>30</v>
      </c>
      <c r="V1069">
        <v>30</v>
      </c>
      <c r="X1069" t="s">
        <v>599</v>
      </c>
      <c r="Y1069" t="s">
        <v>3677</v>
      </c>
    </row>
    <row r="1070" spans="1:25" x14ac:dyDescent="0.25">
      <c r="A1070" s="27" t="s">
        <v>3678</v>
      </c>
      <c r="C1070" t="s">
        <v>64</v>
      </c>
      <c r="D1070" s="27" t="s">
        <v>102</v>
      </c>
      <c r="E1070" t="s">
        <v>3679</v>
      </c>
      <c r="F1070" s="28">
        <v>0</v>
      </c>
      <c r="G1070" s="29">
        <v>1</v>
      </c>
      <c r="H1070" s="30" t="s">
        <v>3680</v>
      </c>
      <c r="I1070" t="s">
        <v>65</v>
      </c>
      <c r="K1070" t="s">
        <v>145</v>
      </c>
      <c r="L1070" t="s">
        <v>146</v>
      </c>
      <c r="N1070" s="29">
        <v>1</v>
      </c>
      <c r="P1070" s="29">
        <v>1</v>
      </c>
      <c r="R1070" s="29">
        <v>1</v>
      </c>
      <c r="S1070" t="s">
        <v>70</v>
      </c>
      <c r="T1070" t="s">
        <v>72</v>
      </c>
      <c r="U1070" s="32">
        <v>30</v>
      </c>
      <c r="V1070">
        <v>30</v>
      </c>
      <c r="X1070" t="s">
        <v>599</v>
      </c>
      <c r="Y1070" t="s">
        <v>3681</v>
      </c>
    </row>
    <row r="1071" spans="1:25" x14ac:dyDescent="0.25">
      <c r="A1071" s="27" t="s">
        <v>1506</v>
      </c>
      <c r="C1071" t="s">
        <v>64</v>
      </c>
      <c r="D1071" s="27" t="s">
        <v>102</v>
      </c>
      <c r="E1071" t="s">
        <v>3682</v>
      </c>
      <c r="F1071" s="28">
        <v>0</v>
      </c>
      <c r="G1071" s="29">
        <v>1</v>
      </c>
      <c r="H1071" s="30" t="s">
        <v>3683</v>
      </c>
      <c r="I1071" t="s">
        <v>65</v>
      </c>
      <c r="K1071" t="s">
        <v>145</v>
      </c>
      <c r="L1071" t="s">
        <v>146</v>
      </c>
      <c r="N1071" s="29">
        <v>1</v>
      </c>
      <c r="P1071" s="29">
        <v>1</v>
      </c>
      <c r="R1071" s="29">
        <v>1</v>
      </c>
      <c r="S1071" t="s">
        <v>70</v>
      </c>
      <c r="T1071" t="s">
        <v>72</v>
      </c>
      <c r="U1071" s="32">
        <v>30</v>
      </c>
      <c r="V1071">
        <v>30</v>
      </c>
      <c r="X1071" t="s">
        <v>599</v>
      </c>
      <c r="Y1071" t="s">
        <v>3684</v>
      </c>
    </row>
    <row r="1072" spans="1:25" x14ac:dyDescent="0.25">
      <c r="A1072" s="27" t="s">
        <v>3685</v>
      </c>
      <c r="C1072" t="s">
        <v>64</v>
      </c>
      <c r="D1072" s="27" t="s">
        <v>102</v>
      </c>
      <c r="E1072" t="s">
        <v>3682</v>
      </c>
      <c r="F1072" s="28">
        <v>0</v>
      </c>
      <c r="G1072" s="29">
        <v>1</v>
      </c>
      <c r="H1072" s="30" t="s">
        <v>3686</v>
      </c>
      <c r="I1072" t="s">
        <v>65</v>
      </c>
      <c r="K1072" t="s">
        <v>145</v>
      </c>
      <c r="L1072" t="s">
        <v>146</v>
      </c>
      <c r="N1072" s="29">
        <v>1</v>
      </c>
      <c r="P1072" s="29">
        <v>1</v>
      </c>
      <c r="R1072" s="29">
        <v>1</v>
      </c>
      <c r="S1072" t="s">
        <v>70</v>
      </c>
      <c r="T1072" t="s">
        <v>72</v>
      </c>
      <c r="U1072" s="32">
        <v>30</v>
      </c>
      <c r="V1072">
        <v>30</v>
      </c>
      <c r="X1072" t="s">
        <v>599</v>
      </c>
      <c r="Y1072" t="s">
        <v>3684</v>
      </c>
    </row>
    <row r="1073" spans="1:25" x14ac:dyDescent="0.25">
      <c r="A1073" s="27" t="s">
        <v>3687</v>
      </c>
      <c r="C1073" t="s">
        <v>64</v>
      </c>
      <c r="D1073" s="27" t="s">
        <v>102</v>
      </c>
      <c r="E1073" t="s">
        <v>3688</v>
      </c>
      <c r="F1073" s="28">
        <v>0</v>
      </c>
      <c r="G1073" s="29">
        <v>1</v>
      </c>
      <c r="H1073" s="30" t="s">
        <v>3689</v>
      </c>
      <c r="I1073" t="s">
        <v>65</v>
      </c>
      <c r="K1073" t="s">
        <v>145</v>
      </c>
      <c r="L1073" t="s">
        <v>146</v>
      </c>
      <c r="N1073" s="29">
        <v>1</v>
      </c>
      <c r="P1073" s="29">
        <v>1</v>
      </c>
      <c r="R1073" s="29">
        <v>1</v>
      </c>
      <c r="S1073" t="s">
        <v>70</v>
      </c>
      <c r="T1073" t="s">
        <v>72</v>
      </c>
      <c r="U1073" s="32">
        <v>30</v>
      </c>
      <c r="V1073">
        <v>30</v>
      </c>
      <c r="X1073" t="s">
        <v>599</v>
      </c>
      <c r="Y1073" t="s">
        <v>3688</v>
      </c>
    </row>
    <row r="1074" spans="1:25" x14ac:dyDescent="0.25">
      <c r="A1074" s="27" t="s">
        <v>3690</v>
      </c>
      <c r="C1074" t="s">
        <v>64</v>
      </c>
      <c r="D1074" s="27" t="s">
        <v>102</v>
      </c>
      <c r="E1074" t="s">
        <v>3691</v>
      </c>
      <c r="F1074" s="28">
        <v>0</v>
      </c>
      <c r="G1074" s="29">
        <v>1</v>
      </c>
      <c r="H1074" s="30" t="s">
        <v>3692</v>
      </c>
      <c r="I1074" t="s">
        <v>65</v>
      </c>
      <c r="K1074" t="s">
        <v>145</v>
      </c>
      <c r="L1074" t="s">
        <v>146</v>
      </c>
      <c r="N1074" s="29">
        <v>1</v>
      </c>
      <c r="P1074" s="29">
        <v>1</v>
      </c>
      <c r="R1074" s="29">
        <v>1</v>
      </c>
      <c r="S1074" t="s">
        <v>70</v>
      </c>
      <c r="T1074" t="s">
        <v>72</v>
      </c>
      <c r="U1074" s="32">
        <v>30</v>
      </c>
      <c r="V1074">
        <v>30</v>
      </c>
      <c r="X1074" t="s">
        <v>599</v>
      </c>
      <c r="Y1074" t="s">
        <v>1543</v>
      </c>
    </row>
    <row r="1075" spans="1:25" x14ac:dyDescent="0.25">
      <c r="A1075" s="27" t="s">
        <v>3693</v>
      </c>
      <c r="C1075" t="s">
        <v>64</v>
      </c>
      <c r="D1075" s="27" t="s">
        <v>102</v>
      </c>
      <c r="E1075" t="s">
        <v>3694</v>
      </c>
      <c r="F1075" s="28">
        <v>0</v>
      </c>
      <c r="G1075" s="29">
        <v>1</v>
      </c>
      <c r="H1075" s="30" t="s">
        <v>3695</v>
      </c>
      <c r="I1075" t="s">
        <v>65</v>
      </c>
      <c r="K1075" t="s">
        <v>145</v>
      </c>
      <c r="L1075" t="s">
        <v>146</v>
      </c>
      <c r="N1075" s="29">
        <v>1</v>
      </c>
      <c r="P1075" s="29">
        <v>1</v>
      </c>
      <c r="R1075" s="29">
        <v>1</v>
      </c>
      <c r="S1075" t="s">
        <v>70</v>
      </c>
      <c r="T1075" t="s">
        <v>72</v>
      </c>
      <c r="U1075" s="32">
        <v>30</v>
      </c>
      <c r="V1075">
        <v>30</v>
      </c>
      <c r="X1075" t="s">
        <v>599</v>
      </c>
      <c r="Y1075" t="s">
        <v>3696</v>
      </c>
    </row>
    <row r="1076" spans="1:25" x14ac:dyDescent="0.25">
      <c r="A1076" s="27" t="s">
        <v>3697</v>
      </c>
      <c r="C1076" t="s">
        <v>64</v>
      </c>
      <c r="D1076" s="27" t="s">
        <v>102</v>
      </c>
      <c r="E1076" t="s">
        <v>3698</v>
      </c>
      <c r="F1076" s="28">
        <v>0</v>
      </c>
      <c r="G1076" s="29">
        <v>1</v>
      </c>
      <c r="H1076" s="30" t="s">
        <v>3699</v>
      </c>
      <c r="I1076" t="s">
        <v>65</v>
      </c>
      <c r="K1076" t="s">
        <v>145</v>
      </c>
      <c r="L1076" t="s">
        <v>146</v>
      </c>
      <c r="N1076" s="29">
        <v>1</v>
      </c>
      <c r="P1076" s="29">
        <v>1</v>
      </c>
      <c r="R1076" s="29">
        <v>1</v>
      </c>
      <c r="S1076" t="s">
        <v>70</v>
      </c>
      <c r="T1076" t="s">
        <v>72</v>
      </c>
      <c r="U1076" s="32">
        <v>30</v>
      </c>
      <c r="V1076">
        <v>30</v>
      </c>
      <c r="X1076" t="s">
        <v>599</v>
      </c>
      <c r="Y1076" t="s">
        <v>3700</v>
      </c>
    </row>
    <row r="1077" spans="1:25" x14ac:dyDescent="0.25">
      <c r="A1077" s="27" t="s">
        <v>3701</v>
      </c>
      <c r="C1077" t="s">
        <v>64</v>
      </c>
      <c r="D1077" s="27" t="s">
        <v>102</v>
      </c>
      <c r="E1077" t="s">
        <v>3702</v>
      </c>
      <c r="F1077" s="28">
        <v>0</v>
      </c>
      <c r="G1077" s="29">
        <v>1</v>
      </c>
      <c r="H1077" s="30" t="s">
        <v>3703</v>
      </c>
      <c r="I1077" t="s">
        <v>65</v>
      </c>
      <c r="K1077" t="s">
        <v>145</v>
      </c>
      <c r="L1077" t="s">
        <v>146</v>
      </c>
      <c r="N1077" s="29">
        <v>1</v>
      </c>
      <c r="P1077" s="29">
        <v>1</v>
      </c>
      <c r="R1077" s="29">
        <v>1</v>
      </c>
      <c r="S1077" t="s">
        <v>70</v>
      </c>
      <c r="T1077" t="s">
        <v>72</v>
      </c>
      <c r="U1077" s="32">
        <v>30</v>
      </c>
      <c r="V1077">
        <v>30</v>
      </c>
      <c r="X1077" t="s">
        <v>599</v>
      </c>
      <c r="Y1077" t="s">
        <v>3702</v>
      </c>
    </row>
    <row r="1078" spans="1:25" x14ac:dyDescent="0.25">
      <c r="A1078" s="27" t="s">
        <v>3704</v>
      </c>
      <c r="C1078" t="s">
        <v>64</v>
      </c>
      <c r="D1078" s="27" t="s">
        <v>102</v>
      </c>
      <c r="E1078" t="s">
        <v>3705</v>
      </c>
      <c r="F1078" s="28">
        <v>0</v>
      </c>
      <c r="G1078" s="29">
        <v>1</v>
      </c>
      <c r="H1078" s="30" t="s">
        <v>3706</v>
      </c>
      <c r="I1078" t="s">
        <v>65</v>
      </c>
      <c r="K1078" t="s">
        <v>145</v>
      </c>
      <c r="L1078" t="s">
        <v>146</v>
      </c>
      <c r="N1078" s="29">
        <v>1</v>
      </c>
      <c r="P1078" s="29">
        <v>1</v>
      </c>
      <c r="R1078" s="29">
        <v>1</v>
      </c>
      <c r="S1078" t="s">
        <v>70</v>
      </c>
      <c r="T1078" t="s">
        <v>72</v>
      </c>
      <c r="U1078" s="32">
        <v>30</v>
      </c>
      <c r="V1078">
        <v>30</v>
      </c>
      <c r="X1078" t="s">
        <v>599</v>
      </c>
      <c r="Y1078" t="s">
        <v>3705</v>
      </c>
    </row>
    <row r="1079" spans="1:25" x14ac:dyDescent="0.25">
      <c r="A1079" s="27" t="s">
        <v>3707</v>
      </c>
      <c r="C1079" t="s">
        <v>64</v>
      </c>
      <c r="D1079" s="27" t="s">
        <v>102</v>
      </c>
      <c r="E1079" t="s">
        <v>3708</v>
      </c>
      <c r="F1079" s="28">
        <v>0</v>
      </c>
      <c r="G1079" s="29">
        <v>1</v>
      </c>
      <c r="H1079" s="30" t="s">
        <v>3709</v>
      </c>
      <c r="I1079" t="s">
        <v>65</v>
      </c>
      <c r="K1079" t="s">
        <v>145</v>
      </c>
      <c r="L1079" t="s">
        <v>146</v>
      </c>
      <c r="N1079" s="29">
        <v>1</v>
      </c>
      <c r="P1079" s="29">
        <v>1</v>
      </c>
      <c r="R1079" s="29">
        <v>1</v>
      </c>
      <c r="S1079" t="s">
        <v>70</v>
      </c>
      <c r="T1079" t="s">
        <v>72</v>
      </c>
      <c r="U1079" s="32">
        <v>30</v>
      </c>
      <c r="V1079">
        <v>30</v>
      </c>
      <c r="X1079" t="s">
        <v>599</v>
      </c>
      <c r="Y1079" t="s">
        <v>3710</v>
      </c>
    </row>
    <row r="1080" spans="1:25" x14ac:dyDescent="0.25">
      <c r="A1080" s="27" t="s">
        <v>3711</v>
      </c>
      <c r="C1080" t="s">
        <v>64</v>
      </c>
      <c r="D1080" s="27" t="s">
        <v>102</v>
      </c>
      <c r="E1080" t="s">
        <v>3712</v>
      </c>
      <c r="F1080" s="28">
        <v>0</v>
      </c>
      <c r="G1080" s="29">
        <v>1</v>
      </c>
      <c r="H1080" s="30" t="s">
        <v>3713</v>
      </c>
      <c r="I1080" t="s">
        <v>65</v>
      </c>
      <c r="K1080" t="s">
        <v>145</v>
      </c>
      <c r="L1080" t="s">
        <v>146</v>
      </c>
      <c r="N1080" s="29">
        <v>1</v>
      </c>
      <c r="P1080" s="29">
        <v>1</v>
      </c>
      <c r="R1080" s="29">
        <v>1</v>
      </c>
      <c r="S1080" t="s">
        <v>70</v>
      </c>
      <c r="T1080" t="s">
        <v>72</v>
      </c>
      <c r="U1080" s="32">
        <v>30</v>
      </c>
      <c r="V1080">
        <v>30</v>
      </c>
      <c r="X1080" t="s">
        <v>599</v>
      </c>
      <c r="Y1080" t="s">
        <v>3712</v>
      </c>
    </row>
    <row r="1081" spans="1:25" x14ac:dyDescent="0.25">
      <c r="A1081" s="27" t="s">
        <v>3714</v>
      </c>
      <c r="C1081" t="s">
        <v>64</v>
      </c>
      <c r="D1081" s="27" t="s">
        <v>102</v>
      </c>
      <c r="E1081" t="s">
        <v>3715</v>
      </c>
      <c r="F1081" s="28">
        <v>0</v>
      </c>
      <c r="G1081" s="29">
        <v>1</v>
      </c>
      <c r="H1081" s="30" t="s">
        <v>3716</v>
      </c>
      <c r="I1081" t="s">
        <v>65</v>
      </c>
      <c r="K1081" t="s">
        <v>145</v>
      </c>
      <c r="L1081" t="s">
        <v>146</v>
      </c>
      <c r="N1081" s="29">
        <v>1</v>
      </c>
      <c r="P1081" s="29">
        <v>1</v>
      </c>
      <c r="R1081" s="29">
        <v>1</v>
      </c>
      <c r="S1081" t="s">
        <v>70</v>
      </c>
      <c r="T1081" t="s">
        <v>72</v>
      </c>
      <c r="U1081" s="32">
        <v>30</v>
      </c>
      <c r="V1081">
        <v>30</v>
      </c>
      <c r="X1081" t="s">
        <v>599</v>
      </c>
      <c r="Y1081" t="s">
        <v>3715</v>
      </c>
    </row>
    <row r="1082" spans="1:25" x14ac:dyDescent="0.25">
      <c r="A1082" s="27" t="s">
        <v>3717</v>
      </c>
      <c r="C1082" t="s">
        <v>64</v>
      </c>
      <c r="D1082" s="27" t="s">
        <v>102</v>
      </c>
      <c r="E1082" t="s">
        <v>3718</v>
      </c>
      <c r="F1082" s="28">
        <v>0</v>
      </c>
      <c r="G1082" s="29">
        <v>1</v>
      </c>
      <c r="H1082" s="30" t="s">
        <v>3719</v>
      </c>
      <c r="I1082" t="s">
        <v>65</v>
      </c>
      <c r="K1082" t="s">
        <v>145</v>
      </c>
      <c r="L1082" t="s">
        <v>146</v>
      </c>
      <c r="N1082" s="29">
        <v>1</v>
      </c>
      <c r="P1082" s="29">
        <v>1</v>
      </c>
      <c r="R1082" s="29">
        <v>1</v>
      </c>
      <c r="S1082" t="s">
        <v>70</v>
      </c>
      <c r="T1082" t="s">
        <v>72</v>
      </c>
      <c r="U1082" s="32">
        <v>30</v>
      </c>
      <c r="V1082">
        <v>30</v>
      </c>
      <c r="X1082" t="s">
        <v>599</v>
      </c>
      <c r="Y1082" t="s">
        <v>3718</v>
      </c>
    </row>
    <row r="1083" spans="1:25" x14ac:dyDescent="0.25">
      <c r="A1083" s="27" t="s">
        <v>3720</v>
      </c>
      <c r="C1083" t="s">
        <v>64</v>
      </c>
      <c r="D1083" s="27" t="s">
        <v>102</v>
      </c>
      <c r="E1083" t="s">
        <v>3721</v>
      </c>
      <c r="F1083" s="28">
        <v>0</v>
      </c>
      <c r="G1083" s="29">
        <v>1</v>
      </c>
      <c r="H1083" s="30" t="s">
        <v>3722</v>
      </c>
      <c r="I1083" t="s">
        <v>65</v>
      </c>
      <c r="K1083" t="s">
        <v>145</v>
      </c>
      <c r="L1083" t="s">
        <v>146</v>
      </c>
      <c r="N1083" s="29">
        <v>1</v>
      </c>
      <c r="P1083" s="29">
        <v>1</v>
      </c>
      <c r="R1083" s="29">
        <v>1</v>
      </c>
      <c r="S1083" t="s">
        <v>70</v>
      </c>
      <c r="T1083" t="s">
        <v>72</v>
      </c>
      <c r="U1083" s="32">
        <v>30</v>
      </c>
      <c r="V1083">
        <v>30</v>
      </c>
      <c r="X1083" t="s">
        <v>599</v>
      </c>
      <c r="Y1083" t="s">
        <v>3721</v>
      </c>
    </row>
    <row r="1084" spans="1:25" x14ac:dyDescent="0.25">
      <c r="A1084" s="27" t="s">
        <v>869</v>
      </c>
      <c r="C1084" t="s">
        <v>64</v>
      </c>
      <c r="D1084" s="27" t="s">
        <v>3723</v>
      </c>
      <c r="E1084" t="s">
        <v>3724</v>
      </c>
      <c r="F1084" s="28">
        <v>2</v>
      </c>
      <c r="G1084" s="29">
        <v>2</v>
      </c>
      <c r="H1084" s="30" t="s">
        <v>3725</v>
      </c>
      <c r="I1084" t="s">
        <v>65</v>
      </c>
      <c r="K1084" t="s">
        <v>145</v>
      </c>
      <c r="L1084" t="s">
        <v>146</v>
      </c>
      <c r="N1084" s="29">
        <v>2</v>
      </c>
      <c r="P1084" s="29">
        <v>2</v>
      </c>
      <c r="R1084" s="29">
        <v>2</v>
      </c>
      <c r="S1084" t="s">
        <v>70</v>
      </c>
      <c r="T1084" t="s">
        <v>72</v>
      </c>
      <c r="U1084" s="32">
        <v>30</v>
      </c>
      <c r="V1084">
        <v>30</v>
      </c>
      <c r="X1084" t="s">
        <v>240</v>
      </c>
      <c r="Y1084" t="s">
        <v>3726</v>
      </c>
    </row>
    <row r="1085" spans="1:25" x14ac:dyDescent="0.25">
      <c r="A1085" s="27" t="s">
        <v>873</v>
      </c>
      <c r="C1085" t="s">
        <v>64</v>
      </c>
      <c r="D1085" s="27" t="s">
        <v>3723</v>
      </c>
      <c r="E1085" t="s">
        <v>3724</v>
      </c>
      <c r="F1085" s="28">
        <v>2</v>
      </c>
      <c r="G1085" s="29">
        <v>2</v>
      </c>
      <c r="H1085" s="30" t="s">
        <v>3727</v>
      </c>
      <c r="I1085" t="s">
        <v>65</v>
      </c>
      <c r="K1085" t="s">
        <v>145</v>
      </c>
      <c r="L1085" t="s">
        <v>146</v>
      </c>
      <c r="N1085" s="29">
        <v>2</v>
      </c>
      <c r="P1085" s="29">
        <v>2</v>
      </c>
      <c r="R1085" s="29">
        <v>2</v>
      </c>
      <c r="S1085" t="s">
        <v>70</v>
      </c>
      <c r="T1085" t="s">
        <v>72</v>
      </c>
      <c r="U1085" s="32">
        <v>30</v>
      </c>
      <c r="V1085">
        <v>30</v>
      </c>
      <c r="X1085" t="s">
        <v>240</v>
      </c>
      <c r="Y1085" t="s">
        <v>3726</v>
      </c>
    </row>
    <row r="1086" spans="1:25" x14ac:dyDescent="0.25">
      <c r="A1086" s="27" t="s">
        <v>2023</v>
      </c>
      <c r="C1086" t="s">
        <v>64</v>
      </c>
      <c r="D1086" s="27" t="s">
        <v>3728</v>
      </c>
      <c r="E1086" t="s">
        <v>3729</v>
      </c>
      <c r="F1086" s="28">
        <v>2</v>
      </c>
      <c r="G1086" s="29">
        <v>2</v>
      </c>
      <c r="H1086" s="30" t="s">
        <v>3730</v>
      </c>
      <c r="I1086" t="s">
        <v>65</v>
      </c>
      <c r="K1086" t="s">
        <v>145</v>
      </c>
      <c r="L1086" t="s">
        <v>146</v>
      </c>
      <c r="N1086" s="29">
        <v>2</v>
      </c>
      <c r="P1086" s="29">
        <v>2</v>
      </c>
      <c r="R1086" s="29">
        <v>2</v>
      </c>
      <c r="S1086" t="s">
        <v>70</v>
      </c>
      <c r="T1086" t="s">
        <v>72</v>
      </c>
      <c r="U1086" s="32">
        <v>30</v>
      </c>
      <c r="V1086">
        <v>30</v>
      </c>
      <c r="X1086" t="s">
        <v>240</v>
      </c>
      <c r="Y1086" t="s">
        <v>3731</v>
      </c>
    </row>
    <row r="1087" spans="1:25" x14ac:dyDescent="0.25">
      <c r="A1087" s="27" t="s">
        <v>3732</v>
      </c>
      <c r="C1087" t="s">
        <v>64</v>
      </c>
      <c r="D1087" s="27" t="s">
        <v>3733</v>
      </c>
      <c r="E1087" t="s">
        <v>3734</v>
      </c>
      <c r="F1087" s="28">
        <v>2</v>
      </c>
      <c r="G1087" s="29">
        <v>2</v>
      </c>
      <c r="H1087" s="30" t="s">
        <v>3735</v>
      </c>
      <c r="I1087" t="s">
        <v>65</v>
      </c>
      <c r="K1087" t="s">
        <v>145</v>
      </c>
      <c r="L1087" t="s">
        <v>146</v>
      </c>
      <c r="N1087" s="29">
        <v>2</v>
      </c>
      <c r="P1087" s="29">
        <v>2</v>
      </c>
      <c r="R1087" s="29">
        <v>2</v>
      </c>
      <c r="S1087" t="s">
        <v>70</v>
      </c>
      <c r="T1087" t="s">
        <v>72</v>
      </c>
      <c r="U1087" s="32">
        <v>30</v>
      </c>
      <c r="V1087">
        <v>30</v>
      </c>
      <c r="X1087" t="s">
        <v>240</v>
      </c>
      <c r="Y1087" t="s">
        <v>3736</v>
      </c>
    </row>
    <row r="1088" spans="1:25" x14ac:dyDescent="0.25">
      <c r="A1088" s="27" t="s">
        <v>274</v>
      </c>
      <c r="C1088" t="s">
        <v>64</v>
      </c>
      <c r="D1088" s="27" t="s">
        <v>3737</v>
      </c>
      <c r="E1088" t="s">
        <v>3738</v>
      </c>
      <c r="F1088" s="28">
        <v>10</v>
      </c>
      <c r="G1088" s="29">
        <v>2</v>
      </c>
      <c r="H1088" s="30" t="s">
        <v>3739</v>
      </c>
      <c r="I1088" t="s">
        <v>65</v>
      </c>
      <c r="K1088" t="s">
        <v>145</v>
      </c>
      <c r="L1088" t="s">
        <v>146</v>
      </c>
      <c r="N1088" s="29">
        <v>2</v>
      </c>
      <c r="P1088" s="29">
        <v>2</v>
      </c>
      <c r="R1088" s="29">
        <v>2</v>
      </c>
      <c r="S1088" t="s">
        <v>70</v>
      </c>
      <c r="T1088" t="s">
        <v>72</v>
      </c>
      <c r="U1088" s="32">
        <v>30</v>
      </c>
      <c r="V1088">
        <v>30</v>
      </c>
      <c r="X1088" t="s">
        <v>240</v>
      </c>
      <c r="Y1088" t="s">
        <v>278</v>
      </c>
    </row>
    <row r="1089" spans="1:25" x14ac:dyDescent="0.25">
      <c r="A1089" s="27" t="s">
        <v>3740</v>
      </c>
      <c r="C1089" t="s">
        <v>64</v>
      </c>
      <c r="D1089" s="27" t="s">
        <v>102</v>
      </c>
      <c r="E1089" t="s">
        <v>3741</v>
      </c>
      <c r="F1089" s="28">
        <v>0</v>
      </c>
      <c r="G1089" s="29">
        <v>1</v>
      </c>
      <c r="H1089" s="30" t="s">
        <v>3742</v>
      </c>
      <c r="I1089" t="s">
        <v>65</v>
      </c>
      <c r="K1089" t="s">
        <v>145</v>
      </c>
      <c r="L1089" t="s">
        <v>146</v>
      </c>
      <c r="N1089" s="29">
        <v>1</v>
      </c>
      <c r="P1089" s="29">
        <v>1</v>
      </c>
      <c r="R1089" s="29">
        <v>1</v>
      </c>
      <c r="S1089" t="s">
        <v>70</v>
      </c>
      <c r="T1089" t="s">
        <v>72</v>
      </c>
      <c r="U1089" s="32">
        <v>30</v>
      </c>
      <c r="V1089">
        <v>30</v>
      </c>
      <c r="X1089" t="s">
        <v>240</v>
      </c>
      <c r="Y1089" t="s">
        <v>1805</v>
      </c>
    </row>
    <row r="1090" spans="1:25" x14ac:dyDescent="0.25">
      <c r="A1090" s="27" t="s">
        <v>279</v>
      </c>
      <c r="C1090" t="s">
        <v>64</v>
      </c>
      <c r="D1090" s="27" t="s">
        <v>3743</v>
      </c>
      <c r="E1090" t="s">
        <v>3744</v>
      </c>
      <c r="F1090" s="28">
        <v>2</v>
      </c>
      <c r="G1090" s="29">
        <v>2</v>
      </c>
      <c r="H1090" s="30" t="s">
        <v>3745</v>
      </c>
      <c r="I1090" t="s">
        <v>65</v>
      </c>
      <c r="K1090" t="s">
        <v>145</v>
      </c>
      <c r="L1090" t="s">
        <v>146</v>
      </c>
      <c r="N1090" s="29">
        <v>2</v>
      </c>
      <c r="P1090" s="29">
        <v>2</v>
      </c>
      <c r="R1090" s="29">
        <v>2</v>
      </c>
      <c r="S1090" t="s">
        <v>70</v>
      </c>
      <c r="T1090" t="s">
        <v>72</v>
      </c>
      <c r="U1090" s="32">
        <v>30</v>
      </c>
      <c r="V1090">
        <v>30</v>
      </c>
      <c r="X1090" t="s">
        <v>240</v>
      </c>
      <c r="Y1090" t="s">
        <v>282</v>
      </c>
    </row>
    <row r="1091" spans="1:25" x14ac:dyDescent="0.25">
      <c r="A1091" s="27" t="s">
        <v>3746</v>
      </c>
      <c r="C1091" t="s">
        <v>64</v>
      </c>
      <c r="D1091" s="27" t="s">
        <v>102</v>
      </c>
      <c r="E1091" t="s">
        <v>3747</v>
      </c>
      <c r="F1091" s="28">
        <v>0</v>
      </c>
      <c r="G1091" s="29">
        <v>1</v>
      </c>
      <c r="H1091" s="30" t="s">
        <v>3748</v>
      </c>
      <c r="I1091" t="s">
        <v>65</v>
      </c>
      <c r="K1091" t="s">
        <v>145</v>
      </c>
      <c r="L1091" t="s">
        <v>146</v>
      </c>
      <c r="N1091" s="29">
        <v>1</v>
      </c>
      <c r="P1091" s="29">
        <v>1</v>
      </c>
      <c r="R1091" s="29">
        <v>1</v>
      </c>
      <c r="S1091" t="s">
        <v>70</v>
      </c>
      <c r="T1091" t="s">
        <v>72</v>
      </c>
      <c r="U1091" s="32">
        <v>30</v>
      </c>
      <c r="V1091">
        <v>30</v>
      </c>
      <c r="X1091" t="s">
        <v>240</v>
      </c>
      <c r="Y1091" t="s">
        <v>3747</v>
      </c>
    </row>
    <row r="1092" spans="1:25" x14ac:dyDescent="0.25">
      <c r="A1092" s="27" t="s">
        <v>328</v>
      </c>
      <c r="C1092" t="s">
        <v>64</v>
      </c>
      <c r="D1092" s="27" t="s">
        <v>102</v>
      </c>
      <c r="E1092" t="s">
        <v>3749</v>
      </c>
      <c r="F1092" s="28">
        <v>0</v>
      </c>
      <c r="G1092" s="29">
        <v>1</v>
      </c>
      <c r="H1092" s="30" t="s">
        <v>3750</v>
      </c>
      <c r="I1092" t="s">
        <v>65</v>
      </c>
      <c r="K1092" t="s">
        <v>145</v>
      </c>
      <c r="L1092" t="s">
        <v>146</v>
      </c>
      <c r="N1092" s="29">
        <v>1</v>
      </c>
      <c r="P1092" s="29">
        <v>1</v>
      </c>
      <c r="R1092" s="29">
        <v>1</v>
      </c>
      <c r="S1092" t="s">
        <v>70</v>
      </c>
      <c r="T1092" t="s">
        <v>72</v>
      </c>
      <c r="U1092" s="32">
        <v>30</v>
      </c>
      <c r="V1092">
        <v>30</v>
      </c>
      <c r="X1092" t="s">
        <v>240</v>
      </c>
      <c r="Y1092" t="s">
        <v>3749</v>
      </c>
    </row>
    <row r="1093" spans="1:25" x14ac:dyDescent="0.25">
      <c r="A1093" s="27" t="s">
        <v>283</v>
      </c>
      <c r="C1093" t="s">
        <v>64</v>
      </c>
      <c r="D1093" s="27" t="s">
        <v>102</v>
      </c>
      <c r="E1093" t="s">
        <v>732</v>
      </c>
      <c r="F1093" s="28">
        <v>0</v>
      </c>
      <c r="G1093" s="29">
        <v>1</v>
      </c>
      <c r="H1093" s="30" t="s">
        <v>3751</v>
      </c>
      <c r="I1093" t="s">
        <v>65</v>
      </c>
      <c r="K1093" t="s">
        <v>145</v>
      </c>
      <c r="L1093" t="s">
        <v>146</v>
      </c>
      <c r="N1093" s="29">
        <v>1</v>
      </c>
      <c r="P1093" s="29">
        <v>1</v>
      </c>
      <c r="R1093" s="29">
        <v>1</v>
      </c>
      <c r="S1093" t="s">
        <v>70</v>
      </c>
      <c r="T1093" t="s">
        <v>72</v>
      </c>
      <c r="U1093" s="32">
        <v>30</v>
      </c>
      <c r="V1093">
        <v>30</v>
      </c>
      <c r="X1093" t="s">
        <v>240</v>
      </c>
      <c r="Y1093" t="s">
        <v>284</v>
      </c>
    </row>
    <row r="1094" spans="1:25" x14ac:dyDescent="0.25">
      <c r="A1094" s="27" t="s">
        <v>287</v>
      </c>
      <c r="C1094" t="s">
        <v>64</v>
      </c>
      <c r="D1094" s="27" t="s">
        <v>102</v>
      </c>
      <c r="E1094" t="s">
        <v>732</v>
      </c>
      <c r="F1094" s="28">
        <v>0</v>
      </c>
      <c r="G1094" s="29">
        <v>1</v>
      </c>
      <c r="H1094" s="30" t="s">
        <v>3752</v>
      </c>
      <c r="I1094" t="s">
        <v>65</v>
      </c>
      <c r="K1094" t="s">
        <v>145</v>
      </c>
      <c r="L1094" t="s">
        <v>146</v>
      </c>
      <c r="N1094" s="29">
        <v>1</v>
      </c>
      <c r="P1094" s="29">
        <v>1</v>
      </c>
      <c r="R1094" s="29">
        <v>1</v>
      </c>
      <c r="S1094" t="s">
        <v>70</v>
      </c>
      <c r="T1094" t="s">
        <v>72</v>
      </c>
      <c r="U1094" s="32">
        <v>30</v>
      </c>
      <c r="V1094">
        <v>30</v>
      </c>
      <c r="X1094" t="s">
        <v>240</v>
      </c>
      <c r="Y1094" t="s">
        <v>284</v>
      </c>
    </row>
    <row r="1095" spans="1:25" x14ac:dyDescent="0.25">
      <c r="A1095" s="27" t="s">
        <v>3753</v>
      </c>
      <c r="C1095" t="s">
        <v>64</v>
      </c>
      <c r="D1095" s="27" t="s">
        <v>102</v>
      </c>
      <c r="E1095" t="s">
        <v>3754</v>
      </c>
      <c r="F1095" s="28">
        <v>0</v>
      </c>
      <c r="G1095" s="29">
        <v>1</v>
      </c>
      <c r="H1095" s="30" t="s">
        <v>3755</v>
      </c>
      <c r="I1095" t="s">
        <v>65</v>
      </c>
      <c r="K1095" t="s">
        <v>145</v>
      </c>
      <c r="L1095" t="s">
        <v>146</v>
      </c>
      <c r="N1095" s="29">
        <v>1</v>
      </c>
      <c r="P1095" s="29">
        <v>1</v>
      </c>
      <c r="R1095" s="29">
        <v>1</v>
      </c>
      <c r="S1095" t="s">
        <v>70</v>
      </c>
      <c r="T1095" t="s">
        <v>72</v>
      </c>
      <c r="U1095" s="32">
        <v>30</v>
      </c>
      <c r="V1095">
        <v>30</v>
      </c>
      <c r="X1095" t="s">
        <v>240</v>
      </c>
      <c r="Y1095" t="s">
        <v>3754</v>
      </c>
    </row>
    <row r="1096" spans="1:25" x14ac:dyDescent="0.25">
      <c r="A1096" s="27" t="s">
        <v>283</v>
      </c>
      <c r="C1096" t="s">
        <v>64</v>
      </c>
      <c r="D1096" s="27" t="s">
        <v>102</v>
      </c>
      <c r="E1096" t="s">
        <v>3756</v>
      </c>
      <c r="F1096" s="28">
        <v>0</v>
      </c>
      <c r="G1096" s="29">
        <v>1</v>
      </c>
      <c r="H1096" s="30" t="s">
        <v>3757</v>
      </c>
      <c r="I1096" t="s">
        <v>65</v>
      </c>
      <c r="K1096" t="s">
        <v>145</v>
      </c>
      <c r="L1096" t="s">
        <v>146</v>
      </c>
      <c r="N1096" s="29">
        <v>1</v>
      </c>
      <c r="P1096" s="29">
        <v>1</v>
      </c>
      <c r="R1096" s="29">
        <v>1</v>
      </c>
      <c r="S1096" t="s">
        <v>70</v>
      </c>
      <c r="T1096" t="s">
        <v>72</v>
      </c>
      <c r="U1096" s="32">
        <v>30</v>
      </c>
      <c r="V1096">
        <v>30</v>
      </c>
      <c r="X1096" t="s">
        <v>240</v>
      </c>
      <c r="Y1096" t="s">
        <v>284</v>
      </c>
    </row>
    <row r="1097" spans="1:25" x14ac:dyDescent="0.25">
      <c r="A1097" s="27" t="s">
        <v>287</v>
      </c>
      <c r="C1097" t="s">
        <v>64</v>
      </c>
      <c r="D1097" s="27" t="s">
        <v>102</v>
      </c>
      <c r="E1097" t="s">
        <v>3756</v>
      </c>
      <c r="F1097" s="28">
        <v>0</v>
      </c>
      <c r="G1097" s="29">
        <v>1</v>
      </c>
      <c r="H1097" s="30" t="s">
        <v>3758</v>
      </c>
      <c r="I1097" t="s">
        <v>65</v>
      </c>
      <c r="K1097" t="s">
        <v>145</v>
      </c>
      <c r="L1097" t="s">
        <v>146</v>
      </c>
      <c r="N1097" s="29">
        <v>1</v>
      </c>
      <c r="P1097" s="29">
        <v>1</v>
      </c>
      <c r="R1097" s="29">
        <v>1</v>
      </c>
      <c r="S1097" t="s">
        <v>70</v>
      </c>
      <c r="T1097" t="s">
        <v>72</v>
      </c>
      <c r="U1097" s="32">
        <v>30</v>
      </c>
      <c r="V1097">
        <v>30</v>
      </c>
      <c r="X1097" t="s">
        <v>240</v>
      </c>
      <c r="Y1097" t="s">
        <v>284</v>
      </c>
    </row>
    <row r="1098" spans="1:25" x14ac:dyDescent="0.25">
      <c r="A1098" s="27" t="s">
        <v>352</v>
      </c>
      <c r="C1098" t="s">
        <v>64</v>
      </c>
      <c r="D1098" s="27" t="s">
        <v>102</v>
      </c>
      <c r="E1098" t="s">
        <v>3759</v>
      </c>
      <c r="F1098" s="28">
        <v>0</v>
      </c>
      <c r="G1098" s="29">
        <v>1</v>
      </c>
      <c r="H1098" s="30" t="s">
        <v>3760</v>
      </c>
      <c r="I1098" t="s">
        <v>65</v>
      </c>
      <c r="K1098" t="s">
        <v>145</v>
      </c>
      <c r="L1098" t="s">
        <v>146</v>
      </c>
      <c r="N1098" s="29">
        <v>1</v>
      </c>
      <c r="P1098" s="29">
        <v>1</v>
      </c>
      <c r="R1098" s="29">
        <v>1</v>
      </c>
      <c r="S1098" t="s">
        <v>70</v>
      </c>
      <c r="T1098" t="s">
        <v>72</v>
      </c>
      <c r="U1098" s="32">
        <v>30</v>
      </c>
      <c r="V1098">
        <v>30</v>
      </c>
      <c r="X1098" t="s">
        <v>3761</v>
      </c>
      <c r="Y1098" t="s">
        <v>356</v>
      </c>
    </row>
    <row r="1099" spans="1:25" x14ac:dyDescent="0.25">
      <c r="A1099" s="27" t="s">
        <v>3762</v>
      </c>
      <c r="C1099" t="s">
        <v>64</v>
      </c>
      <c r="D1099" s="27" t="s">
        <v>102</v>
      </c>
      <c r="E1099" t="s">
        <v>3763</v>
      </c>
      <c r="F1099" s="28">
        <v>0</v>
      </c>
      <c r="G1099" s="29">
        <v>2</v>
      </c>
      <c r="H1099" s="30" t="s">
        <v>3764</v>
      </c>
      <c r="I1099" t="s">
        <v>65</v>
      </c>
      <c r="K1099" t="s">
        <v>145</v>
      </c>
      <c r="L1099" t="s">
        <v>146</v>
      </c>
      <c r="N1099" s="29">
        <v>2</v>
      </c>
      <c r="P1099" s="29">
        <v>2</v>
      </c>
      <c r="R1099" s="29">
        <v>2</v>
      </c>
      <c r="S1099" t="s">
        <v>70</v>
      </c>
      <c r="T1099" t="s">
        <v>72</v>
      </c>
      <c r="U1099" s="32">
        <v>30</v>
      </c>
      <c r="V1099">
        <v>30</v>
      </c>
      <c r="X1099" t="s">
        <v>240</v>
      </c>
      <c r="Y1099" t="s">
        <v>3763</v>
      </c>
    </row>
    <row r="1100" spans="1:25" x14ac:dyDescent="0.25">
      <c r="A1100" s="27" t="s">
        <v>382</v>
      </c>
      <c r="C1100" t="s">
        <v>64</v>
      </c>
      <c r="D1100" s="27" t="s">
        <v>102</v>
      </c>
      <c r="E1100" t="s">
        <v>3765</v>
      </c>
      <c r="F1100" s="28">
        <v>0</v>
      </c>
      <c r="G1100" s="29">
        <v>1</v>
      </c>
      <c r="H1100" s="30" t="s">
        <v>3766</v>
      </c>
      <c r="I1100" t="s">
        <v>65</v>
      </c>
      <c r="K1100" t="s">
        <v>145</v>
      </c>
      <c r="L1100" t="s">
        <v>146</v>
      </c>
      <c r="N1100" s="29">
        <v>1</v>
      </c>
      <c r="P1100" s="29">
        <v>1</v>
      </c>
      <c r="R1100" s="29">
        <v>1</v>
      </c>
      <c r="S1100" t="s">
        <v>70</v>
      </c>
      <c r="T1100" t="s">
        <v>72</v>
      </c>
      <c r="U1100" s="32">
        <v>30</v>
      </c>
      <c r="V1100">
        <v>30</v>
      </c>
      <c r="X1100" t="s">
        <v>240</v>
      </c>
      <c r="Y1100" t="s">
        <v>749</v>
      </c>
    </row>
    <row r="1101" spans="1:25" x14ac:dyDescent="0.25">
      <c r="A1101" s="27" t="s">
        <v>3767</v>
      </c>
      <c r="C1101" t="s">
        <v>64</v>
      </c>
      <c r="D1101" s="27" t="s">
        <v>102</v>
      </c>
      <c r="E1101" t="s">
        <v>3768</v>
      </c>
      <c r="F1101" s="28">
        <v>0</v>
      </c>
      <c r="G1101" s="29">
        <v>1</v>
      </c>
      <c r="H1101" s="30" t="s">
        <v>3769</v>
      </c>
      <c r="I1101" t="s">
        <v>65</v>
      </c>
      <c r="K1101" t="s">
        <v>145</v>
      </c>
      <c r="L1101" t="s">
        <v>146</v>
      </c>
      <c r="N1101" s="29">
        <v>1</v>
      </c>
      <c r="P1101" s="29">
        <v>1</v>
      </c>
      <c r="R1101" s="29">
        <v>1</v>
      </c>
      <c r="S1101" t="s">
        <v>70</v>
      </c>
      <c r="T1101" t="s">
        <v>72</v>
      </c>
      <c r="U1101" s="32">
        <v>30</v>
      </c>
      <c r="V1101">
        <v>30</v>
      </c>
      <c r="X1101" t="s">
        <v>240</v>
      </c>
      <c r="Y1101" t="s">
        <v>3768</v>
      </c>
    </row>
    <row r="1102" spans="1:25" x14ac:dyDescent="0.25">
      <c r="A1102" s="27" t="s">
        <v>3770</v>
      </c>
      <c r="C1102" t="s">
        <v>64</v>
      </c>
      <c r="D1102" s="27" t="s">
        <v>102</v>
      </c>
      <c r="E1102" t="s">
        <v>3771</v>
      </c>
      <c r="F1102" s="28">
        <v>0</v>
      </c>
      <c r="G1102" s="29">
        <v>1</v>
      </c>
      <c r="H1102" s="30" t="s">
        <v>3772</v>
      </c>
      <c r="I1102" t="s">
        <v>65</v>
      </c>
      <c r="K1102" t="s">
        <v>145</v>
      </c>
      <c r="L1102" t="s">
        <v>146</v>
      </c>
      <c r="N1102" s="29">
        <v>1</v>
      </c>
      <c r="P1102" s="29">
        <v>1</v>
      </c>
      <c r="R1102" s="29">
        <v>1</v>
      </c>
      <c r="S1102" t="s">
        <v>70</v>
      </c>
      <c r="T1102" t="s">
        <v>72</v>
      </c>
      <c r="U1102" s="32">
        <v>30</v>
      </c>
      <c r="V1102">
        <v>30</v>
      </c>
      <c r="X1102" t="s">
        <v>240</v>
      </c>
      <c r="Y1102" t="s">
        <v>3771</v>
      </c>
    </row>
    <row r="1103" spans="1:25" x14ac:dyDescent="0.25">
      <c r="A1103" s="27" t="s">
        <v>3773</v>
      </c>
      <c r="C1103" t="s">
        <v>64</v>
      </c>
      <c r="D1103" s="27" t="s">
        <v>3774</v>
      </c>
      <c r="E1103" t="s">
        <v>3775</v>
      </c>
      <c r="F1103" s="28">
        <v>0</v>
      </c>
      <c r="G1103" s="29">
        <v>1</v>
      </c>
      <c r="H1103" s="30" t="s">
        <v>3776</v>
      </c>
      <c r="I1103" t="s">
        <v>65</v>
      </c>
      <c r="K1103" t="s">
        <v>145</v>
      </c>
      <c r="L1103" t="s">
        <v>146</v>
      </c>
      <c r="N1103" s="29">
        <v>1</v>
      </c>
      <c r="P1103" s="29">
        <v>1</v>
      </c>
      <c r="R1103" s="29">
        <v>1</v>
      </c>
      <c r="S1103" t="s">
        <v>70</v>
      </c>
      <c r="T1103" t="s">
        <v>72</v>
      </c>
      <c r="U1103" s="32">
        <v>30</v>
      </c>
      <c r="V1103">
        <v>30</v>
      </c>
      <c r="X1103" t="s">
        <v>240</v>
      </c>
      <c r="Y1103" t="s">
        <v>396</v>
      </c>
    </row>
    <row r="1104" spans="1:25" x14ac:dyDescent="0.25">
      <c r="A1104" s="27" t="s">
        <v>392</v>
      </c>
      <c r="C1104" t="s">
        <v>64</v>
      </c>
      <c r="D1104" s="27" t="s">
        <v>102</v>
      </c>
      <c r="E1104" t="s">
        <v>3777</v>
      </c>
      <c r="F1104" s="28">
        <v>0</v>
      </c>
      <c r="G1104" s="29">
        <v>1</v>
      </c>
      <c r="H1104" s="30" t="s">
        <v>3778</v>
      </c>
      <c r="I1104" t="s">
        <v>65</v>
      </c>
      <c r="K1104" t="s">
        <v>145</v>
      </c>
      <c r="L1104" t="s">
        <v>146</v>
      </c>
      <c r="N1104" s="29">
        <v>1</v>
      </c>
      <c r="P1104" s="29">
        <v>1</v>
      </c>
      <c r="R1104" s="29">
        <v>1</v>
      </c>
      <c r="S1104" t="s">
        <v>70</v>
      </c>
      <c r="T1104" t="s">
        <v>72</v>
      </c>
      <c r="U1104" s="32">
        <v>30</v>
      </c>
      <c r="V1104">
        <v>30</v>
      </c>
      <c r="X1104" t="s">
        <v>240</v>
      </c>
      <c r="Y1104" t="s">
        <v>396</v>
      </c>
    </row>
    <row r="1105" spans="1:25" x14ac:dyDescent="0.25">
      <c r="A1105" s="27" t="s">
        <v>861</v>
      </c>
      <c r="C1105" t="s">
        <v>64</v>
      </c>
      <c r="D1105" s="27" t="s">
        <v>102</v>
      </c>
      <c r="E1105" t="s">
        <v>3779</v>
      </c>
      <c r="F1105" s="28">
        <v>2</v>
      </c>
      <c r="G1105" s="29">
        <v>2</v>
      </c>
      <c r="H1105" s="30" t="s">
        <v>3780</v>
      </c>
      <c r="I1105" t="s">
        <v>65</v>
      </c>
      <c r="K1105" t="s">
        <v>145</v>
      </c>
      <c r="L1105" t="s">
        <v>146</v>
      </c>
      <c r="N1105" s="29">
        <v>2</v>
      </c>
      <c r="P1105" s="29">
        <v>2</v>
      </c>
      <c r="R1105" s="29">
        <v>2</v>
      </c>
      <c r="S1105" t="s">
        <v>70</v>
      </c>
      <c r="T1105" t="s">
        <v>72</v>
      </c>
      <c r="U1105" s="32">
        <v>30</v>
      </c>
      <c r="V1105">
        <v>30</v>
      </c>
      <c r="X1105" t="s">
        <v>240</v>
      </c>
      <c r="Y1105" t="s">
        <v>3781</v>
      </c>
    </row>
    <row r="1106" spans="1:25" x14ac:dyDescent="0.25">
      <c r="A1106" s="27" t="s">
        <v>712</v>
      </c>
      <c r="C1106" t="s">
        <v>64</v>
      </c>
      <c r="D1106" s="27" t="s">
        <v>102</v>
      </c>
      <c r="E1106" t="s">
        <v>3782</v>
      </c>
      <c r="F1106" s="28">
        <v>0</v>
      </c>
      <c r="G1106" s="29">
        <v>1</v>
      </c>
      <c r="H1106" s="30" t="s">
        <v>3783</v>
      </c>
      <c r="I1106" t="s">
        <v>65</v>
      </c>
      <c r="K1106" t="s">
        <v>145</v>
      </c>
      <c r="L1106" t="s">
        <v>146</v>
      </c>
      <c r="N1106" s="29">
        <v>1</v>
      </c>
      <c r="P1106" s="29">
        <v>1</v>
      </c>
      <c r="R1106" s="29">
        <v>1</v>
      </c>
      <c r="S1106" t="s">
        <v>70</v>
      </c>
      <c r="T1106" t="s">
        <v>72</v>
      </c>
      <c r="U1106" s="32">
        <v>30</v>
      </c>
      <c r="V1106">
        <v>30</v>
      </c>
      <c r="X1106" t="s">
        <v>240</v>
      </c>
      <c r="Y1106" t="s">
        <v>3784</v>
      </c>
    </row>
    <row r="1107" spans="1:25" x14ac:dyDescent="0.25">
      <c r="A1107" s="27" t="s">
        <v>712</v>
      </c>
      <c r="C1107" t="s">
        <v>64</v>
      </c>
      <c r="D1107" s="27" t="s">
        <v>3785</v>
      </c>
      <c r="E1107" t="s">
        <v>3786</v>
      </c>
      <c r="F1107" s="28">
        <v>2</v>
      </c>
      <c r="G1107" s="29">
        <v>2</v>
      </c>
      <c r="H1107" s="30" t="s">
        <v>3787</v>
      </c>
      <c r="I1107" t="s">
        <v>65</v>
      </c>
      <c r="K1107" t="s">
        <v>145</v>
      </c>
      <c r="L1107" t="s">
        <v>146</v>
      </c>
      <c r="N1107" s="29">
        <v>2</v>
      </c>
      <c r="P1107" s="29">
        <v>2</v>
      </c>
      <c r="R1107" s="29">
        <v>2</v>
      </c>
      <c r="S1107" t="s">
        <v>70</v>
      </c>
      <c r="T1107" t="s">
        <v>72</v>
      </c>
      <c r="U1107" s="32">
        <v>30</v>
      </c>
      <c r="V1107">
        <v>30</v>
      </c>
      <c r="X1107" t="s">
        <v>240</v>
      </c>
      <c r="Y1107" t="s">
        <v>1921</v>
      </c>
    </row>
    <row r="1108" spans="1:25" x14ac:dyDescent="0.25">
      <c r="A1108" s="27" t="s">
        <v>3788</v>
      </c>
      <c r="C1108" t="s">
        <v>64</v>
      </c>
      <c r="D1108" s="27" t="s">
        <v>102</v>
      </c>
      <c r="E1108" t="s">
        <v>3789</v>
      </c>
      <c r="F1108" s="28">
        <v>0</v>
      </c>
      <c r="G1108" s="29">
        <v>1</v>
      </c>
      <c r="H1108" s="30" t="s">
        <v>3790</v>
      </c>
      <c r="I1108" t="s">
        <v>65</v>
      </c>
      <c r="K1108" t="s">
        <v>145</v>
      </c>
      <c r="L1108" t="s">
        <v>146</v>
      </c>
      <c r="N1108" s="29">
        <v>1</v>
      </c>
      <c r="P1108" s="29">
        <v>1</v>
      </c>
      <c r="R1108" s="29">
        <v>1</v>
      </c>
      <c r="S1108" t="s">
        <v>70</v>
      </c>
      <c r="T1108" t="s">
        <v>72</v>
      </c>
      <c r="U1108" s="32">
        <v>30</v>
      </c>
      <c r="V1108">
        <v>30</v>
      </c>
      <c r="X1108" t="s">
        <v>240</v>
      </c>
      <c r="Y1108" t="s">
        <v>3789</v>
      </c>
    </row>
    <row r="1109" spans="1:25" x14ac:dyDescent="0.25">
      <c r="A1109" s="27" t="s">
        <v>712</v>
      </c>
      <c r="C1109" t="s">
        <v>64</v>
      </c>
      <c r="D1109" s="27" t="s">
        <v>3791</v>
      </c>
      <c r="E1109" t="s">
        <v>3792</v>
      </c>
      <c r="F1109" s="28">
        <v>2</v>
      </c>
      <c r="G1109" s="29">
        <v>2</v>
      </c>
      <c r="H1109" s="30" t="s">
        <v>3793</v>
      </c>
      <c r="I1109" t="s">
        <v>65</v>
      </c>
      <c r="K1109" t="s">
        <v>145</v>
      </c>
      <c r="L1109" t="s">
        <v>146</v>
      </c>
      <c r="N1109" s="29">
        <v>2</v>
      </c>
      <c r="P1109" s="29">
        <v>2</v>
      </c>
      <c r="R1109" s="29">
        <v>2</v>
      </c>
      <c r="S1109" t="s">
        <v>70</v>
      </c>
      <c r="T1109" t="s">
        <v>72</v>
      </c>
      <c r="U1109" s="32">
        <v>30</v>
      </c>
      <c r="V1109">
        <v>30</v>
      </c>
      <c r="X1109" t="s">
        <v>240</v>
      </c>
      <c r="Y1109" t="s">
        <v>3794</v>
      </c>
    </row>
    <row r="1110" spans="1:25" x14ac:dyDescent="0.25">
      <c r="A1110" s="27" t="s">
        <v>425</v>
      </c>
      <c r="C1110" t="s">
        <v>64</v>
      </c>
      <c r="D1110" s="27" t="s">
        <v>102</v>
      </c>
      <c r="E1110" t="s">
        <v>3795</v>
      </c>
      <c r="F1110" s="28">
        <v>0</v>
      </c>
      <c r="G1110" s="29">
        <v>1</v>
      </c>
      <c r="H1110" s="30" t="s">
        <v>3796</v>
      </c>
      <c r="I1110" t="s">
        <v>65</v>
      </c>
      <c r="K1110" t="s">
        <v>145</v>
      </c>
      <c r="L1110" t="s">
        <v>146</v>
      </c>
      <c r="N1110" s="29">
        <v>1</v>
      </c>
      <c r="P1110" s="29">
        <v>1</v>
      </c>
      <c r="R1110" s="29">
        <v>1</v>
      </c>
      <c r="S1110" t="s">
        <v>70</v>
      </c>
      <c r="T1110" t="s">
        <v>72</v>
      </c>
      <c r="U1110" s="32">
        <v>30</v>
      </c>
      <c r="V1110">
        <v>30</v>
      </c>
      <c r="X1110" t="s">
        <v>240</v>
      </c>
      <c r="Y1110" t="s">
        <v>3797</v>
      </c>
    </row>
    <row r="1111" spans="1:25" x14ac:dyDescent="0.25">
      <c r="A1111" s="27" t="s">
        <v>894</v>
      </c>
      <c r="C1111" t="s">
        <v>64</v>
      </c>
      <c r="D1111" s="27" t="s">
        <v>3798</v>
      </c>
      <c r="E1111" t="s">
        <v>3799</v>
      </c>
      <c r="F1111" s="28">
        <v>2</v>
      </c>
      <c r="G1111" s="29">
        <v>2</v>
      </c>
      <c r="H1111" s="30" t="s">
        <v>3800</v>
      </c>
      <c r="I1111" t="s">
        <v>65</v>
      </c>
      <c r="K1111" t="s">
        <v>145</v>
      </c>
      <c r="L1111" t="s">
        <v>146</v>
      </c>
      <c r="N1111" s="29">
        <v>2</v>
      </c>
      <c r="P1111" s="29">
        <v>2</v>
      </c>
      <c r="R1111" s="29">
        <v>2</v>
      </c>
      <c r="S1111" t="s">
        <v>70</v>
      </c>
      <c r="T1111" t="s">
        <v>72</v>
      </c>
      <c r="U1111" s="32">
        <v>30</v>
      </c>
      <c r="V1111">
        <v>30</v>
      </c>
      <c r="X1111" t="s">
        <v>240</v>
      </c>
      <c r="Y1111" t="s">
        <v>897</v>
      </c>
    </row>
    <row r="1112" spans="1:25" x14ac:dyDescent="0.25">
      <c r="A1112" s="27" t="s">
        <v>898</v>
      </c>
      <c r="C1112" t="s">
        <v>64</v>
      </c>
      <c r="D1112" s="27" t="s">
        <v>3798</v>
      </c>
      <c r="E1112" t="s">
        <v>3799</v>
      </c>
      <c r="F1112" s="28">
        <v>2</v>
      </c>
      <c r="G1112" s="29">
        <v>2</v>
      </c>
      <c r="H1112" s="30" t="s">
        <v>3801</v>
      </c>
      <c r="I1112" t="s">
        <v>65</v>
      </c>
      <c r="K1112" t="s">
        <v>145</v>
      </c>
      <c r="L1112" t="s">
        <v>146</v>
      </c>
      <c r="N1112" s="29">
        <v>2</v>
      </c>
      <c r="P1112" s="29">
        <v>2</v>
      </c>
      <c r="R1112" s="29">
        <v>2</v>
      </c>
      <c r="S1112" t="s">
        <v>70</v>
      </c>
      <c r="T1112" t="s">
        <v>72</v>
      </c>
      <c r="U1112" s="32">
        <v>30</v>
      </c>
      <c r="V1112">
        <v>30</v>
      </c>
      <c r="X1112" t="s">
        <v>240</v>
      </c>
      <c r="Y1112" t="s">
        <v>897</v>
      </c>
    </row>
    <row r="1113" spans="1:25" x14ac:dyDescent="0.25">
      <c r="A1113" s="27" t="s">
        <v>3802</v>
      </c>
      <c r="C1113" t="s">
        <v>64</v>
      </c>
      <c r="D1113" s="27" t="s">
        <v>102</v>
      </c>
      <c r="E1113" t="s">
        <v>3803</v>
      </c>
      <c r="F1113" s="28">
        <v>0</v>
      </c>
      <c r="G1113" s="29">
        <v>1</v>
      </c>
      <c r="H1113" s="30" t="s">
        <v>3804</v>
      </c>
      <c r="I1113" t="s">
        <v>65</v>
      </c>
      <c r="K1113" t="s">
        <v>145</v>
      </c>
      <c r="L1113" t="s">
        <v>146</v>
      </c>
      <c r="N1113" s="29">
        <v>1</v>
      </c>
      <c r="P1113" s="29">
        <v>1</v>
      </c>
      <c r="R1113" s="29">
        <v>1</v>
      </c>
      <c r="S1113" t="s">
        <v>70</v>
      </c>
      <c r="T1113" t="s">
        <v>72</v>
      </c>
      <c r="U1113" s="32">
        <v>30</v>
      </c>
      <c r="V1113">
        <v>30</v>
      </c>
      <c r="X1113" t="s">
        <v>240</v>
      </c>
      <c r="Y1113" t="s">
        <v>3803</v>
      </c>
    </row>
    <row r="1114" spans="1:25" x14ac:dyDescent="0.25">
      <c r="A1114" s="27" t="s">
        <v>3805</v>
      </c>
      <c r="C1114" t="s">
        <v>64</v>
      </c>
      <c r="D1114" s="27" t="s">
        <v>102</v>
      </c>
      <c r="E1114" t="s">
        <v>3806</v>
      </c>
      <c r="F1114" s="28">
        <v>0</v>
      </c>
      <c r="G1114" s="29">
        <v>1</v>
      </c>
      <c r="H1114" s="30" t="s">
        <v>3807</v>
      </c>
      <c r="I1114" t="s">
        <v>65</v>
      </c>
      <c r="K1114" t="s">
        <v>145</v>
      </c>
      <c r="L1114" t="s">
        <v>146</v>
      </c>
      <c r="N1114" s="29">
        <v>1</v>
      </c>
      <c r="P1114" s="29">
        <v>1</v>
      </c>
      <c r="R1114" s="29">
        <v>1</v>
      </c>
      <c r="S1114" t="s">
        <v>70</v>
      </c>
      <c r="T1114" t="s">
        <v>72</v>
      </c>
      <c r="U1114" s="32">
        <v>30</v>
      </c>
      <c r="V1114">
        <v>30</v>
      </c>
      <c r="X1114" t="s">
        <v>240</v>
      </c>
      <c r="Y1114" t="s">
        <v>3806</v>
      </c>
    </row>
    <row r="1115" spans="1:25" x14ac:dyDescent="0.25">
      <c r="A1115" s="27" t="s">
        <v>3808</v>
      </c>
      <c r="C1115" t="s">
        <v>64</v>
      </c>
      <c r="D1115" s="27" t="s">
        <v>102</v>
      </c>
      <c r="E1115" t="s">
        <v>3809</v>
      </c>
      <c r="F1115" s="28">
        <v>0</v>
      </c>
      <c r="G1115" s="29">
        <v>1</v>
      </c>
      <c r="H1115" s="30" t="s">
        <v>3810</v>
      </c>
      <c r="I1115" t="s">
        <v>65</v>
      </c>
      <c r="K1115" t="s">
        <v>145</v>
      </c>
      <c r="L1115" t="s">
        <v>146</v>
      </c>
      <c r="N1115" s="29">
        <v>1</v>
      </c>
      <c r="P1115" s="29">
        <v>1</v>
      </c>
      <c r="R1115" s="29">
        <v>1</v>
      </c>
      <c r="S1115" t="s">
        <v>70</v>
      </c>
      <c r="T1115" t="s">
        <v>72</v>
      </c>
      <c r="U1115" s="32">
        <v>30</v>
      </c>
      <c r="V1115">
        <v>30</v>
      </c>
      <c r="X1115" t="s">
        <v>240</v>
      </c>
      <c r="Y1115" t="s">
        <v>3809</v>
      </c>
    </row>
    <row r="1116" spans="1:25" x14ac:dyDescent="0.25">
      <c r="A1116" s="27" t="s">
        <v>3811</v>
      </c>
      <c r="C1116" t="s">
        <v>64</v>
      </c>
      <c r="D1116" s="27" t="s">
        <v>3812</v>
      </c>
      <c r="E1116" t="s">
        <v>3813</v>
      </c>
      <c r="F1116" s="28">
        <v>2</v>
      </c>
      <c r="G1116" s="29">
        <v>2</v>
      </c>
      <c r="H1116" s="30" t="s">
        <v>3814</v>
      </c>
      <c r="I1116" t="s">
        <v>65</v>
      </c>
      <c r="K1116" t="s">
        <v>145</v>
      </c>
      <c r="L1116" t="s">
        <v>146</v>
      </c>
      <c r="N1116" s="29">
        <v>2</v>
      </c>
      <c r="P1116" s="29">
        <v>2</v>
      </c>
      <c r="R1116" s="29">
        <v>2</v>
      </c>
      <c r="S1116" t="s">
        <v>70</v>
      </c>
      <c r="T1116" t="s">
        <v>72</v>
      </c>
      <c r="U1116" s="32">
        <v>30</v>
      </c>
      <c r="V1116">
        <v>30</v>
      </c>
      <c r="X1116" t="s">
        <v>240</v>
      </c>
      <c r="Y1116" t="s">
        <v>3813</v>
      </c>
    </row>
    <row r="1117" spans="1:25" x14ac:dyDescent="0.25">
      <c r="A1117" s="27" t="s">
        <v>3815</v>
      </c>
      <c r="C1117" t="s">
        <v>64</v>
      </c>
      <c r="D1117" s="27" t="s">
        <v>102</v>
      </c>
      <c r="E1117" t="s">
        <v>3816</v>
      </c>
      <c r="F1117" s="28">
        <v>0</v>
      </c>
      <c r="G1117" s="29">
        <v>1</v>
      </c>
      <c r="H1117" s="30" t="s">
        <v>3817</v>
      </c>
      <c r="I1117" t="s">
        <v>65</v>
      </c>
      <c r="K1117" t="s">
        <v>145</v>
      </c>
      <c r="L1117" t="s">
        <v>146</v>
      </c>
      <c r="N1117" s="29">
        <v>1</v>
      </c>
      <c r="P1117" s="29">
        <v>1</v>
      </c>
      <c r="R1117" s="29">
        <v>1</v>
      </c>
      <c r="S1117" t="s">
        <v>70</v>
      </c>
      <c r="T1117" t="s">
        <v>72</v>
      </c>
      <c r="U1117" s="32">
        <v>30</v>
      </c>
      <c r="V1117">
        <v>30</v>
      </c>
      <c r="X1117" t="s">
        <v>240</v>
      </c>
      <c r="Y1117" t="s">
        <v>3818</v>
      </c>
    </row>
    <row r="1118" spans="1:25" x14ac:dyDescent="0.25">
      <c r="A1118" s="27" t="s">
        <v>3819</v>
      </c>
      <c r="C1118" t="s">
        <v>64</v>
      </c>
      <c r="D1118" s="27" t="s">
        <v>3820</v>
      </c>
      <c r="E1118" t="s">
        <v>3821</v>
      </c>
      <c r="F1118" s="28">
        <v>2</v>
      </c>
      <c r="G1118" s="29">
        <v>2</v>
      </c>
      <c r="H1118" s="30" t="s">
        <v>3822</v>
      </c>
      <c r="I1118" t="s">
        <v>65</v>
      </c>
      <c r="K1118" t="s">
        <v>145</v>
      </c>
      <c r="L1118" t="s">
        <v>146</v>
      </c>
      <c r="N1118" s="29">
        <v>2</v>
      </c>
      <c r="P1118" s="29">
        <v>2</v>
      </c>
      <c r="R1118" s="29">
        <v>2</v>
      </c>
      <c r="S1118" t="s">
        <v>70</v>
      </c>
      <c r="T1118" t="s">
        <v>72</v>
      </c>
      <c r="U1118" s="32">
        <v>30</v>
      </c>
      <c r="V1118">
        <v>30</v>
      </c>
      <c r="X1118" t="s">
        <v>240</v>
      </c>
      <c r="Y1118" t="s">
        <v>3823</v>
      </c>
    </row>
    <row r="1119" spans="1:25" x14ac:dyDescent="0.25">
      <c r="A1119" s="27" t="s">
        <v>3824</v>
      </c>
      <c r="C1119" t="s">
        <v>64</v>
      </c>
      <c r="D1119" s="27" t="s">
        <v>3825</v>
      </c>
      <c r="E1119" t="s">
        <v>3826</v>
      </c>
      <c r="F1119" s="28">
        <v>2</v>
      </c>
      <c r="G1119" s="29">
        <v>2</v>
      </c>
      <c r="H1119" s="30" t="s">
        <v>3827</v>
      </c>
      <c r="I1119" t="s">
        <v>65</v>
      </c>
      <c r="K1119" t="s">
        <v>145</v>
      </c>
      <c r="L1119" t="s">
        <v>146</v>
      </c>
      <c r="N1119" s="29">
        <v>2</v>
      </c>
      <c r="P1119" s="29">
        <v>2</v>
      </c>
      <c r="R1119" s="29">
        <v>2</v>
      </c>
      <c r="S1119" t="s">
        <v>70</v>
      </c>
      <c r="T1119" t="s">
        <v>72</v>
      </c>
      <c r="U1119" s="32">
        <v>30</v>
      </c>
      <c r="V1119">
        <v>30</v>
      </c>
      <c r="X1119" t="s">
        <v>240</v>
      </c>
      <c r="Y1119" t="s">
        <v>3826</v>
      </c>
    </row>
    <row r="1120" spans="1:25" x14ac:dyDescent="0.25">
      <c r="A1120" s="27" t="s">
        <v>3828</v>
      </c>
      <c r="C1120" t="s">
        <v>64</v>
      </c>
      <c r="D1120" s="27" t="s">
        <v>3825</v>
      </c>
      <c r="E1120" t="s">
        <v>3826</v>
      </c>
      <c r="F1120" s="28">
        <v>2</v>
      </c>
      <c r="G1120" s="29">
        <v>2</v>
      </c>
      <c r="H1120" s="30" t="s">
        <v>3829</v>
      </c>
      <c r="I1120" t="s">
        <v>65</v>
      </c>
      <c r="K1120" t="s">
        <v>145</v>
      </c>
      <c r="L1120" t="s">
        <v>146</v>
      </c>
      <c r="N1120" s="29">
        <v>2</v>
      </c>
      <c r="P1120" s="29">
        <v>2</v>
      </c>
      <c r="R1120" s="29">
        <v>2</v>
      </c>
      <c r="S1120" t="s">
        <v>70</v>
      </c>
      <c r="T1120" t="s">
        <v>72</v>
      </c>
      <c r="U1120" s="32">
        <v>30</v>
      </c>
      <c r="V1120">
        <v>30</v>
      </c>
      <c r="X1120" t="s">
        <v>240</v>
      </c>
      <c r="Y1120" t="s">
        <v>3826</v>
      </c>
    </row>
    <row r="1121" spans="1:25" x14ac:dyDescent="0.25">
      <c r="A1121" s="27" t="s">
        <v>1566</v>
      </c>
      <c r="C1121" t="s">
        <v>64</v>
      </c>
      <c r="D1121" s="27" t="s">
        <v>3830</v>
      </c>
      <c r="E1121" t="s">
        <v>3831</v>
      </c>
      <c r="F1121" s="28">
        <v>2</v>
      </c>
      <c r="G1121" s="29">
        <v>2</v>
      </c>
      <c r="H1121" s="30" t="s">
        <v>3832</v>
      </c>
      <c r="I1121" t="s">
        <v>65</v>
      </c>
      <c r="K1121" t="s">
        <v>145</v>
      </c>
      <c r="L1121" t="s">
        <v>146</v>
      </c>
      <c r="N1121" s="29">
        <v>2</v>
      </c>
      <c r="P1121" s="29">
        <v>2</v>
      </c>
      <c r="R1121" s="29">
        <v>2</v>
      </c>
      <c r="S1121" t="s">
        <v>70</v>
      </c>
      <c r="T1121" t="s">
        <v>72</v>
      </c>
      <c r="U1121" s="32">
        <v>30</v>
      </c>
      <c r="V1121">
        <v>30</v>
      </c>
      <c r="X1121" t="s">
        <v>240</v>
      </c>
      <c r="Y1121" t="s">
        <v>1570</v>
      </c>
    </row>
    <row r="1122" spans="1:25" x14ac:dyDescent="0.25">
      <c r="A1122" s="27" t="s">
        <v>3833</v>
      </c>
      <c r="C1122" t="s">
        <v>64</v>
      </c>
      <c r="D1122" s="27" t="s">
        <v>3834</v>
      </c>
      <c r="E1122" t="s">
        <v>3835</v>
      </c>
      <c r="F1122" s="28">
        <v>2</v>
      </c>
      <c r="G1122" s="29">
        <v>2</v>
      </c>
      <c r="H1122" s="30" t="s">
        <v>3836</v>
      </c>
      <c r="I1122" t="s">
        <v>65</v>
      </c>
      <c r="K1122" t="s">
        <v>145</v>
      </c>
      <c r="L1122" t="s">
        <v>146</v>
      </c>
      <c r="N1122" s="29">
        <v>2</v>
      </c>
      <c r="P1122" s="29">
        <v>2</v>
      </c>
      <c r="R1122" s="29">
        <v>2</v>
      </c>
      <c r="S1122" t="s">
        <v>70</v>
      </c>
      <c r="T1122" t="s">
        <v>72</v>
      </c>
      <c r="U1122" s="32">
        <v>30</v>
      </c>
      <c r="V1122">
        <v>30</v>
      </c>
      <c r="X1122" t="s">
        <v>240</v>
      </c>
      <c r="Y1122" t="s">
        <v>3835</v>
      </c>
    </row>
    <row r="1123" spans="1:25" x14ac:dyDescent="0.25">
      <c r="A1123" s="27" t="s">
        <v>3837</v>
      </c>
      <c r="C1123" t="s">
        <v>64</v>
      </c>
      <c r="D1123" s="27" t="s">
        <v>3834</v>
      </c>
      <c r="E1123" t="s">
        <v>3835</v>
      </c>
      <c r="F1123" s="28">
        <v>2</v>
      </c>
      <c r="G1123" s="29">
        <v>2</v>
      </c>
      <c r="H1123" s="30" t="s">
        <v>3838</v>
      </c>
      <c r="I1123" t="s">
        <v>65</v>
      </c>
      <c r="K1123" t="s">
        <v>145</v>
      </c>
      <c r="L1123" t="s">
        <v>146</v>
      </c>
      <c r="N1123" s="29">
        <v>2</v>
      </c>
      <c r="P1123" s="29">
        <v>2</v>
      </c>
      <c r="R1123" s="29">
        <v>2</v>
      </c>
      <c r="S1123" t="s">
        <v>70</v>
      </c>
      <c r="T1123" t="s">
        <v>72</v>
      </c>
      <c r="U1123" s="32">
        <v>30</v>
      </c>
      <c r="V1123">
        <v>30</v>
      </c>
      <c r="X1123" t="s">
        <v>240</v>
      </c>
      <c r="Y1123" t="s">
        <v>3835</v>
      </c>
    </row>
    <row r="1124" spans="1:25" x14ac:dyDescent="0.25">
      <c r="A1124" s="27" t="s">
        <v>3839</v>
      </c>
      <c r="C1124" t="s">
        <v>64</v>
      </c>
      <c r="D1124" s="27" t="s">
        <v>3834</v>
      </c>
      <c r="E1124" t="s">
        <v>3835</v>
      </c>
      <c r="F1124" s="28">
        <v>2</v>
      </c>
      <c r="G1124" s="29">
        <v>2</v>
      </c>
      <c r="H1124" s="30" t="s">
        <v>3840</v>
      </c>
      <c r="I1124" t="s">
        <v>65</v>
      </c>
      <c r="K1124" t="s">
        <v>145</v>
      </c>
      <c r="L1124" t="s">
        <v>146</v>
      </c>
      <c r="N1124" s="29">
        <v>2</v>
      </c>
      <c r="P1124" s="29">
        <v>2</v>
      </c>
      <c r="R1124" s="29">
        <v>2</v>
      </c>
      <c r="S1124" t="s">
        <v>70</v>
      </c>
      <c r="T1124" t="s">
        <v>72</v>
      </c>
      <c r="U1124" s="32">
        <v>30</v>
      </c>
      <c r="V1124">
        <v>30</v>
      </c>
      <c r="X1124" t="s">
        <v>240</v>
      </c>
      <c r="Y1124" t="s">
        <v>3835</v>
      </c>
    </row>
    <row r="1125" spans="1:25" x14ac:dyDescent="0.25">
      <c r="A1125" s="27" t="s">
        <v>3841</v>
      </c>
      <c r="C1125" t="s">
        <v>64</v>
      </c>
      <c r="D1125" s="27" t="s">
        <v>3834</v>
      </c>
      <c r="E1125" t="s">
        <v>3835</v>
      </c>
      <c r="F1125" s="28">
        <v>2</v>
      </c>
      <c r="G1125" s="29">
        <v>2</v>
      </c>
      <c r="H1125" s="30" t="s">
        <v>3842</v>
      </c>
      <c r="I1125" t="s">
        <v>65</v>
      </c>
      <c r="K1125" t="s">
        <v>145</v>
      </c>
      <c r="L1125" t="s">
        <v>146</v>
      </c>
      <c r="N1125" s="29">
        <v>2</v>
      </c>
      <c r="P1125" s="29">
        <v>2</v>
      </c>
      <c r="R1125" s="29">
        <v>2</v>
      </c>
      <c r="S1125" t="s">
        <v>70</v>
      </c>
      <c r="T1125" t="s">
        <v>72</v>
      </c>
      <c r="U1125" s="32">
        <v>30</v>
      </c>
      <c r="V1125">
        <v>30</v>
      </c>
      <c r="X1125" t="s">
        <v>240</v>
      </c>
      <c r="Y1125" t="s">
        <v>3835</v>
      </c>
    </row>
    <row r="1126" spans="1:25" x14ac:dyDescent="0.25">
      <c r="A1126" s="27" t="s">
        <v>601</v>
      </c>
      <c r="C1126" t="s">
        <v>64</v>
      </c>
      <c r="D1126" s="27" t="s">
        <v>3843</v>
      </c>
      <c r="E1126" t="s">
        <v>3844</v>
      </c>
      <c r="F1126" s="28">
        <v>4</v>
      </c>
      <c r="G1126" s="29">
        <v>2</v>
      </c>
      <c r="H1126" s="30" t="s">
        <v>3845</v>
      </c>
      <c r="I1126" t="s">
        <v>65</v>
      </c>
      <c r="K1126" t="s">
        <v>145</v>
      </c>
      <c r="L1126" t="s">
        <v>146</v>
      </c>
      <c r="N1126" s="29">
        <v>2</v>
      </c>
      <c r="P1126" s="29">
        <v>2</v>
      </c>
      <c r="R1126" s="29">
        <v>2</v>
      </c>
      <c r="S1126" t="s">
        <v>70</v>
      </c>
      <c r="T1126" t="s">
        <v>72</v>
      </c>
      <c r="U1126" s="32">
        <v>30</v>
      </c>
      <c r="V1126">
        <v>30</v>
      </c>
      <c r="X1126" t="s">
        <v>240</v>
      </c>
      <c r="Y1126" t="s">
        <v>3846</v>
      </c>
    </row>
    <row r="1127" spans="1:25" x14ac:dyDescent="0.25">
      <c r="A1127" s="27" t="s">
        <v>3134</v>
      </c>
      <c r="C1127" t="s">
        <v>64</v>
      </c>
      <c r="D1127" s="27" t="s">
        <v>3847</v>
      </c>
      <c r="E1127" t="s">
        <v>3848</v>
      </c>
      <c r="F1127" s="28">
        <v>2</v>
      </c>
      <c r="G1127" s="29">
        <v>2</v>
      </c>
      <c r="H1127" s="30" t="s">
        <v>3849</v>
      </c>
      <c r="I1127" t="s">
        <v>65</v>
      </c>
      <c r="K1127" t="s">
        <v>145</v>
      </c>
      <c r="L1127" t="s">
        <v>146</v>
      </c>
      <c r="N1127" s="29">
        <v>2</v>
      </c>
      <c r="P1127" s="29">
        <v>2</v>
      </c>
      <c r="R1127" s="29">
        <v>2</v>
      </c>
      <c r="S1127" t="s">
        <v>70</v>
      </c>
      <c r="T1127" t="s">
        <v>72</v>
      </c>
      <c r="U1127" s="32">
        <v>30</v>
      </c>
      <c r="V1127">
        <v>30</v>
      </c>
      <c r="X1127" t="s">
        <v>240</v>
      </c>
      <c r="Y1127" t="s">
        <v>3850</v>
      </c>
    </row>
    <row r="1128" spans="1:25" x14ac:dyDescent="0.25">
      <c r="A1128" s="27" t="s">
        <v>450</v>
      </c>
      <c r="C1128" t="s">
        <v>64</v>
      </c>
      <c r="D1128" s="27" t="s">
        <v>3851</v>
      </c>
      <c r="E1128" t="s">
        <v>3852</v>
      </c>
      <c r="F1128" s="28">
        <v>2</v>
      </c>
      <c r="G1128" s="29">
        <v>2</v>
      </c>
      <c r="H1128" s="30" t="s">
        <v>3853</v>
      </c>
      <c r="I1128" t="s">
        <v>65</v>
      </c>
      <c r="K1128" t="s">
        <v>145</v>
      </c>
      <c r="L1128" t="s">
        <v>146</v>
      </c>
      <c r="N1128" s="29">
        <v>2</v>
      </c>
      <c r="P1128" s="29">
        <v>2</v>
      </c>
      <c r="R1128" s="29">
        <v>2</v>
      </c>
      <c r="S1128" t="s">
        <v>70</v>
      </c>
      <c r="T1128" t="s">
        <v>72</v>
      </c>
      <c r="U1128" s="32">
        <v>30</v>
      </c>
      <c r="V1128">
        <v>30</v>
      </c>
      <c r="X1128" t="s">
        <v>240</v>
      </c>
      <c r="Y1128" t="s">
        <v>3854</v>
      </c>
    </row>
    <row r="1129" spans="1:25" x14ac:dyDescent="0.25">
      <c r="A1129" s="27" t="s">
        <v>3855</v>
      </c>
      <c r="C1129" t="s">
        <v>64</v>
      </c>
      <c r="D1129" s="27" t="s">
        <v>3856</v>
      </c>
      <c r="E1129" t="s">
        <v>3857</v>
      </c>
      <c r="F1129" s="28">
        <v>2</v>
      </c>
      <c r="G1129" s="29">
        <v>1</v>
      </c>
      <c r="H1129" s="30" t="s">
        <v>3858</v>
      </c>
      <c r="I1129" t="s">
        <v>65</v>
      </c>
      <c r="K1129" t="s">
        <v>145</v>
      </c>
      <c r="L1129" t="s">
        <v>146</v>
      </c>
      <c r="N1129" s="29">
        <v>1</v>
      </c>
      <c r="P1129" s="29">
        <v>1</v>
      </c>
      <c r="R1129" s="29">
        <v>1</v>
      </c>
      <c r="S1129" t="s">
        <v>70</v>
      </c>
      <c r="T1129" t="s">
        <v>72</v>
      </c>
      <c r="U1129" s="32">
        <v>30</v>
      </c>
      <c r="V1129">
        <v>30</v>
      </c>
      <c r="X1129" t="s">
        <v>240</v>
      </c>
      <c r="Y1129" t="s">
        <v>3859</v>
      </c>
    </row>
    <row r="1130" spans="1:25" x14ac:dyDescent="0.25">
      <c r="A1130" s="27" t="s">
        <v>1503</v>
      </c>
      <c r="C1130" t="s">
        <v>64</v>
      </c>
      <c r="D1130" s="27" t="s">
        <v>3860</v>
      </c>
      <c r="E1130" t="s">
        <v>3861</v>
      </c>
      <c r="F1130" s="28">
        <v>2</v>
      </c>
      <c r="G1130" s="29">
        <v>2</v>
      </c>
      <c r="H1130" s="30" t="s">
        <v>3862</v>
      </c>
      <c r="I1130" t="s">
        <v>65</v>
      </c>
      <c r="K1130" t="s">
        <v>145</v>
      </c>
      <c r="L1130" t="s">
        <v>146</v>
      </c>
      <c r="N1130" s="29">
        <v>2</v>
      </c>
      <c r="P1130" s="29">
        <v>2</v>
      </c>
      <c r="R1130" s="29">
        <v>2</v>
      </c>
      <c r="S1130" t="s">
        <v>70</v>
      </c>
      <c r="T1130" t="s">
        <v>72</v>
      </c>
      <c r="U1130" s="32">
        <v>30</v>
      </c>
      <c r="V1130">
        <v>30</v>
      </c>
      <c r="X1130" t="s">
        <v>240</v>
      </c>
      <c r="Y1130" t="s">
        <v>3863</v>
      </c>
    </row>
    <row r="1131" spans="1:25" x14ac:dyDescent="0.25">
      <c r="A1131" s="27" t="s">
        <v>3864</v>
      </c>
      <c r="C1131" t="s">
        <v>64</v>
      </c>
      <c r="D1131" s="27" t="s">
        <v>102</v>
      </c>
      <c r="E1131" t="s">
        <v>3865</v>
      </c>
      <c r="F1131" s="28">
        <v>0</v>
      </c>
      <c r="G1131" s="29">
        <v>1</v>
      </c>
      <c r="H1131" s="30" t="s">
        <v>3866</v>
      </c>
      <c r="I1131" t="s">
        <v>65</v>
      </c>
      <c r="K1131" t="s">
        <v>145</v>
      </c>
      <c r="L1131" t="s">
        <v>146</v>
      </c>
      <c r="N1131" s="29">
        <v>1</v>
      </c>
      <c r="P1131" s="29">
        <v>1</v>
      </c>
      <c r="R1131" s="29">
        <v>1</v>
      </c>
      <c r="S1131" t="s">
        <v>70</v>
      </c>
      <c r="T1131" t="s">
        <v>72</v>
      </c>
      <c r="U1131" s="32">
        <v>30</v>
      </c>
      <c r="V1131">
        <v>30</v>
      </c>
      <c r="X1131" t="s">
        <v>240</v>
      </c>
      <c r="Y1131" t="s">
        <v>3865</v>
      </c>
    </row>
    <row r="1132" spans="1:25" x14ac:dyDescent="0.25">
      <c r="A1132" s="27" t="s">
        <v>1554</v>
      </c>
      <c r="C1132" t="s">
        <v>64</v>
      </c>
      <c r="D1132" s="27" t="s">
        <v>3867</v>
      </c>
      <c r="E1132" t="s">
        <v>3868</v>
      </c>
      <c r="F1132" s="28">
        <v>2</v>
      </c>
      <c r="G1132" s="29">
        <v>1</v>
      </c>
      <c r="H1132" s="30" t="s">
        <v>3869</v>
      </c>
      <c r="I1132" t="s">
        <v>65</v>
      </c>
      <c r="K1132" t="s">
        <v>145</v>
      </c>
      <c r="L1132" t="s">
        <v>146</v>
      </c>
      <c r="N1132" s="29">
        <v>1</v>
      </c>
      <c r="P1132" s="29">
        <v>1</v>
      </c>
      <c r="R1132" s="29">
        <v>1</v>
      </c>
      <c r="S1132" t="s">
        <v>70</v>
      </c>
      <c r="T1132" t="s">
        <v>72</v>
      </c>
      <c r="U1132" s="32">
        <v>30</v>
      </c>
      <c r="V1132">
        <v>30</v>
      </c>
      <c r="X1132" t="s">
        <v>240</v>
      </c>
      <c r="Y1132" t="s">
        <v>3870</v>
      </c>
    </row>
    <row r="1133" spans="1:25" x14ac:dyDescent="0.25">
      <c r="A1133" s="27" t="s">
        <v>3871</v>
      </c>
      <c r="C1133" t="s">
        <v>64</v>
      </c>
      <c r="D1133" s="27" t="s">
        <v>102</v>
      </c>
      <c r="E1133" t="s">
        <v>3872</v>
      </c>
      <c r="F1133" s="28">
        <v>0</v>
      </c>
      <c r="G1133" s="29">
        <v>1</v>
      </c>
      <c r="H1133" s="30" t="s">
        <v>3873</v>
      </c>
      <c r="I1133" t="s">
        <v>65</v>
      </c>
      <c r="K1133" t="s">
        <v>145</v>
      </c>
      <c r="L1133" t="s">
        <v>146</v>
      </c>
      <c r="N1133" s="29">
        <v>1</v>
      </c>
      <c r="P1133" s="29">
        <v>1</v>
      </c>
      <c r="R1133" s="29">
        <v>1</v>
      </c>
      <c r="S1133" t="s">
        <v>70</v>
      </c>
      <c r="T1133" t="s">
        <v>72</v>
      </c>
      <c r="U1133" s="32">
        <v>30</v>
      </c>
      <c r="V1133">
        <v>30</v>
      </c>
      <c r="X1133" t="s">
        <v>240</v>
      </c>
      <c r="Y1133" t="s">
        <v>3872</v>
      </c>
    </row>
    <row r="1134" spans="1:25" x14ac:dyDescent="0.25">
      <c r="A1134" s="27" t="s">
        <v>3874</v>
      </c>
      <c r="C1134" t="s">
        <v>64</v>
      </c>
      <c r="D1134" s="27" t="s">
        <v>102</v>
      </c>
      <c r="E1134" t="s">
        <v>3875</v>
      </c>
      <c r="F1134" s="28">
        <v>0</v>
      </c>
      <c r="G1134" s="29">
        <v>1</v>
      </c>
      <c r="H1134" s="30" t="s">
        <v>3876</v>
      </c>
      <c r="I1134" t="s">
        <v>65</v>
      </c>
      <c r="K1134" t="s">
        <v>145</v>
      </c>
      <c r="L1134" t="s">
        <v>146</v>
      </c>
      <c r="N1134" s="29">
        <v>1</v>
      </c>
      <c r="P1134" s="29">
        <v>1</v>
      </c>
      <c r="R1134" s="29">
        <v>1</v>
      </c>
      <c r="S1134" t="s">
        <v>70</v>
      </c>
      <c r="T1134" t="s">
        <v>72</v>
      </c>
      <c r="U1134" s="32">
        <v>30</v>
      </c>
      <c r="V1134">
        <v>30</v>
      </c>
      <c r="X1134" t="s">
        <v>240</v>
      </c>
      <c r="Y1134" t="s">
        <v>3875</v>
      </c>
    </row>
    <row r="1135" spans="1:25" x14ac:dyDescent="0.25">
      <c r="A1135" s="27" t="s">
        <v>3877</v>
      </c>
      <c r="C1135" t="s">
        <v>64</v>
      </c>
      <c r="D1135" s="27" t="s">
        <v>102</v>
      </c>
      <c r="E1135" t="s">
        <v>3878</v>
      </c>
      <c r="F1135" s="28">
        <v>0</v>
      </c>
      <c r="G1135" s="29">
        <v>1</v>
      </c>
      <c r="H1135" s="30" t="s">
        <v>3879</v>
      </c>
      <c r="I1135" t="s">
        <v>65</v>
      </c>
      <c r="K1135" t="s">
        <v>145</v>
      </c>
      <c r="L1135" t="s">
        <v>146</v>
      </c>
      <c r="N1135" s="29">
        <v>1</v>
      </c>
      <c r="P1135" s="29">
        <v>1</v>
      </c>
      <c r="R1135" s="29">
        <v>1</v>
      </c>
      <c r="S1135" t="s">
        <v>70</v>
      </c>
      <c r="T1135" t="s">
        <v>72</v>
      </c>
      <c r="U1135" s="32">
        <v>30</v>
      </c>
      <c r="V1135">
        <v>30</v>
      </c>
      <c r="X1135" t="s">
        <v>240</v>
      </c>
      <c r="Y1135" t="s">
        <v>3878</v>
      </c>
    </row>
    <row r="1136" spans="1:25" x14ac:dyDescent="0.25">
      <c r="A1136" s="27" t="s">
        <v>3880</v>
      </c>
      <c r="C1136" t="s">
        <v>64</v>
      </c>
      <c r="D1136" s="27" t="s">
        <v>102</v>
      </c>
      <c r="E1136" t="s">
        <v>3881</v>
      </c>
      <c r="F1136" s="28">
        <v>0</v>
      </c>
      <c r="G1136" s="29">
        <v>1</v>
      </c>
      <c r="H1136" s="30" t="s">
        <v>3882</v>
      </c>
      <c r="I1136" t="s">
        <v>65</v>
      </c>
      <c r="K1136" t="s">
        <v>145</v>
      </c>
      <c r="L1136" t="s">
        <v>146</v>
      </c>
      <c r="N1136" s="29">
        <v>1</v>
      </c>
      <c r="P1136" s="29">
        <v>1</v>
      </c>
      <c r="R1136" s="29">
        <v>1</v>
      </c>
      <c r="S1136" t="s">
        <v>70</v>
      </c>
      <c r="T1136" t="s">
        <v>72</v>
      </c>
      <c r="U1136" s="32">
        <v>30</v>
      </c>
      <c r="V1136">
        <v>30</v>
      </c>
      <c r="X1136" t="s">
        <v>240</v>
      </c>
      <c r="Y1136" t="s">
        <v>3881</v>
      </c>
    </row>
  </sheetData>
  <mergeCells count="15">
    <mergeCell ref="A1:C1"/>
    <mergeCell ref="D1:F2"/>
    <mergeCell ref="G1:H2"/>
    <mergeCell ref="I1:W2"/>
    <mergeCell ref="X1:AG2"/>
    <mergeCell ref="AI1:AJ2"/>
    <mergeCell ref="A2:C2"/>
    <mergeCell ref="AH1:AH2"/>
    <mergeCell ref="A5:B5"/>
    <mergeCell ref="A7:C7"/>
    <mergeCell ref="D7:F7"/>
    <mergeCell ref="G7:H7"/>
    <mergeCell ref="I7:W7"/>
    <mergeCell ref="X7:AG7"/>
    <mergeCell ref="AI7:AJ7"/>
  </mergeCells>
  <conditionalFormatting sqref="A8:A1001">
    <cfRule type="expression" dxfId="0" priority="1">
      <formula>LEN(INDIRECT(ADDRESS(ROW(),COLUMN()))) &gt; 60</formula>
    </cfRule>
  </conditionalFormatting>
  <conditionalFormatting sqref="B8:B1001">
    <cfRule type="expression" dxfId="1" priority="2">
      <formula>LEN(INDIRECT(ADDRESS(ROW() + (0),COLUMN() + (-1)))) &gt; 60</formula>
    </cfRule>
  </conditionalFormatting>
  <conditionalFormatting sqref="C8:C1001">
    <cfRule type="expression" dxfId="2" priority="3">
      <formula>LEN(INDIRECT(ADDRESS(ROW(),COLUMN()))) &lt; 1</formula>
    </cfRule>
  </conditionalFormatting>
  <conditionalFormatting sqref="D8:D1001">
    <cfRule type="expression" dxfId="3" priority="4">
      <formula>AND(TRIM($AI8) &lt;&gt; "",OR(TRIM($D8) = "",$D8 = ""))</formula>
    </cfRule>
  </conditionalFormatting>
  <conditionalFormatting sqref="G8:G1001">
    <cfRule type="expression" dxfId="4" priority="5">
      <formula>AND(TRIM($AI8) &lt;&gt; "",OR(TRIM($G8) = "",$G8 = "",$G8 &lt; 2,ISTEXT($G8)))</formula>
    </cfRule>
  </conditionalFormatting>
  <conditionalFormatting sqref="J8:J1001">
    <cfRule type="expression" dxfId="5" priority="6">
      <formula>TRUE</formula>
    </cfRule>
  </conditionalFormatting>
  <conditionalFormatting sqref="K8:K1001">
    <cfRule type="expression" dxfId="6" priority="7">
      <formula>AND(TRIM($AI8) &lt;&gt; "",OR(TRIM($K8) = "",$K8 = "Seleccionar"))</formula>
    </cfRule>
  </conditionalFormatting>
  <conditionalFormatting sqref="L8:L1001">
    <cfRule type="expression" dxfId="7" priority="8">
      <formula>AND(TRIM($AI8) &lt;&gt; "",OR(TRIM($L8) = "",$L8 = "Seleccionar"))</formula>
    </cfRule>
  </conditionalFormatting>
  <conditionalFormatting sqref="S8:S1001">
    <cfRule type="expression" dxfId="8" priority="9">
      <formula>AND(TRIM($AI8) &lt;&gt; "",OR(TRIM($S8) = "",$S8 = "Seleccionar"))</formula>
    </cfRule>
  </conditionalFormatting>
  <conditionalFormatting sqref="U8:U1001">
    <cfRule type="expression" dxfId="9" priority="10">
      <formula>ISTEXT(INDIRECT(ADDRESS(ROW(),COLUMN())))</formula>
    </cfRule>
  </conditionalFormatting>
  <conditionalFormatting sqref="V8:V10001">
    <cfRule type="cellIs" dxfId="10" priority="11" operator="equal">
      <formula>"Seleccionar"</formula>
    </cfRule>
  </conditionalFormatting>
  <conditionalFormatting sqref="W8:W1001">
    <cfRule type="expression" dxfId="11" priority="12">
      <formula>AND(TRIM($AI8) &lt;&gt; "",OR(TRIM($W8) = "",$W8 = "Seleccionar"))</formula>
    </cfRule>
  </conditionalFormatting>
  <conditionalFormatting sqref="X8:X1001">
    <cfRule type="expression" dxfId="12" priority="13">
      <formula>AND(TRIM($AI8) &lt;&gt; "",OR(TRIM($X8) = "",$X8 = "Escribe o elige un valor"))</formula>
    </cfRule>
  </conditionalFormatting>
  <conditionalFormatting sqref="Y8:Y1001">
    <cfRule type="expression" dxfId="13" priority="14">
      <formula>AND(TRIM($AI8) &lt;&gt; "",OR(TRIM($Y8) = "",$Y8 = "Escribe o elige un valor"))</formula>
    </cfRule>
  </conditionalFormatting>
  <conditionalFormatting sqref="Z8:Z1001">
    <cfRule type="expression" dxfId="14" priority="15">
      <formula>AND(TRIM($AI8) &lt;&gt; "",ISTEXT($Z8))</formula>
    </cfRule>
  </conditionalFormatting>
  <conditionalFormatting sqref="AA8:AA10001">
    <cfRule type="cellIs" dxfId="15" priority="16" operator="equal">
      <formula>"Seleccionar"</formula>
    </cfRule>
  </conditionalFormatting>
  <conditionalFormatting sqref="AB8:AB1001">
    <cfRule type="expression" dxfId="16" priority="17">
      <formula>AND(TRIM($AI8) &lt;&gt; "",ISTEXT($AB8))</formula>
    </cfRule>
  </conditionalFormatting>
  <conditionalFormatting sqref="AD8:AD1001">
    <cfRule type="expression" dxfId="17" priority="18">
      <formula>AND(TRIM($AI8) &lt;&gt; "",ISTEXT($AD8))</formula>
    </cfRule>
  </conditionalFormatting>
  <conditionalFormatting sqref="AE8:AE10001">
    <cfRule type="cellIs" dxfId="18" priority="19" operator="equal">
      <formula>"Seleccionar"</formula>
    </cfRule>
  </conditionalFormatting>
  <conditionalFormatting sqref="AF8:AF10001">
    <cfRule type="cellIs" dxfId="19" priority="20" operator="equal">
      <formula>"Escribe o elige un valor"</formula>
    </cfRule>
  </conditionalFormatting>
  <conditionalFormatting sqref="AG8:AG10001">
    <cfRule type="cellIs" dxfId="20" priority="21" operator="equal">
      <formula>"Escribe o elige un valor"</formula>
    </cfRule>
  </conditionalFormatting>
  <conditionalFormatting sqref="AH8:AH1001">
    <cfRule type="expression" dxfId="21" priority="22">
      <formula>TRIM($AH8) &lt;&gt; ""</formula>
    </cfRule>
  </conditionalFormatting>
  <dataValidations count="30">
    <dataValidation type="decimal" allowBlank="1" showInputMessage="1" sqref="AB10:AB10001">
      <formula1>-2147483648</formula1>
      <formula2>2147483647</formula2>
    </dataValidation>
    <dataValidation type="decimal" allowBlank="1" showInputMessage="1" sqref="AB8:AB10001">
      <formula1>-2147483648</formula1>
      <formula2>2147483647</formula2>
    </dataValidation>
    <dataValidation type="decimal" allowBlank="1" showInputMessage="1" sqref="AD10:AD10001">
      <formula1>-2147483648</formula1>
      <formula2>2147483647</formula2>
    </dataValidation>
    <dataValidation type="decimal" allowBlank="1" showInputMessage="1" sqref="AD8:AD10001">
      <formula1>-2147483648</formula1>
      <formula2>2147483647</formula2>
    </dataValidation>
    <dataValidation type="textLength" operator="lessThanOrEqual" allowBlank="1" showInputMessage="1" sqref="E10:E10001">
      <formula1>255</formula1>
    </dataValidation>
    <dataValidation type="textLength" operator="lessThanOrEqual" allowBlank="1" showInputMessage="1" sqref="E8:E10001">
      <formula1>255</formula1>
    </dataValidation>
    <dataValidation type="decimal" allowBlank="1" showInputMessage="1" sqref="F10:F10001">
      <formula1>0</formula1>
      <formula2>99999</formula2>
    </dataValidation>
    <dataValidation type="decimal" allowBlank="1" showInputMessage="1" sqref="F8:F10001">
      <formula1>0</formula1>
      <formula2>99999</formula2>
    </dataValidation>
    <dataValidation type="decimal" operator="greaterThan" allowBlank="1" showInputMessage="1" sqref="G10:G10001">
      <formula1>0</formula1>
    </dataValidation>
    <dataValidation type="decimal" operator="greaterThan" allowBlank="1" showInputMessage="1" sqref="G8:G10001">
      <formula1>0</formula1>
    </dataValidation>
    <dataValidation type="textLength" operator="lessThanOrEqual" allowBlank="1" showInputMessage="1" sqref="H10:H10001">
      <formula1>50000</formula1>
    </dataValidation>
    <dataValidation type="textLength" operator="lessThanOrEqual" allowBlank="1" showInputMessage="1" sqref="H8:H10001">
      <formula1>50000</formula1>
    </dataValidation>
    <dataValidation type="textLength" operator="lessThanOrEqual" allowBlank="1" showInputMessage="1" sqref="M10:M10001">
      <formula1>120</formula1>
    </dataValidation>
    <dataValidation type="textLength" operator="lessThanOrEqual" allowBlank="1" showInputMessage="1" sqref="M8:M10001">
      <formula1>120</formula1>
    </dataValidation>
    <dataValidation type="decimal" operator="greaterThan" allowBlank="1" showInputMessage="1" sqref="N10:N10001">
      <formula1>0</formula1>
    </dataValidation>
    <dataValidation type="decimal" operator="greaterThan" allowBlank="1" showInputMessage="1" sqref="N8:N10001">
      <formula1>0</formula1>
    </dataValidation>
    <dataValidation type="textLength" operator="lessThanOrEqual" allowBlank="1" showInputMessage="1" sqref="O10:O10001">
      <formula1>120</formula1>
    </dataValidation>
    <dataValidation type="textLength" operator="lessThanOrEqual" allowBlank="1" showInputMessage="1" sqref="O8:O10001">
      <formula1>120</formula1>
    </dataValidation>
    <dataValidation type="decimal" operator="greaterThan" allowBlank="1" showInputMessage="1" sqref="P10:P10001">
      <formula1>0</formula1>
    </dataValidation>
    <dataValidation type="decimal" operator="greaterThan" allowBlank="1" showInputMessage="1" sqref="P8:P10001">
      <formula1>0</formula1>
    </dataValidation>
    <dataValidation type="textLength" operator="lessThanOrEqual" allowBlank="1" showInputMessage="1" sqref="Q10:Q10001">
      <formula1>120</formula1>
    </dataValidation>
    <dataValidation type="textLength" operator="lessThanOrEqual" allowBlank="1" showInputMessage="1" sqref="Q8:Q10001">
      <formula1>120</formula1>
    </dataValidation>
    <dataValidation type="decimal" operator="greaterThan" allowBlank="1" showInputMessage="1" sqref="R10:R10001">
      <formula1>0</formula1>
    </dataValidation>
    <dataValidation type="decimal" operator="greaterThan" allowBlank="1" showInputMessage="1" sqref="R8:R10001">
      <formula1>0</formula1>
    </dataValidation>
    <dataValidation type="decimal" allowBlank="1" showInputMessage="1" sqref="U10:U10001">
      <formula1>-2147483648</formula1>
      <formula2>2147483647</formula2>
    </dataValidation>
    <dataValidation type="decimal" allowBlank="1" showInputMessage="1" sqref="U8:U10001">
      <formula1>-2147483648</formula1>
      <formula2>2147483647</formula2>
    </dataValidation>
    <dataValidation type="textLength" operator="lessThanOrEqual" allowBlank="1" showInputMessage="1" sqref="X10:Y10001">
      <formula1>255</formula1>
    </dataValidation>
    <dataValidation type="textLength" operator="lessThanOrEqual" allowBlank="1" showInputMessage="1" sqref="X8:Y10001">
      <formula1>255</formula1>
    </dataValidation>
    <dataValidation type="decimal" allowBlank="1" showInputMessage="1" sqref="Z10:Z10001">
      <formula1>-2147483648</formula1>
      <formula2>2147483647</formula2>
    </dataValidation>
    <dataValidation type="decimal" allowBlank="1" showInputMessage="1" sqref="Z8:Z10001">
      <formula1>-2147483648</formula1>
      <formula2>2147483647</formula2>
    </dataValidation>
  </dataValidations>
  <hyperlinks>
    <hyperlink ref="AH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</dc:creator>
  <cp:lastModifiedBy>ORLANDO</cp:lastModifiedBy>
  <dcterms:created xsi:type="dcterms:W3CDTF">2026-05-07T21:21:30Z</dcterms:created>
  <dcterms:modified xsi:type="dcterms:W3CDTF">2026-05-07T21:21:31Z</dcterms:modified>
</cp:coreProperties>
</file>