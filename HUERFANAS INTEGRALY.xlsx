
<file path=[Content_Types].xml><?xml version="1.0" encoding="utf-8"?>
<Types xmlns="http://schemas.openxmlformats.org/package/2006/content-types">
  <Default Extension="tmp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NDO\Documents\ANTIGRAVITY\MERCADOLIBRE 18042026\"/>
    </mc:Choice>
  </mc:AlternateContent>
  <xr:revisionPtr revIDLastSave="0" documentId="13_ncr:1_{5E67F022-3AF7-45B3-8B0C-776380F91E45}" xr6:coauthVersionLast="36" xr6:coauthVersionMax="47" xr10:uidLastSave="{00000000-0000-0000-0000-000000000000}"/>
  <bookViews>
    <workbookView xWindow="-120" yWindow="-120" windowWidth="29040" windowHeight="15720" xr2:uid="{E0DC12A6-8044-45E9-ACBE-8AA25E983E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orlando</author>
  </authors>
  <commentList>
    <comment ref="Q1" authorId="0" shapeId="0" xr:uid="{714C4B2B-ACBB-4124-9665-B6A14B42F763}">
      <text>
        <r>
          <rPr>
            <b/>
            <sz val="9"/>
            <color indexed="81"/>
            <rFont val="Tahoma"/>
            <family val="2"/>
          </rPr>
          <t>Precio Envío Gratis_x000D_
_x000D_
Ten en cuenta que este campo proporciona una estimación aproximada del monto, basado en los parámetros al momento de la consulta y considerando únicamente la cantidad de un solo artículo. _x000D_
_x000D_
Para mayor presición se recomiendo incluir el Precio Detalle (precio con descuento) al obtener.</t>
        </r>
      </text>
    </comment>
  </commentList>
</comments>
</file>

<file path=xl/sharedStrings.xml><?xml version="1.0" encoding="utf-8"?>
<sst xmlns="http://schemas.openxmlformats.org/spreadsheetml/2006/main" count="994" uniqueCount="350">
  <si>
    <t>Id</t>
  </si>
  <si>
    <t>Vendedor</t>
  </si>
  <si>
    <t>Tienda Oficial</t>
  </si>
  <si>
    <t>Categoría</t>
  </si>
  <si>
    <t>Tendencias</t>
  </si>
  <si>
    <t>Título</t>
  </si>
  <si>
    <t>Largo</t>
  </si>
  <si>
    <t>Descripción</t>
  </si>
  <si>
    <t>Precio</t>
  </si>
  <si>
    <t>Moneda</t>
  </si>
  <si>
    <t>SKU</t>
  </si>
  <si>
    <t>Estado</t>
  </si>
  <si>
    <t>Stock</t>
  </si>
  <si>
    <t>Tipo de Publicación</t>
  </si>
  <si>
    <t>Condición</t>
  </si>
  <si>
    <t>Envio Gratis</t>
  </si>
  <si>
    <t>Precio Envio Gratis</t>
  </si>
  <si>
    <t>Modo Envio</t>
  </si>
  <si>
    <t>Metodo Envio</t>
  </si>
  <si>
    <t>Retira en Persona</t>
  </si>
  <si>
    <t>Envio FLEX</t>
  </si>
  <si>
    <t>Garantia</t>
  </si>
  <si>
    <t>Fecha Creación</t>
  </si>
  <si>
    <t>Última Actualización</t>
  </si>
  <si>
    <t>Resultado</t>
  </si>
  <si>
    <t>Resultado Observaciones</t>
  </si>
  <si>
    <t>Imagen 1</t>
  </si>
  <si>
    <t>Imagen 2</t>
  </si>
  <si>
    <t>Imagen 3</t>
  </si>
  <si>
    <t>Imagen 4</t>
  </si>
  <si>
    <t>Imagen 5</t>
  </si>
  <si>
    <t>Imagen 6</t>
  </si>
  <si>
    <t>Imagen 7</t>
  </si>
  <si>
    <t>Imagen 8</t>
  </si>
  <si>
    <t>Imagen 9</t>
  </si>
  <si>
    <t>Imagen 10</t>
  </si>
  <si>
    <t>Visitas</t>
  </si>
  <si>
    <t>Vendidos</t>
  </si>
  <si>
    <t>Fecha Ultima Venta</t>
  </si>
  <si>
    <t>Variación_x000D_
Color</t>
  </si>
  <si>
    <t>Variación_x000D_
Código universal de producto</t>
  </si>
  <si>
    <t>Variación_x000D_
Código OEM</t>
  </si>
  <si>
    <t>Atributo_x000D_
Marca</t>
  </si>
  <si>
    <t>Atributo_x000D_
Número de pieza</t>
  </si>
  <si>
    <t>Atributo_x000D_
Modelo</t>
  </si>
  <si>
    <t>Atributo_x000D_
Formato de venta</t>
  </si>
  <si>
    <t>Atributo_x000D_
Unidades por pack</t>
  </si>
  <si>
    <t>Atributo_x000D_
Largo extendido</t>
  </si>
  <si>
    <t>Atributo_x000D_
Largo comprimido</t>
  </si>
  <si>
    <t>Atributo_x000D_
Lugar de colocación</t>
  </si>
  <si>
    <t>Atributo_x000D_
Origen</t>
  </si>
  <si>
    <t>Atributo_x000D_
Tipo de vehículo</t>
  </si>
  <si>
    <t>Atributo_x000D_
Código universal de producto</t>
  </si>
  <si>
    <t>Atributo_x000D_
Código OEM</t>
  </si>
  <si>
    <t>Atributo_x000D_
Motivo de GTIN vacío</t>
  </si>
  <si>
    <t>Atributo_x000D_
Material del núcleo</t>
  </si>
  <si>
    <t>Atributo_x000D_
Cantidad de llaves</t>
  </si>
  <si>
    <t>Atributo_x000D_
Ángulo máximo de apertura</t>
  </si>
  <si>
    <t>Atributo_x000D_
Incluye herrajes de montaje</t>
  </si>
  <si>
    <t>Atributo_x000D_
Cantidad de agujeros de montaje</t>
  </si>
  <si>
    <t>Atributo_x000D_
Material</t>
  </si>
  <si>
    <t>Atributo_x000D_
Diámetro interior</t>
  </si>
  <si>
    <t>Atributo_x000D_
Diámetro externo</t>
  </si>
  <si>
    <t>Atributo_x000D_
Espesor</t>
  </si>
  <si>
    <t>MLV767998461</t>
  </si>
  <si>
    <t>MLV767998465</t>
  </si>
  <si>
    <t>MLV817262186</t>
  </si>
  <si>
    <t>MLV817288154</t>
  </si>
  <si>
    <t>MLV817288156</t>
  </si>
  <si>
    <t>MLV817288164</t>
  </si>
  <si>
    <t>MLV817314152</t>
  </si>
  <si>
    <t>MLV817314158</t>
  </si>
  <si>
    <t>MLV817327148</t>
  </si>
  <si>
    <t>MLV817327152</t>
  </si>
  <si>
    <t>MLV817327160</t>
  </si>
  <si>
    <t>MLV817327164</t>
  </si>
  <si>
    <t>MLV817339958</t>
  </si>
  <si>
    <t>MLV817339974</t>
  </si>
  <si>
    <t>MLV817352622</t>
  </si>
  <si>
    <t>MLV817352654</t>
  </si>
  <si>
    <t>MLV817365892</t>
  </si>
  <si>
    <t>MLV817365898</t>
  </si>
  <si>
    <t>MLV817365904</t>
  </si>
  <si>
    <t>MLV817365906</t>
  </si>
  <si>
    <t>MLV817365912</t>
  </si>
  <si>
    <t>MLV817365924</t>
  </si>
  <si>
    <t>MLV817401886</t>
  </si>
  <si>
    <t>MLV817401888</t>
  </si>
  <si>
    <t>MLV817401898</t>
  </si>
  <si>
    <t>MLV817401904</t>
  </si>
  <si>
    <t>MLV822234946</t>
  </si>
  <si>
    <t>MLV822234948</t>
  </si>
  <si>
    <t>MLV822286830</t>
  </si>
  <si>
    <t>MLV822325874</t>
  </si>
  <si>
    <t>MLV822338904</t>
  </si>
  <si>
    <t>MLV822338906</t>
  </si>
  <si>
    <t>MLV822338908</t>
  </si>
  <si>
    <t>MLV996901668</t>
  </si>
  <si>
    <t>CORPORACIONRWC2</t>
  </si>
  <si>
    <t>World Cars</t>
  </si>
  <si>
    <t>Accesorios para Vehículos &gt; Repuestos Carros y Camionetas &gt; Repuestos de Exterior &gt; Resortes a Gas</t>
  </si>
  <si>
    <t>Accesorios para Vehículos &gt; Repuestos Carros y Camionetas &gt; Repuestos de Exterior &gt; Otros</t>
  </si>
  <si>
    <t>Accesorios para Vehículos &gt; Repuestos Carros y Camionetas &gt; Suspensión y Dirección &gt; Amortiguadores</t>
  </si>
  <si>
    <t>Gato Amortiguador Capot Toyota Camry 1997-2001 Americano</t>
  </si>
  <si>
    <t>Gato Amortiguador Capot Toyota Tundra Sequoia</t>
  </si>
  <si>
    <t>Gato Amortiguador Capot Toyota Camry Lexus Es300 Izquierdo</t>
  </si>
  <si>
    <t>Gato Amortiguador Capot Nissan Armada Titan</t>
  </si>
  <si>
    <t>Gato Amortiguador Compuerta Fiat Palio Weekend</t>
  </si>
  <si>
    <t>Gato Amortiguador Compuerta Honda Cr-v Crv 2007 Al 2011</t>
  </si>
  <si>
    <t>Gato Amortiguador Vidrio Nissan Armada</t>
  </si>
  <si>
    <t>Gato Amortiguador Capot Toyota Camry 2002 Al 2006</t>
  </si>
  <si>
    <t>Gato Amortiguador Compuerta Santa Fe</t>
  </si>
  <si>
    <t>Gato Amortiguador Compuerta Nissan Armada</t>
  </si>
  <si>
    <t>Gato Amortiguador Maletera Ford Mustang 2005 Al 2014</t>
  </si>
  <si>
    <t>Gato Amortiguador Compuerta Ford Explorer 1991 Al 2001</t>
  </si>
  <si>
    <t>Gato Amortiguador Compuerta Toyota Runner 4runner 1996-2002</t>
  </si>
  <si>
    <t>Gato Amortiguador Capot Toyota Camry 2007 Al 2009</t>
  </si>
  <si>
    <t>Gato Amortiguador Compuerta Nissan Xtrail X-trail 02-07</t>
  </si>
  <si>
    <t>Esparragos Pin Tornillo Gato Amortiguador Compuerta 8x8x12</t>
  </si>
  <si>
    <t>Gato Amortiguador Capot Toyota Camry Lexus Es300 Derecho</t>
  </si>
  <si>
    <t>Gato Amortiguador Vidrio Sportage</t>
  </si>
  <si>
    <t>Gato Amortiguador Capot Toyota Burbuja Fj80 Fzj80</t>
  </si>
  <si>
    <t>Gato Amortiguador Capot Honda Accord 2008 Al 2012</t>
  </si>
  <si>
    <t>Gato Amortiguador Maletera Honda Accord Civic</t>
  </si>
  <si>
    <t>Gato Amortiguador Capot Honda Accord</t>
  </si>
  <si>
    <t>Gato Amortiguador Compuerta Toyota Runner 4runner 2010-2016</t>
  </si>
  <si>
    <t>Gato Amortiguador Compuerta Toyota Samurai Fj60 Fj62</t>
  </si>
  <si>
    <t>Gato Amortiguador Capot Honda Accord 1995 1996 1997</t>
  </si>
  <si>
    <t>Gato Amortiguador Capot Toyota Camry Avalon 2012 Al 2017</t>
  </si>
  <si>
    <t xml:space="preserve">Sapito Wiper Santa Fe 01-04 Elantra 99-04 Accent 03-05 </t>
  </si>
  <si>
    <t>Sapito Wiper Capot  Hyundai Accent 2003 2004 2005</t>
  </si>
  <si>
    <t xml:space="preserve">Sapito Wiper Sorento 03-09 Rio 01-05 Sonata 02-05 Kia </t>
  </si>
  <si>
    <t xml:space="preserve">Sapito Wiper Rociador Capot Renault Logan </t>
  </si>
  <si>
    <t>Sapito Wiper Capot  Hyundai Santa Fe 2001 2002 2003 2004</t>
  </si>
  <si>
    <t>Sapito Wiper Capot  Kia Rio 2001 2002 2003 2004 2005</t>
  </si>
  <si>
    <t>Sapito Wiper Capot  Hyundai Sonata 2002 2003 2004 2005</t>
  </si>
  <si>
    <t>Amortiguador Tras.renault Twingo 8v-16v 93-09</t>
  </si>
  <si>
    <t>GATO O AMORTIGUADOR COMPUERTA TOYOTA CAMRY DEL 1997 AL 2001 ENSAMBLADO EN USA (AMERICANO)
PRECIO POR UNIDAD
HAGA TODAS SUS PREGUNTAS ANTES DE OFERTAR</t>
  </si>
  <si>
    <t>GATO O AMORTIGUADOR COMPUERTA TOYOTA TUNDRA 2007 AL 2017 Y TOYOTA SEQUOIA 2008 AL 2017
PRECIO POR UNIDAD
HAGA TODAS SUS PREGUNTAS ANTES DE OFERTAR</t>
  </si>
  <si>
    <t>GATO O AMORTIGUADOR COMPUERTA TOYOTA CAMRY DEL 1991 AL 1996/LEXUS ES300 DEL 1992 AL 1996 LADO IZQUIERDO 
PRECIO POR UNIDAD
HAGA TODAS SUS PREGUNTAS ANTES DE OFERTAR</t>
  </si>
  <si>
    <t>GATO O AMORTIGUADOR ELEVADOR COMPUERTA FIAT PALIO WEEKEND 2007-2008
APLICA SOLO RANCHERA 
PRECIO POR UNIDAD 
HAGA TODAS SUS PREGUNTAS ANTES DE OFERTAR</t>
  </si>
  <si>
    <t>GATO O AMORTIGUADOR PARA COMPUERTA HONDA CR-V DEL 2007 AL 2011
PRECIO POR UNIDAD
HAGA TODAS SUS PREGUNTAS ANTES DE OFERTAR</t>
  </si>
  <si>
    <t>GATO O AMORTIGUADOR PARA VIDRIO TRASERO NISSAN ARMADA 2004 AL 2015
PRECIO POR UNIDAD 
HAGA TODAS SUS PREGUNTAS ANTES DE OFERTAR</t>
  </si>
  <si>
    <t>GATO O AMORTIGUADOR COMPUERTA TOYOTA CAMRY DEL 2002 AL 2006
PRECIO POR UNIDAD
HAGA TODAS SUS PREGUNTAS ANTES DE OFERTAR</t>
  </si>
  <si>
    <t>GATO O AMORTIGUADOR PARA COMPUERTA SANTA FE 2007 AL 2012
PRECIO POR UNIDAD
HAGA TODAS SUS PREGUNTAS ANTES DE OFERTAR</t>
  </si>
  <si>
    <t>GATO O AMORTIGUADOR COMPUERTA NISSAN ARMADA DEL 2004 AL 2015
PRECIO POR UNIDAD
HAGA TODAS SUS PREGUNTAS ANTES DE OFERTAR</t>
  </si>
  <si>
    <t>GATO O AMORTIGUADOR MALETERA FORD MUSTAN DEL 2005 AL 2014
PRECIO POR UNIDAD
HAGA TODAS SUS PREGUNTAS ANTES DE OFERTAR</t>
  </si>
  <si>
    <t>GATO O AMORTIGUADOR COMPUERTA FORD EXPLORER 1991 AL 2001
PRECIO POR UNIDAD
HAGA TODAS SUS PREGUNTAS ANTES DE OFERTAR</t>
  </si>
  <si>
    <t>GATO O AMORTIGUADOR PARA COMPUERTA TOYOYA 4RUNNER 1996 AL 2002
PRECIO POR UNIDAD 
HAGA TODAS SUS PREGUNTAS ANTES DE OFERTAR</t>
  </si>
  <si>
    <t>GATO O AMORTIGUADOR COMPUERTA TOYOTA CAMRY DEL 2007 AL 2011
PRECIO POR UNIDAD
HAGA TODAS SUS PREGUNTAS ANTES DE OFERTAR</t>
  </si>
  <si>
    <t>GATO O AMORTIGUADOR COMPUERTA NISSAN X-TRAIL 2002 AL 2007
PRECIO POR UNIDAD 
HAGA TODAS SUS PREGUNTAS ANTES DE OFERTAR</t>
  </si>
  <si>
    <t>ESPARRAGO DE BOLA 8MM CON PERNO DE 8MM Y CUADRANTE 12MM
VIENEN EN PACK DE DOS UNIDADES (PRECIO PUBLICADO DOS UNIDADES)
TRABAJAMOS DE LUNES A VIERNES DE 8AM A 4PM</t>
  </si>
  <si>
    <t>GATO O AMORTIGUADOR CAPOT TOYOTA CAMRY 1991 - 1996/ LEXUS ES300 1992-1996
LADO DERECHO
PRECIO POR UNIDAD 
HAGA TODAS SUS PREGUNTAS ANTES DE OFERTAR</t>
  </si>
  <si>
    <t>GATO O AMORTIGUADOR ELEVADOR VIDRIO COMPUERTA TRASERA SPORTAGE 2005 AL 2010
PRECIO POR UNIDAD 
HAGA TODAS SUS PREGUNTAS ANTES DE OFERTAR</t>
  </si>
  <si>
    <t>GATO O AMORTIGUADOR CAPOT TOYOTA BURBUJA FJ80 FZJ80 DEL 1994 AL 2007
VIENE IZQUIERDO (GR95787H-LH) Y DERECHO (GR95787H-RH)
PRECIO PUBLICADO POR UNIDAD 
PRECIO POR UNIDAD
HAGA TODAS SUS PREGUNTAS ANTES DE OFERTAR</t>
  </si>
  <si>
    <t>GATO O AMORTIGUADOR COMPUERTA HONDA ACCORD 2008 AL 2012
PRECIO POR UNIDAD
HAGA TODAS SUS PREGUNTAS ANTES DE OFERTAR</t>
  </si>
  <si>
    <t>GATO O AMORTIGUADOR MALETERA HONDA ACCORD DEL 1992 AL 1994/ HONDA CIVIC 1992 AL 1996
PRECIO POR UNIDAD
HAGA TODAS SUS PREGUNTAS ANTES DE OFERTAR</t>
  </si>
  <si>
    <t>GATO O AMORTIGUADOR COMPUERTA TOYOTA 4RUNNER 2010 AL 2016
PRECIO POR UNIDAD
HAGA TODAS SUS PREGUNTAS ANTES DE OFERTAR</t>
  </si>
  <si>
    <t>GATO O AMORTIGUADOR ELEVADOR COMPUERTA TRASERA TOYOTA SAMURAI FJ60 FJ62 1981 AL 1992
PRECIO POR UNIDAD 
HAGA TODAS SUS PREGUNTAS ANTES DE OFERTAR</t>
  </si>
  <si>
    <t>GATO O AMORTIGUADOR PARA CAPOT HONDA ACCORD 1995 AL 1997
PRECIO POR UNIDAD
HAGA TODAS SUS PREGUNTAS ANTES DE OFERTAR</t>
  </si>
  <si>
    <t>El Gato Amortiguador Capot para Toyota Camry y Avalon, modelos 2012 a 2017, es un componente esencial para el correcto funcionamiento del capot de su vehículo. Fabricado por la reconocida, este resorte a gas garantiza una apertura y cierre suave y seguro, mejorando la experiencia de uso diario.
Con un largo comprimido de 35.7 cm y un largo extendido de 67 cm, este gato amortiguador se adapta perfectamente a las especificaciones de su automóvil. Su diseño robusto y eficiente asegura que el capot se mantenga en su lugar, brindando seguridad y comodidad al realizar tareas de mantenimiento o inspección.
Este producto es ideal para propietarios de autos y camionetas que buscan un reemplazo confiable y duradero. La instalación es sencilla, lo que permite que cualquier persona pueda disfrutar de un capot funcional sin complicaciones.</t>
  </si>
  <si>
    <t>Sapito Wiper Rociador Capot
Sorento 03-09, 
Rio 01-05, 
Sonata 02-05, 
Santa Fe 01-04, 
Elantra 99-04 , 
Accent 03-05
_______________________ UBICACION ______________________________
TIENDA FISICA (ZONA DE SANTA MÓNICA - CARACAS)
_________________ HORARIO DE ATENCIÓN __________________________
LUNES a VIERNES de 8:00 am A 5:00 pm
SABADOS DE 9:00 am A 1:00 pm
______________________ IMPORTANTE______________________________
-ACLARE TODAS LAS DUDAS EN LAS PREGUNTAS ANTES DE OFERTAR.
-SU OFERTA ES UN COMPROMISO DE COMPRA, CUIDE SU REPUTACION.
-NO REALICE NINGUN PAGO HASTA ASEGURARSE DE QUE EL REPUESTO SEA
EL DESEADO Y ESTE DISPONIBLE.
-SU CALIFICACION ES IMPORTANTE PARA NOSOTROS.
-SI NO CALIFICA PIERDE LA GARANTIA DEL PRODUCTO Y DEVOLUCION.
____________________ FORMAS DE PAGO ___________________________
-EFECTIVO (Monto exacto)
-PUNTO DE VENTA
-PAGO MOVIL (BANESCO)
-TRANSFERENCIA BANCARIA (BANESCO 0 VENEZUELA)
-ZELLE
___________________ MÉTODOS DE DESPACHO ______________________
-RETIRO EN TIENDA
-DELIVERY GRATIS PREPAGADO POR YUMMY, PEDIDOS YA O POR UN
COSTO ADICIONAL SEGÚN LA ZONA EN CARACAS.
-ENVIO GRATIS (SEGÚN EL PRODUCTO ) A NIVEL NACIONAL POR MRW, ZOOM,
DOMESA O COBRO EN DESTINO.
RWC 01-2025</t>
  </si>
  <si>
    <t>Sapito Wiper Rociador Capot
HYUNDAI
Accent 2003 2004 2005
_______________________ UBICACION ______________________________
TIENDA FISICA (ZONA DE SANTA MÓNICA - CARACAS)
_________________ HORARIO DE ATENCIÓN __________________________
LUNES a VIERNES de 8:00 am A 5:00 pm
SABADOS DE 9:00 am A 1:00 pm
______________________ IMPORTANTE______________________________
-ACLARE TODAS LAS DUDAS EN LAS PREGUNTAS ANTES DE OFERTAR.
-SU OFERTA ES UN COMPROMISO DE COMPRA, CUIDE SU REPUTACION.
-NO REALICE NINGUN PAGO HASTA ASEGURARSE DE QUE EL REPUESTO SEA
EL DESEADO Y ESTE DISPONIBLE.
-SU CALIFICACION ES IMPORTANTE PARA NOSOTROS.
-SI NO CALIFICA PIERDE LA GARANTIA DEL PRODUCTO Y DEVOLUCION.
____________________ FORMAS DE PAGO ___________________________
-EFECTIVO (Monto exacto)
-PUNTO DE VENTA
-PAGO MOVIL (BANESCO)
-TRANSFERENCIA BANCARIA (BANESCO 0 VENEZUELA)
-ZELLE
___________________ MÉTODOS DE DESPACHO ______________________
-RETIRO EN TIENDA
-DELIVERY GRATIS PREPAGADO POR YUMMY, PEDIDOS YA O POR UN
COSTO ADICIONAL SEGÚN LA ZONA EN CARACAS.
-ENVIO GRATIS (SEGÚN EL PRODUCTO ) A NIVEL NACIONAL POR MRW, ZOOM,
DOMESA O COBRO EN DESTINO.
RWC 01-2025</t>
  </si>
  <si>
    <t>Sapito Wiper 
Renault - Logan todos -
_______________________ UBICACION ______________________________
TIENDA FISICA (ZONA DE SANTA MÓNICA - CARACAS)
_________________ HORARIO DE ATENCIÓN __________________________
LUNES a VIERNES de 8:00 am A 5:00 pm
SABADOS DE 9:00 am A 1:00 pm
______________________ IMPORTANTE______________________________
-ACLARE TODAS LAS DUDAS EN LAS PREGUNTAS ANTES DE OFERTAR.
-SU OFERTA ES UN COMPROMISO DE COMPRA, CUIDE SU REPUTACION.
-NO REALICE NINGUN PAGO HASTA ASEGURARSE DE QUE EL REPUESTO SEA
EL DESEADO Y ESTE DISPONIBLE.
-SU CALIFICACION ES IMPORTANTE PARA NOSOTROS.
-SI NO CALIFICA PIERDE LA GARANTIA DEL PRODUCTO Y DEVOLUCION.
____________________ FORMAS DE PAGO ___________________________
-EFECTIVO (Monto exacto)
-PUNTO DE VENTA
-PAGO MOVIL (BANESCO)
-TRANSFERENCIA BANCARIA (BANESCO 0 VENEZUELA)
-ZELLE
___________________ MÉTODOS DE DESPACHO ______________________
-RETIRO EN TIENDA
-DELIVERY GRATIS PREPAGADO POR YUMMY, PEDIDOS YA O POR UN
COSTO ADICIONAL SEGÚN LA ZONA EN CARACAS.
-ENVIO GRATIS (SEGÚN EL PRODUCTO ) A NIVEL NACIONAL POR MRW, ZOOM,
DOMESA O COBRO EN DESTINO.
RWC 01-2025</t>
  </si>
  <si>
    <t>Sapito Wiper Rociador Capot
HYUNDAI
Santa Fe 2001 2002 2003 2004, 
_______________________ UBICACION ______________________________
TIENDA FISICA (ZONA DE SANTA MÓNICA - CARACAS)
_________________ HORARIO DE ATENCIÓN __________________________
LUNES a VIERNES de 8:00 am A 5:00 pm
SABADOS DE 9:00 am A 1:00 pm
______________________ IMPORTANTE______________________________
-ACLARE TODAS LAS DUDAS EN LAS PREGUNTAS ANTES DE OFERTAR.
-SU OFERTA ES UN COMPROMISO DE COMPRA, CUIDE SU REPUTACION.
-NO REALICE NINGUN PAGO HASTA ASEGURARSE DE QUE EL REPUESTO SEA
EL DESEADO Y ESTE DISPONIBLE.
-SU CALIFICACION ES IMPORTANTE PARA NOSOTROS.
-SI NO CALIFICA PIERDE LA GARANTIA DEL PRODUCTO Y DEVOLUCION.
____________________ FORMAS DE PAGO ___________________________
-EFECTIVO (Monto exacto)
-PUNTO DE VENTA
-PAGO MOVIL (BANESCO)
-TRANSFERENCIA BANCARIA (BANESCO 0 VENEZUELA)
-ZELLE
___________________ MÉTODOS DE DESPACHO ______________________
-RETIRO EN TIENDA
-DELIVERY GRATIS PREPAGADO POR YUMMY, PEDIDOS YA O POR UN
COSTO ADICIONAL SEGÚN LA ZONA EN CARACAS.
-ENVIO GRATIS (SEGÚN EL PRODUCTO ) A NIVEL NACIONAL POR MRW, ZOOM,
DOMESA O COBRO EN DESTINO.
RWC 01-2025</t>
  </si>
  <si>
    <t>Sapito Wiper Rociador Capot
KIA 
Rio 01-05, 
_______________________ UBICACION ______________________________
TIENDA FISICA (ZONA DE SANTA MÓNICA - CARACAS)
_________________ HORARIO DE ATENCIÓN __________________________
LUNES a VIERNES de 8:00 am A 5:00 pm
SABADOS DE 9:00 am A 1:00 pm
______________________ IMPORTANTE______________________________
-ACLARE TODAS LAS DUDAS EN LAS PREGUNTAS ANTES DE OFERTAR.
-SU OFERTA ES UN COMPROMISO DE COMPRA, CUIDE SU REPUTACION.
-NO REALICE NINGUN PAGO HASTA ASEGURARSE DE QUE EL REPUESTO SEA
EL DESEADO Y ESTE DISPONIBLE.
-SU CALIFICACION ES IMPORTANTE PARA NOSOTROS.
-SI NO CALIFICA PIERDE LA GARANTIA DEL PRODUCTO Y DEVOLUCION.
____________________ FORMAS DE PAGO ___________________________
-EFECTIVO (Monto exacto)
-PUNTO DE VENTA
-PAGO MOVIL (BANESCO)
-TRANSFERENCIA BANCARIA (BANESCO 0 VENEZUELA)
-ZELLE
___________________ MÉTODOS DE DESPACHO ______________________
-RETIRO EN TIENDA
-DELIVERY GRATIS PREPAGADO POR YUMMY, PEDIDOS YA O POR UN
COSTO ADICIONAL SEGÚN LA ZONA EN CARACAS.
-ENVIO GRATIS (SEGÚN EL PRODUCTO ) A NIVEL NACIONAL POR MRW, ZOOM,
DOMESA O COBRO EN DESTINO.
RWC 01-2025</t>
  </si>
  <si>
    <t>Sapito Wiper Rociador Capot
HYUNDAI 
SONATA 2002 2003 2004 2005 
_______________________ UBICACION ______________________________
TIENDA FISICA (ZONA DE SANTA MÓNICA - CARACAS)
_________________ HORARIO DE ATENCIÓN __________________________
LUNES a VIERNES de 8:00 am A 5:00 pm
SABADOS DE 9:00 am A 1:00 pm
______________________ IMPORTANTE______________________________
-ACLARE TODAS LAS DUDAS EN LAS PREGUNTAS ANTES DE OFERTAR.
-SU OFERTA ES UN COMPROMISO DE COMPRA, CUIDE SU REPUTACION.
-NO REALICE NINGUN PAGO HASTA ASEGURARSE DE QUE EL REPUESTO SEA
EL DESEADO Y ESTE DISPONIBLE.
-SU CALIFICACION ES IMPORTANTE PARA NOSOTROS.
-SI NO CALIFICA PIERDE LA GARANTIA DEL PRODUCTO Y DEVOLUCION.
____________________ FORMAS DE PAGO ___________________________
-EFECTIVO (Monto exacto)
-PUNTO DE VENTA
-PAGO MOVIL (BANESCO)
-TRANSFERENCIA BANCARIA (BANESCO 0 VENEZUELA)
-ZELLE
___________________ MÉTODOS DE DESPACHO ______________________
-RETIRO EN TIENDA
-DELIVERY GRATIS PREPAGADO POR YUMMY, PEDIDOS YA O POR UN
COSTO ADICIONAL SEGÚN LA ZONA EN CARACAS.
-ENVIO GRATIS (SEGÚN EL PRODUCTO ) A NIVEL NACIONAL POR MRW, ZOOM,
DOMESA O COBRO EN DESTINO.
RWC 01-2025</t>
  </si>
  <si>
    <t>_______________________ UBICACION ______________________________
TIENDA FISICA (ZONA DE SANTA MÓNICA - CARACAS)
_________________ HORARIO DE ATENCIÓN __________________________
LUNES a VIERNES de 8:00 am A 5:00 pm
SABADOS DE 9:00 am A 1:00 pm
______________________ IMPORTANTE______________________________
-ACLARE TODAS LAS DUDAS EN LAS PREGUNTAS ANTES DE OFERTAR.
-SU OFERTA ES UN COMPROMISO DE COMPRA, CUIDE SU REPUTACION.
-NO REALICE NINGUN PAGO HASTA ASEGURARSE DE QUE EL REPUESTO SEA
EL DESEADO Y ESTE DISPONIBLE.
-SU CALIFICACION ES IMPORTANTE PARA NOSOTROS.
-SI NO CALIFICA PIERDE LA GARANTIA DEL PRODUCTO Y DEVOLUCION.
____________________ FORMAS DE PAGO ___________________________
-EFECTIVO (Monto exacto)
-PUNTO DE VENTA
-PAGO MOVIL (BANESCO)
-TRANSFERENCIA BANCARIA (BANESCO 0 VENEZUELA)
-ZELLE
___________________ MÉTODOS DE DESPACHO ______________________
-RETIRO EN TIENDA
-DELIVERY GRATIS PREPAGADO POR YUMMY, PEDIDOS YA O POR UN
COSTO ADICIONAL SEGÚN LA ZONA EN CARACAS.
-ENVIO GRATIS (SEGÚN EL PRODUCTO ) A NIVEL NACIONAL POR MRW, ZOOM,
DOMESA O COBRO EN DESTINO.
RWC 18-07-2024</t>
  </si>
  <si>
    <t>USD</t>
  </si>
  <si>
    <t>GR95678H</t>
  </si>
  <si>
    <t>GR55119H</t>
  </si>
  <si>
    <t>GR95955H-LH</t>
  </si>
  <si>
    <t>GR95600H</t>
  </si>
  <si>
    <t>GR95430L</t>
  </si>
  <si>
    <t>GR95497L</t>
  </si>
  <si>
    <t>GR95600G</t>
  </si>
  <si>
    <t>GR95205H</t>
  </si>
  <si>
    <t>GR95299L</t>
  </si>
  <si>
    <t>GR95600L</t>
  </si>
  <si>
    <t>GR25783T</t>
  </si>
  <si>
    <t>GR95035L</t>
  </si>
  <si>
    <t>GR95352L</t>
  </si>
  <si>
    <t>GR95309H</t>
  </si>
  <si>
    <t>GR95640L</t>
  </si>
  <si>
    <t>S026</t>
  </si>
  <si>
    <t>GR95955H-RH</t>
  </si>
  <si>
    <t>GR95221G</t>
  </si>
  <si>
    <t>GR95787H</t>
  </si>
  <si>
    <t>GR95175H</t>
  </si>
  <si>
    <t>GR95292T</t>
  </si>
  <si>
    <t>GR95123H</t>
  </si>
  <si>
    <t>GR95172L</t>
  </si>
  <si>
    <t>GR95959L</t>
  </si>
  <si>
    <t>GR95241H</t>
  </si>
  <si>
    <t>GR95940H</t>
  </si>
  <si>
    <t>QWJ051</t>
  </si>
  <si>
    <t>QWJ056</t>
  </si>
  <si>
    <t>G-51065T</t>
  </si>
  <si>
    <t>Pausada</t>
  </si>
  <si>
    <t>Finalizada</t>
  </si>
  <si>
    <t>Activa</t>
  </si>
  <si>
    <t>Premium</t>
  </si>
  <si>
    <t>Nuevo</t>
  </si>
  <si>
    <t>Sí</t>
  </si>
  <si>
    <t>No Especificado</t>
  </si>
  <si>
    <t>No</t>
  </si>
  <si>
    <t>Garantía de fábrica: 30 días</t>
  </si>
  <si>
    <t>Garantía de fábrica: 3 meses</t>
  </si>
  <si>
    <t>Garantía de fábrica: 1 años</t>
  </si>
  <si>
    <t>http://http2.mlstatic.com/D_737412-MLV110769023733_042026-F.jpg</t>
  </si>
  <si>
    <t>http://http2.mlstatic.com/D_713211-MLV110768783473_042026-F.jpg</t>
  </si>
  <si>
    <t>http://http2.mlstatic.com/D_929994-MLV110768783483_042026-F.jpg</t>
  </si>
  <si>
    <t>http://http2.mlstatic.com/D_699088-MLV80721928283_112024-F.jpg</t>
  </si>
  <si>
    <t>http://http2.mlstatic.com/D_635812-MLV110768693875_042026-F.jpg</t>
  </si>
  <si>
    <t>http://http2.mlstatic.com/D_688438-MLV80461427560_112024-F.jpg</t>
  </si>
  <si>
    <t>http://http2.mlstatic.com/D_862461-MLV110769234071_042026-F.jpg</t>
  </si>
  <si>
    <t>http://http2.mlstatic.com/D_605480-MLV110768783545_042026-F.jpg</t>
  </si>
  <si>
    <t>http://http2.mlstatic.com/D_651882-MLV110769650309_042026-F.jpg</t>
  </si>
  <si>
    <t>http://http2.mlstatic.com/D_625837-MLV110768783571_042026-F.jpg</t>
  </si>
  <si>
    <t>http://http2.mlstatic.com/D_796803-MLV110769023813_042026-F.jpg</t>
  </si>
  <si>
    <t>http://http2.mlstatic.com/D_721974-MLV110769383843_042026-F.jpg</t>
  </si>
  <si>
    <t>http://http2.mlstatic.com/D_880380-MLV110769054615_042026-F.jpg</t>
  </si>
  <si>
    <t>http://http2.mlstatic.com/D_736248-MLV110769323933_042026-F.jpg</t>
  </si>
  <si>
    <t>http://http2.mlstatic.com/D_989208-MLV110770408133_042026-F.jpg</t>
  </si>
  <si>
    <t>http://http2.mlstatic.com/D_808872-MLV110769144083_042026-F.jpg</t>
  </si>
  <si>
    <t>http://http2.mlstatic.com/D_854003-MLV80721928089_112024-F.jpg</t>
  </si>
  <si>
    <t>http://http2.mlstatic.com/D_995455-MLV110769114443_042026-F.jpg</t>
  </si>
  <si>
    <t>http://http2.mlstatic.com/D_735156-MLV110769354077_042026-F.jpg</t>
  </si>
  <si>
    <t>http://http2.mlstatic.com/D_834440-MLV110770528139_042026-F.jpg</t>
  </si>
  <si>
    <t>http://http2.mlstatic.com/D_811860-MLV110769293987_042026-F.jpg</t>
  </si>
  <si>
    <t>http://http2.mlstatic.com/D_682313-MLV110769144133_042026-F.jpg</t>
  </si>
  <si>
    <t>http://http2.mlstatic.com/D_639434-MLV110770408223_042026-F.jpg</t>
  </si>
  <si>
    <t>http://http2.mlstatic.com/D_898335-MLV110768874477_042026-F.jpg</t>
  </si>
  <si>
    <t>http://http2.mlstatic.com/D_883474-MLV110768814467_042026-F.jpg</t>
  </si>
  <si>
    <t>http://http2.mlstatic.com/D_609103-MLV110769023951_042026-F.jpg</t>
  </si>
  <si>
    <t>http://http2.mlstatic.com/D_755699-MLV110769414087_042026-F.jpg</t>
  </si>
  <si>
    <t>http://http2.mlstatic.com/D_985592-MLV110769204229_042026-F.jpg</t>
  </si>
  <si>
    <t>http://http2.mlstatic.com/D_619584-MLV110770438229_042026-F.jpg</t>
  </si>
  <si>
    <t>http://http2.mlstatic.com/D_707515-MLV110768783793_042026-F.jpg</t>
  </si>
  <si>
    <t>http://http2.mlstatic.com/D_655773-MLV110769174507_042026-F.jpg</t>
  </si>
  <si>
    <t>http://http2.mlstatic.com/D_797544-MLV110769414211_042026-F.jpg</t>
  </si>
  <si>
    <t>http://http2.mlstatic.com/D_794824-MLV110768693983_042026-F.jpg</t>
  </si>
  <si>
    <t>http://http2.mlstatic.com/D_721652-MLV110768694123_042026-F.jpg</t>
  </si>
  <si>
    <t>http://http2.mlstatic.com/D_627990-MLV110770438241_042026-F.jpg</t>
  </si>
  <si>
    <t>http://http2.mlstatic.com/D_825894-MLV110768904263_042026-F.jpg</t>
  </si>
  <si>
    <t>http://http2.mlstatic.com/D_916223-MLV110768814547_042026-F.jpg</t>
  </si>
  <si>
    <t>http://http2.mlstatic.com/D_846129-MLV110769234317_042026-F.jpg</t>
  </si>
  <si>
    <t>http://http2.mlstatic.com/D_970433-MLV110770498079_042026-F.jpg</t>
  </si>
  <si>
    <t>http://http2.mlstatic.com/D_957486-MLV109871474788_042026-F.jpg</t>
  </si>
  <si>
    <t>http://http2.mlstatic.com/D_775705-MLV110769024007_042026-F.jpg</t>
  </si>
  <si>
    <t>http://http2.mlstatic.com/D_892956-MLV110768933955_042026-F.jpg</t>
  </si>
  <si>
    <t>http://http2.mlstatic.com/D_733875-MLV110769414191_042026-F.jpg</t>
  </si>
  <si>
    <t>http://http2.mlstatic.com/D_635833-MLV110769414125_042026-F.jpg</t>
  </si>
  <si>
    <t>http://http2.mlstatic.com/D_769899-MLV110769234277_042026-F.jpg</t>
  </si>
  <si>
    <t>http://http2.mlstatic.com/D_650418-MLV110768694217_042026-F.jpg</t>
  </si>
  <si>
    <t>Grekis</t>
  </si>
  <si>
    <t>Grekis S026</t>
  </si>
  <si>
    <t>RWC</t>
  </si>
  <si>
    <t>Gabriel</t>
  </si>
  <si>
    <t>GR95783T</t>
  </si>
  <si>
    <t>GR55955H-RH</t>
  </si>
  <si>
    <t>GR95787H LH-RH</t>
  </si>
  <si>
    <t>GR95372L</t>
  </si>
  <si>
    <t>GR55940H</t>
  </si>
  <si>
    <t>G-51065</t>
  </si>
  <si>
    <t>CAMRY 1997 1998 1999 2001</t>
  </si>
  <si>
    <t>TUNDRA SEQUOIA</t>
  </si>
  <si>
    <t>CAMRY ES300 1991 1992 1993 1994 1995 1996</t>
  </si>
  <si>
    <t>ARMADA TITAN 2005 2006 2007 2008 2009 2010 2011 2012 2013 2014 2015</t>
  </si>
  <si>
    <t>Palio Weekend</t>
  </si>
  <si>
    <t>HONDA CR-V CRV 2007 2008 2009 2010 2011</t>
  </si>
  <si>
    <t>ARMADA</t>
  </si>
  <si>
    <t>CAMRY  LUMIERE 2002 2003 2004 2005 2006</t>
  </si>
  <si>
    <t>SANTA FE 2007 2008 2009 2010 2011 2012</t>
  </si>
  <si>
    <t>ARMADA 2004 2005 2006 2007 2008 2009 2010 2011 2012 2013 2014 2015</t>
  </si>
  <si>
    <t>MUSTANG 2005 2006 2007 2008 2009 2010 2011 2012 2013 2014</t>
  </si>
  <si>
    <t>EXPLORER 1991 1992 1993 1994 1995 1996 1997 1998 1999 2000 2001</t>
  </si>
  <si>
    <t>RUNNER 4RUNNER</t>
  </si>
  <si>
    <t>CAMRY 2007 2008 2009 2010 2011</t>
  </si>
  <si>
    <t>XTRAIL X-TRAIL</t>
  </si>
  <si>
    <t>TORNILLO GATO COMPUERTA UNIVERSAL</t>
  </si>
  <si>
    <t>CAMRY LEXUS ES300</t>
  </si>
  <si>
    <t>SPORTAGE 2005 2006 2007 2008 2009 2010</t>
  </si>
  <si>
    <t>FZJ80 FJ80 BURBUJA 1994 1995 1996 1997 1998 1999 2000 2001 2002 2003 2004 2005 2006 2007</t>
  </si>
  <si>
    <t>HONDA ACCORD 2008 2009 2010 2011 2012</t>
  </si>
  <si>
    <t>ACCORD 1994 1995 1996 CIVIC 1992 1993 1994 1995 1996</t>
  </si>
  <si>
    <t>ACCORD 2003 2004 2005 2006 2007</t>
  </si>
  <si>
    <t>TOYOTA 4RUNNER 2010 2011 2012 2013 2014 2015 2016</t>
  </si>
  <si>
    <t>SAMURAI FJ60 FJ62 1981 1982 1983 1984 1985 1986 1987 1988 1989 1990 1991 1992</t>
  </si>
  <si>
    <t>ACCORD 1995 1996 1997</t>
  </si>
  <si>
    <t>CAMRY AVALON 2012 2013 2014 2015 2016 2017</t>
  </si>
  <si>
    <t>Unidad</t>
  </si>
  <si>
    <t>1</t>
  </si>
  <si>
    <t>36.7 cm</t>
  </si>
  <si>
    <t>74 cm</t>
  </si>
  <si>
    <t>36.5 cm</t>
  </si>
  <si>
    <t>32 cm</t>
  </si>
  <si>
    <t>52.5 cm</t>
  </si>
  <si>
    <t>62.5 cm</t>
  </si>
  <si>
    <t>41 cm</t>
  </si>
  <si>
    <t>45 cm</t>
  </si>
  <si>
    <t>64 cm</t>
  </si>
  <si>
    <t>29 cm</t>
  </si>
  <si>
    <t>57 cm</t>
  </si>
  <si>
    <t>61 cm</t>
  </si>
  <si>
    <t>69.5 cm</t>
  </si>
  <si>
    <t>53 cm</t>
  </si>
  <si>
    <t>48 cm</t>
  </si>
  <si>
    <t>41.7 cm</t>
  </si>
  <si>
    <t>46 cm</t>
  </si>
  <si>
    <t>30.2 cm</t>
  </si>
  <si>
    <t>42 cm</t>
  </si>
  <si>
    <t>57.5 cm</t>
  </si>
  <si>
    <t>41.3 cm</t>
  </si>
  <si>
    <t>46.6 cm</t>
  </si>
  <si>
    <t>67 cm</t>
  </si>
  <si>
    <t>22 cm</t>
  </si>
  <si>
    <t>39 cm</t>
  </si>
  <si>
    <t>20 cm</t>
  </si>
  <si>
    <t>19 cm</t>
  </si>
  <si>
    <t>28 cm</t>
  </si>
  <si>
    <t>39.2 cm</t>
  </si>
  <si>
    <t>25 cm</t>
  </si>
  <si>
    <t>41.5 cm</t>
  </si>
  <si>
    <t>18.4 cm</t>
  </si>
  <si>
    <t>34.7 cm</t>
  </si>
  <si>
    <t>37.2 cm</t>
  </si>
  <si>
    <t>20.3 cm</t>
  </si>
  <si>
    <t>27 cm</t>
  </si>
  <si>
    <t>18.3 cm</t>
  </si>
  <si>
    <t>38.5 cm</t>
  </si>
  <si>
    <t>24.3 cm</t>
  </si>
  <si>
    <t>30.6 cm</t>
  </si>
  <si>
    <t>35.7 cm</t>
  </si>
  <si>
    <t>Capot</t>
  </si>
  <si>
    <t>CAPOT LADO IZQUIERDO</t>
  </si>
  <si>
    <t>COMPUERTA</t>
  </si>
  <si>
    <t>Vidrio</t>
  </si>
  <si>
    <t>MALETERA</t>
  </si>
  <si>
    <t>CAPOT LADO DERECHO</t>
  </si>
  <si>
    <t>CAPOY</t>
  </si>
  <si>
    <t>Importado</t>
  </si>
  <si>
    <t>N/A</t>
  </si>
  <si>
    <t>RPC</t>
  </si>
  <si>
    <t>Carro/Camioneta</t>
  </si>
  <si>
    <t>QWJ051,98630-YY000</t>
  </si>
  <si>
    <t>QWJ056,7700846456</t>
  </si>
  <si>
    <t>Otra razón</t>
  </si>
  <si>
    <t>El producto es un kit o un pack</t>
  </si>
  <si>
    <t>GATO O AMORTIGUADOR ELEVADOR CAPOT NISSAN ARMADA 2004-2015 Y NISSAN TITAN 2005-2015
PRECIO POR UNIDAD 
HAGA TODAS SUS PREGUNTAS ANTES DE OFERTAR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</si>
</sst>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Bs.S&quot;* #,##0.00_-;\-&quot;Bs.S&quot;* #,##0.00_-;_-&quot;Bs.S&quot;* &quot; - &quot;??_-;_-@_-"/>
    <numFmt numFmtId="165" formatCode="dd/mm/yyyy\ hh:mm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D3D3D3"/>
      <name val="Calibri"/>
      <family val="2"/>
      <scheme val="minor"/>
    </font>
    <font>
      <b/>
      <sz val="10"/>
      <color theme="1"/>
      <name val="Lucida Sans Typewriter"/>
      <family val="3"/>
    </font>
    <font>
      <b/>
      <sz val="9"/>
      <color indexed="81"/>
      <name val="Tahoma"/>
      <family val="2"/>
    </font>
    <font>
      <b/>
      <sz val="1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96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indexed="16"/>
        <bgColor indexed="64"/>
      </patternFill>
    </fill>
  </fills>
  <borders count="5">
    <border>
      <left/>
      <right/>
      <top/>
      <bottom/>
      <diagonal/>
    </border>
    <border>
      <left style="medium">
        <color rgb="FF31C834"/>
      </left>
      <right style="medium">
        <color rgb="FF31C834"/>
      </right>
      <top style="medium">
        <color rgb="FF31C834"/>
      </top>
      <bottom style="medium">
        <color rgb="FF31C834"/>
      </bottom>
      <diagonal/>
    </border>
    <border>
      <left style="medium">
        <color rgb="FF31C834"/>
      </left>
      <right style="medium">
        <color rgb="FF31C834"/>
      </right>
      <top style="medium">
        <color rgb="FF31C834"/>
      </top>
      <bottom/>
      <diagonal/>
    </border>
    <border>
      <left style="medium">
        <color rgb="FF31C834"/>
      </left>
      <right/>
      <top style="medium">
        <color rgb="FF31C834"/>
      </top>
      <bottom/>
      <diagonal/>
    </border>
    <border>
      <left style="medium">
        <color rgb="FF31C834"/>
      </left>
      <right/>
      <top style="medium">
        <color rgb="FF31C834"/>
      </top>
      <bottom style="medium">
        <color rgb="FF31C83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3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3" borderId="1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3" borderId="0" xfId="0" quotePrefix="1" applyFill="1" applyAlignment="1">
      <alignment vertical="top"/>
    </xf>
    <xf numFmtId="0" fontId="0" fillId="3" borderId="4" xfId="0" applyFill="1" applyBorder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165" fontId="0" fillId="0" borderId="0" xfId="0" applyNumberFormat="1" applyAlignment="1">
      <alignment vertical="top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top" wrapText="1"/>
    </xf>
    <xf numFmtId="49" fontId="0" fillId="3" borderId="0" xfId="0" applyNumberFormat="1" applyFill="1" applyAlignment="1">
      <alignment vertical="top"/>
    </xf>
    <xf numFmtId="4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/>
    </xf>
  </cellXfs>
  <cellStyles count="1">
    <cellStyle name="Normal" xfId="0" builtinId="0"/>
  </cellStyles>
  <dxfs count="70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CCFFCC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CCFFCC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CCFFCC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CCFFCC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CCFFCC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CCFFCC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F0FFF0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CCFFCC"/>
        </patternFill>
      </fill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CCFFCC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CCFFCC"/>
        </patternFill>
      </fill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CCFFCC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31C834"/>
        </left>
        <right style="medium">
          <color rgb="FF31C834"/>
        </right>
        <top style="medium">
          <color rgb="FF31C83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31C834"/>
        </left>
        <right/>
        <top style="medium">
          <color rgb="FF31C834"/>
        </top>
        <bottom/>
        <vertical/>
        <horizontal/>
      </border>
    </dxf>
    <dxf>
      <fill>
        <patternFill patternType="solid">
          <fgColor indexed="64"/>
          <bgColor rgb="FFFF6969"/>
        </patternFill>
      </fill>
      <alignment horizontal="general" vertical="top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F6969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FF6969"/>
        </patternFill>
      </fill>
      <alignment horizontal="general" vertical="top" textRotation="0" wrapText="0" indent="0" justifyLastLine="0" shrinkToFit="0" readingOrder="0"/>
    </dxf>
    <dxf>
      <numFmt numFmtId="165" formatCode="dd/mm/yyyy\ hh:mm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5" formatCode="dd/mm/yyyy\ hh:mm"/>
      <alignment horizontal="general" vertical="top" textRotation="0" wrapText="0" indent="0" justifyLastLine="0" shrinkToFit="0" readingOrder="0"/>
    </dxf>
    <dxf>
      <numFmt numFmtId="165" formatCode="dd/mm/yyyy\ hh:mm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-&quot;Bs.S&quot;* #,##0.00_-;\-&quot;Bs.S&quot;* #,##0.00_-;_-&quot;Bs.S&quot;* &quot; - &quot;??_-;_-@_-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_-&quot;Bs.S&quot;* #,##0.00_-;\-&quot;Bs.S&quot;* #,##0.00_-;_-&quot;Bs.S&quot;* &quot; - &quot;??_-;_-@_-"/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rgb="FFD3D3D3"/>
        <name val="Calibri"/>
        <family val="2"/>
        <scheme val="minor"/>
      </font>
      <numFmt numFmtId="0" formatCode="General"/>
      <alignment horizontal="center" vertical="top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0"/>
        <color theme="1"/>
        <name val="Lucida Sans Typewriter"/>
        <family val="3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ill>
        <patternFill>
          <bgColor rgb="FFFF9194"/>
        </patternFill>
      </fill>
    </dxf>
    <dxf>
      <fill>
        <patternFill>
          <bgColor rgb="FFFF9194"/>
        </patternFill>
      </fill>
    </dxf>
    <dxf>
      <font>
        <b/>
        <i val="0"/>
        <color rgb="FF808080"/>
      </font>
      <fill>
        <patternFill>
          <bgColor rgb="FFFAFAD2"/>
        </patternFill>
      </fill>
    </dxf>
    <dxf>
      <font>
        <b/>
        <i val="0"/>
        <color rgb="FFFFFFFF"/>
      </font>
      <fill>
        <patternFill>
          <bgColor rgb="FFFF45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26" Type="http://schemas.openxmlformats.org/officeDocument/2006/relationships/image" Target="../media/image26.tmp"/><Relationship Id="rId3" Type="http://schemas.openxmlformats.org/officeDocument/2006/relationships/image" Target="../media/image3.tmp"/><Relationship Id="rId21" Type="http://schemas.openxmlformats.org/officeDocument/2006/relationships/image" Target="../media/image21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5" Type="http://schemas.openxmlformats.org/officeDocument/2006/relationships/image" Target="../media/image25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29" Type="http://schemas.openxmlformats.org/officeDocument/2006/relationships/image" Target="../media/image29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24" Type="http://schemas.openxmlformats.org/officeDocument/2006/relationships/image" Target="../media/image24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23" Type="http://schemas.openxmlformats.org/officeDocument/2006/relationships/image" Target="../media/image23.tmp"/><Relationship Id="rId28" Type="http://schemas.openxmlformats.org/officeDocument/2006/relationships/image" Target="../media/image28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Relationship Id="rId22" Type="http://schemas.openxmlformats.org/officeDocument/2006/relationships/image" Target="../media/image22.tmp"/><Relationship Id="rId27" Type="http://schemas.openxmlformats.org/officeDocument/2006/relationships/image" Target="../media/image27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203200</xdr:rowOff>
    </xdr:from>
    <xdr:to>
      <xdr:col>0</xdr:col>
      <xdr:colOff>812800</xdr:colOff>
      <xdr:row>1</xdr:row>
      <xdr:rowOff>927100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4A9265-E5C9-BED9-77FF-94646E637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11557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2</xdr:row>
      <xdr:rowOff>203200</xdr:rowOff>
    </xdr:from>
    <xdr:to>
      <xdr:col>0</xdr:col>
      <xdr:colOff>812800</xdr:colOff>
      <xdr:row>2</xdr:row>
      <xdr:rowOff>927100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9FD0EA8-E809-8BC8-8C63-9723C7D64F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1653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3</xdr:row>
      <xdr:rowOff>203200</xdr:rowOff>
    </xdr:from>
    <xdr:to>
      <xdr:col>0</xdr:col>
      <xdr:colOff>812800</xdr:colOff>
      <xdr:row>3</xdr:row>
      <xdr:rowOff>927100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193206-FA7C-D861-AAB6-AD4770BABA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31750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4</xdr:row>
      <xdr:rowOff>203200</xdr:rowOff>
    </xdr:from>
    <xdr:to>
      <xdr:col>0</xdr:col>
      <xdr:colOff>812800</xdr:colOff>
      <xdr:row>4</xdr:row>
      <xdr:rowOff>927100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484B7A3-ED7A-5ADC-F299-6C177BAB21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41846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5</xdr:row>
      <xdr:rowOff>203200</xdr:rowOff>
    </xdr:from>
    <xdr:to>
      <xdr:col>0</xdr:col>
      <xdr:colOff>812800</xdr:colOff>
      <xdr:row>5</xdr:row>
      <xdr:rowOff>927100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88B22B7-9EF3-2C3F-5A2B-17FD7041D4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51943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6</xdr:row>
      <xdr:rowOff>203200</xdr:rowOff>
    </xdr:from>
    <xdr:to>
      <xdr:col>0</xdr:col>
      <xdr:colOff>812800</xdr:colOff>
      <xdr:row>6</xdr:row>
      <xdr:rowOff>927100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4C3CF8B-BB87-07B2-B770-4BD0F2FDA3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62039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7</xdr:row>
      <xdr:rowOff>203200</xdr:rowOff>
    </xdr:from>
    <xdr:to>
      <xdr:col>0</xdr:col>
      <xdr:colOff>812800</xdr:colOff>
      <xdr:row>7</xdr:row>
      <xdr:rowOff>927100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37864F4-5EF0-6CF2-2208-FBFC342ED3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72136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8</xdr:row>
      <xdr:rowOff>203200</xdr:rowOff>
    </xdr:from>
    <xdr:to>
      <xdr:col>0</xdr:col>
      <xdr:colOff>812800</xdr:colOff>
      <xdr:row>8</xdr:row>
      <xdr:rowOff>927100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F9B7516-B8B1-8172-FF7A-A5C50A7E88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82232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9</xdr:row>
      <xdr:rowOff>203200</xdr:rowOff>
    </xdr:from>
    <xdr:to>
      <xdr:col>0</xdr:col>
      <xdr:colOff>812800</xdr:colOff>
      <xdr:row>9</xdr:row>
      <xdr:rowOff>927100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AF09B54-C5A4-EC5F-A5C6-30A71333A2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92329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10</xdr:row>
      <xdr:rowOff>203200</xdr:rowOff>
    </xdr:from>
    <xdr:to>
      <xdr:col>0</xdr:col>
      <xdr:colOff>812800</xdr:colOff>
      <xdr:row>10</xdr:row>
      <xdr:rowOff>927100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CD41E6D-D2D3-B5C9-DE9D-661EF7DC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102425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11</xdr:row>
      <xdr:rowOff>203200</xdr:rowOff>
    </xdr:from>
    <xdr:to>
      <xdr:col>0</xdr:col>
      <xdr:colOff>812800</xdr:colOff>
      <xdr:row>11</xdr:row>
      <xdr:rowOff>927100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439CB79-F34E-F4ED-2A39-F6F349288F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112522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12</xdr:row>
      <xdr:rowOff>203200</xdr:rowOff>
    </xdr:from>
    <xdr:to>
      <xdr:col>0</xdr:col>
      <xdr:colOff>812800</xdr:colOff>
      <xdr:row>12</xdr:row>
      <xdr:rowOff>927100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D492E2C-8BC2-63AA-FA2D-84AA51E913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122618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13</xdr:row>
      <xdr:rowOff>203200</xdr:rowOff>
    </xdr:from>
    <xdr:to>
      <xdr:col>0</xdr:col>
      <xdr:colOff>812800</xdr:colOff>
      <xdr:row>13</xdr:row>
      <xdr:rowOff>927100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6B0F4CE-CBFC-1A8F-C327-ED02E435E3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132715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14</xdr:row>
      <xdr:rowOff>203200</xdr:rowOff>
    </xdr:from>
    <xdr:to>
      <xdr:col>0</xdr:col>
      <xdr:colOff>812800</xdr:colOff>
      <xdr:row>14</xdr:row>
      <xdr:rowOff>927100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DCA56DA9-14B8-8464-8960-27DA674BD7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142811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15</xdr:row>
      <xdr:rowOff>203200</xdr:rowOff>
    </xdr:from>
    <xdr:to>
      <xdr:col>0</xdr:col>
      <xdr:colOff>812800</xdr:colOff>
      <xdr:row>15</xdr:row>
      <xdr:rowOff>927100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D68F9323-C154-A24D-614B-4DC5483822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152908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16</xdr:row>
      <xdr:rowOff>203200</xdr:rowOff>
    </xdr:from>
    <xdr:to>
      <xdr:col>0</xdr:col>
      <xdr:colOff>812800</xdr:colOff>
      <xdr:row>16</xdr:row>
      <xdr:rowOff>927100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5704144-1123-C523-9E6A-9B13DF1F6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163004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17</xdr:row>
      <xdr:rowOff>203200</xdr:rowOff>
    </xdr:from>
    <xdr:to>
      <xdr:col>0</xdr:col>
      <xdr:colOff>812800</xdr:colOff>
      <xdr:row>17</xdr:row>
      <xdr:rowOff>927100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594B07B8-2B75-5FEE-9F61-77D0330B79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173101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18</xdr:row>
      <xdr:rowOff>203200</xdr:rowOff>
    </xdr:from>
    <xdr:to>
      <xdr:col>0</xdr:col>
      <xdr:colOff>812800</xdr:colOff>
      <xdr:row>18</xdr:row>
      <xdr:rowOff>927100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BC9E9323-1C96-2DB6-0BDC-EC3524FFD8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183197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19</xdr:row>
      <xdr:rowOff>203200</xdr:rowOff>
    </xdr:from>
    <xdr:to>
      <xdr:col>0</xdr:col>
      <xdr:colOff>812800</xdr:colOff>
      <xdr:row>19</xdr:row>
      <xdr:rowOff>927100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29B4CC0-31AA-A16B-BBE5-5E6FC13B74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193294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20</xdr:row>
      <xdr:rowOff>203200</xdr:rowOff>
    </xdr:from>
    <xdr:to>
      <xdr:col>0</xdr:col>
      <xdr:colOff>812800</xdr:colOff>
      <xdr:row>20</xdr:row>
      <xdr:rowOff>927100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48C70E30-544C-3478-E4EF-D3F8D584CE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03390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21</xdr:row>
      <xdr:rowOff>203200</xdr:rowOff>
    </xdr:from>
    <xdr:to>
      <xdr:col>0</xdr:col>
      <xdr:colOff>812800</xdr:colOff>
      <xdr:row>21</xdr:row>
      <xdr:rowOff>927100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7BAB7320-23BC-DA31-33FA-D7B375CDEB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13487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22</xdr:row>
      <xdr:rowOff>203200</xdr:rowOff>
    </xdr:from>
    <xdr:to>
      <xdr:col>0</xdr:col>
      <xdr:colOff>812800</xdr:colOff>
      <xdr:row>22</xdr:row>
      <xdr:rowOff>927100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F827B065-0B9E-3EB4-9B4B-0CB71B93D0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23583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23</xdr:row>
      <xdr:rowOff>203200</xdr:rowOff>
    </xdr:from>
    <xdr:to>
      <xdr:col>0</xdr:col>
      <xdr:colOff>812800</xdr:colOff>
      <xdr:row>23</xdr:row>
      <xdr:rowOff>927100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339C0AAD-0FEA-F543-B248-43C3A13E90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33680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24</xdr:row>
      <xdr:rowOff>203200</xdr:rowOff>
    </xdr:from>
    <xdr:to>
      <xdr:col>0</xdr:col>
      <xdr:colOff>812800</xdr:colOff>
      <xdr:row>24</xdr:row>
      <xdr:rowOff>927100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EA9C81AA-5FA5-D8C5-536A-D971EC8945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43776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25</xdr:row>
      <xdr:rowOff>203200</xdr:rowOff>
    </xdr:from>
    <xdr:to>
      <xdr:col>0</xdr:col>
      <xdr:colOff>812800</xdr:colOff>
      <xdr:row>25</xdr:row>
      <xdr:rowOff>927100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E7CCED14-74FC-4D37-B9B0-332FADF8F2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53873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26</xdr:row>
      <xdr:rowOff>203200</xdr:rowOff>
    </xdr:from>
    <xdr:to>
      <xdr:col>0</xdr:col>
      <xdr:colOff>812800</xdr:colOff>
      <xdr:row>26</xdr:row>
      <xdr:rowOff>927100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1B8E7C9C-AE12-AAEA-4E3B-7760B765C5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63969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27</xdr:row>
      <xdr:rowOff>203200</xdr:rowOff>
    </xdr:from>
    <xdr:to>
      <xdr:col>0</xdr:col>
      <xdr:colOff>812800</xdr:colOff>
      <xdr:row>27</xdr:row>
      <xdr:rowOff>927100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10BB2DB8-D0C3-FA49-B290-E3DB7E04B6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74066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28</xdr:row>
      <xdr:rowOff>203200</xdr:rowOff>
    </xdr:from>
    <xdr:to>
      <xdr:col>0</xdr:col>
      <xdr:colOff>812800</xdr:colOff>
      <xdr:row>28</xdr:row>
      <xdr:rowOff>927100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4120F9C5-AAF6-EEE2-7521-6153FD60CA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84162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29</xdr:row>
      <xdr:rowOff>203200</xdr:rowOff>
    </xdr:from>
    <xdr:to>
      <xdr:col>0</xdr:col>
      <xdr:colOff>812800</xdr:colOff>
      <xdr:row>29</xdr:row>
      <xdr:rowOff>927100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713D0BEC-4A6E-1AC4-6A30-96C8BA81FE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94259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30</xdr:row>
      <xdr:rowOff>203200</xdr:rowOff>
    </xdr:from>
    <xdr:to>
      <xdr:col>0</xdr:col>
      <xdr:colOff>812800</xdr:colOff>
      <xdr:row>30</xdr:row>
      <xdr:rowOff>927100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829F268C-BE27-48FD-CA40-6D9D049E35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304355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31</xdr:row>
      <xdr:rowOff>203200</xdr:rowOff>
    </xdr:from>
    <xdr:to>
      <xdr:col>0</xdr:col>
      <xdr:colOff>812800</xdr:colOff>
      <xdr:row>31</xdr:row>
      <xdr:rowOff>927100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FE1AED68-4ADE-2C65-3D16-E453982D8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314452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32</xdr:row>
      <xdr:rowOff>203200</xdr:rowOff>
    </xdr:from>
    <xdr:to>
      <xdr:col>0</xdr:col>
      <xdr:colOff>812800</xdr:colOff>
      <xdr:row>32</xdr:row>
      <xdr:rowOff>927100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5CE01B3B-0434-0371-6EE8-0F459FEECA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3245485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33</xdr:row>
      <xdr:rowOff>203200</xdr:rowOff>
    </xdr:from>
    <xdr:to>
      <xdr:col>0</xdr:col>
      <xdr:colOff>812800</xdr:colOff>
      <xdr:row>33</xdr:row>
      <xdr:rowOff>927100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F2C41491-5559-0EC2-D757-1CCB542D95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33464500"/>
          <a:ext cx="723900" cy="7239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34</xdr:row>
      <xdr:rowOff>203200</xdr:rowOff>
    </xdr:from>
    <xdr:to>
      <xdr:col>0</xdr:col>
      <xdr:colOff>812800</xdr:colOff>
      <xdr:row>34</xdr:row>
      <xdr:rowOff>927100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E39ACC53-8F7F-31E5-6B62-EB6D2CDF00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34474150"/>
          <a:ext cx="723900" cy="723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187445-5642-4C11-A2A3-9037BE623DCA}" name="TablaPublicaciones" displayName="TablaPublicaciones" ref="A1:BL35" totalsRowShown="0" headerRowDxfId="65" dataDxfId="64">
  <autoFilter ref="A1:BL35" xr:uid="{38187445-5642-4C11-A2A3-9037BE623DCA}"/>
  <tableColumns count="64">
    <tableColumn id="1" xr3:uid="{07E8B1C9-37F8-4516-8331-5DBE056FA510}" name="Id" dataDxfId="63"/>
    <tableColumn id="2" xr3:uid="{557C55CF-46B1-4281-98D3-FDA85EFCFE20}" name="Vendedor" dataDxfId="62"/>
    <tableColumn id="3" xr3:uid="{07A2162F-C9CE-49C5-BE73-699F8D7F354A}" name="Tienda Oficial" dataDxfId="61"/>
    <tableColumn id="4" xr3:uid="{07D79BE4-D461-4119-AF88-D8DC8AE9ABE1}" name="Categoría" dataDxfId="60"/>
    <tableColumn id="5" xr3:uid="{374339AB-C6F7-4C7E-A5A6-CD72E9250054}" name="Tendencias" dataDxfId="59"/>
    <tableColumn id="6" xr3:uid="{278D5998-4B3C-4BA4-9A7C-A1E120440B11}" name="Título" dataDxfId="58"/>
    <tableColumn id="7" xr3:uid="{0234EDF1-B990-4044-B1E0-282355656C77}" name="Largo" dataDxfId="57">
      <calculatedColumnFormula>LEN(TablaPublicaciones[[#This Row],[Título]])</calculatedColumnFormula>
    </tableColumn>
    <tableColumn id="8" xr3:uid="{E0B87E46-8A56-47D2-BAE9-4BCB2D23A35F}" name="Descripción" dataDxfId="56"/>
    <tableColumn id="9" xr3:uid="{F4376C87-095C-4FB9-BEFB-D97C5942E3DD}" name="Precio" dataDxfId="55"/>
    <tableColumn id="10" xr3:uid="{2851AC63-AA68-40EF-AC01-B1CB63CB3F54}" name="Moneda" dataDxfId="54"/>
    <tableColumn id="11" xr3:uid="{9A486920-D334-49F4-9651-3544B340B8F7}" name="SKU" dataDxfId="53"/>
    <tableColumn id="12" xr3:uid="{504E12D6-4FFA-4E63-988B-D8351618F850}" name="Estado" dataDxfId="52"/>
    <tableColumn id="13" xr3:uid="{8C530989-E33E-4C51-BB2A-A69301EA5973}" name="Stock" dataDxfId="51"/>
    <tableColumn id="14" xr3:uid="{B8F4AAD6-AFC8-453A-BEA4-C8315EA4E074}" name="Tipo de Publicación" dataDxfId="50"/>
    <tableColumn id="15" xr3:uid="{D515DD2D-9950-499C-A3C9-02EAB564CDB6}" name="Condición" dataDxfId="49"/>
    <tableColumn id="16" xr3:uid="{D304FA7B-1DB5-467C-B4C0-159C7B76ED81}" name="Envio Gratis" dataDxfId="48"/>
    <tableColumn id="17" xr3:uid="{4FABBCF4-6194-4782-B178-8C992F5A9BF7}" name="Precio Envio Gratis" dataDxfId="47"/>
    <tableColumn id="18" xr3:uid="{98934760-3BF6-4D2B-BEE7-A1649AD0AE03}" name="Modo Envio" dataDxfId="46"/>
    <tableColumn id="19" xr3:uid="{09015D66-D40E-48FC-AA0D-DF7C960CED1C}" name="Metodo Envio" dataDxfId="45"/>
    <tableColumn id="20" xr3:uid="{74BB07AA-3E72-4250-A57F-C6B07358395F}" name="Retira en Persona" dataDxfId="44"/>
    <tableColumn id="21" xr3:uid="{9AF8BAC3-B650-4C3D-AF7D-94AD638CD8D1}" name="Envio FLEX" dataDxfId="43"/>
    <tableColumn id="22" xr3:uid="{D6EDAE76-DF30-4549-8156-D06F228C6AE8}" name="Garantia" dataDxfId="42"/>
    <tableColumn id="23" xr3:uid="{CA3CB06E-FF35-4B00-8F1F-BE67BBA7A61A}" name="Fecha Creación" dataDxfId="41"/>
    <tableColumn id="24" xr3:uid="{B9179D59-0B0B-47E5-84C3-450FA1E054DF}" name="Última Actualización" dataDxfId="40"/>
    <tableColumn id="25" xr3:uid="{35DCB46A-158D-403D-818B-8CBB83F35F5A}" name="Resultado" dataDxfId="39"/>
    <tableColumn id="26" xr3:uid="{51193C13-B5C6-4AB0-AD61-2582ADED050F}" name="Resultado Observaciones" dataDxfId="38"/>
    <tableColumn id="27" xr3:uid="{592AE190-9BCD-4633-A51D-AB6AA482AB93}" name="Imagen 1" dataDxfId="37"/>
    <tableColumn id="28" xr3:uid="{5BCBA99F-8D2E-4EC0-9BC4-CEC88F1CDA88}" name="Imagen 2" dataDxfId="36"/>
    <tableColumn id="29" xr3:uid="{1DA8AC64-0DDB-4549-828F-B7AAA646A393}" name="Imagen 3" dataDxfId="35"/>
    <tableColumn id="30" xr3:uid="{E3E11581-3A67-491F-B299-4FA96F0CA2BB}" name="Imagen 4" dataDxfId="34"/>
    <tableColumn id="31" xr3:uid="{3E72739F-F6D5-413E-A939-3776645507BD}" name="Imagen 5" dataDxfId="33"/>
    <tableColumn id="32" xr3:uid="{A85C7D82-6155-4554-9B3D-18ED31E78966}" name="Imagen 6" dataDxfId="32"/>
    <tableColumn id="33" xr3:uid="{DE5CDDDB-F9AD-43F1-9476-B132B7023807}" name="Imagen 7" dataDxfId="31"/>
    <tableColumn id="34" xr3:uid="{68CE6975-FAB8-4236-8F39-1AA4B658E504}" name="Imagen 8" dataDxfId="30"/>
    <tableColumn id="35" xr3:uid="{176F89D3-55C1-4864-A9EE-83C429B15147}" name="Imagen 9" dataDxfId="29"/>
    <tableColumn id="36" xr3:uid="{822D9C27-446E-4C51-834D-EFA6235C1FD1}" name="Imagen 10" dataDxfId="28"/>
    <tableColumn id="37" xr3:uid="{06003688-CF66-40B9-80A3-0E817EF58334}" name="Visitas" dataDxfId="27"/>
    <tableColumn id="38" xr3:uid="{867443DD-E155-463F-8AB6-127CAC8F04D7}" name="Vendidos" dataDxfId="26"/>
    <tableColumn id="39" xr3:uid="{450CCE7E-504E-43B5-996D-68A045978B20}" name="Fecha Ultima Venta" dataDxfId="25"/>
    <tableColumn id="40" xr3:uid="{F045B770-A77E-4B81-B2C3-B8805902967A}" name="Variación_x000d__x000a_Color" dataDxfId="24"/>
    <tableColumn id="41" xr3:uid="{1B5F14A3-3B98-4C46-A40D-D6B6D3A92694}" name="Variación_x000d__x000a_Código universal de producto" dataDxfId="23"/>
    <tableColumn id="42" xr3:uid="{46FC1A21-3FAC-4529-89E5-671FB1C585CF}" name="Variación_x000d__x000a_Código OEM" dataDxfId="22"/>
    <tableColumn id="43" xr3:uid="{B0BD1BC7-A155-4C36-9BFA-6134205BF2C2}" name="Atributo_x000d__x000a_Marca" dataDxfId="21"/>
    <tableColumn id="44" xr3:uid="{7DFE1A7F-BFBA-4B08-A268-9FA639E80D6D}" name="Atributo_x000d__x000a_Número de pieza" dataDxfId="20"/>
    <tableColumn id="45" xr3:uid="{C81DC53D-A59A-4BE3-85CB-7E330249E5A3}" name="Atributo_x000d__x000a_Modelo" dataDxfId="19"/>
    <tableColumn id="46" xr3:uid="{17D22998-DBB8-4832-B2F1-0651FF94B680}" name="Atributo_x000d__x000a_Formato de venta" dataDxfId="18"/>
    <tableColumn id="47" xr3:uid="{D119AEAD-E9A2-4AC9-BB22-A998D88D0BA7}" name="Atributo_x000d__x000a_Unidades por pack" dataDxfId="17"/>
    <tableColumn id="48" xr3:uid="{16708B52-94B7-4A28-8034-BF5B173D0A22}" name="Atributo_x000d__x000a_Largo extendido" dataDxfId="16"/>
    <tableColumn id="49" xr3:uid="{67FDACCE-02CC-47CE-BC26-2CCAD33D28DF}" name="Atributo_x000d__x000a_Largo comprimido" dataDxfId="15"/>
    <tableColumn id="50" xr3:uid="{4C316B6B-2322-4B67-9371-CEFB9BF5BC1E}" name="Atributo_x000d__x000a_Lugar de colocación" dataDxfId="14"/>
    <tableColumn id="51" xr3:uid="{B7C39FD4-4950-4A18-B31E-65EA4E00CCB0}" name="Atributo_x000d__x000a_Origen" dataDxfId="13"/>
    <tableColumn id="52" xr3:uid="{4750DCC5-91A5-4023-8D76-2FABC2DB19D1}" name="Atributo_x000d__x000a_Tipo de vehículo" dataDxfId="12"/>
    <tableColumn id="53" xr3:uid="{311F8834-A35A-421E-9403-BC70515A42D0}" name="Atributo_x000d__x000a_Código universal de producto" dataDxfId="11"/>
    <tableColumn id="54" xr3:uid="{A6B39D83-4E6C-473C-AF8F-03D5F386FB74}" name="Atributo_x000d__x000a_Código OEM" dataDxfId="10"/>
    <tableColumn id="55" xr3:uid="{D281CDC7-FACC-4E01-AB6B-7D3FBC5D4615}" name="Atributo_x000d__x000a_Motivo de GTIN vacío" dataDxfId="9"/>
    <tableColumn id="56" xr3:uid="{3345F854-C43F-427B-BADA-ACF763FA14DB}" name="Atributo_x000d__x000a_Material del núcleo" dataDxfId="8"/>
    <tableColumn id="57" xr3:uid="{D181DC2A-403B-4CA6-9E8A-872ED1FD375B}" name="Atributo_x000d__x000a_Cantidad de llaves" dataDxfId="7"/>
    <tableColumn id="58" xr3:uid="{586E5BDF-4F57-420B-894C-52DDFEFB3768}" name="Atributo_x000d__x000a_Ángulo máximo de apertura" dataDxfId="6"/>
    <tableColumn id="59" xr3:uid="{DD0CEF83-8BB0-41B1-8AA5-E48C50B69D6E}" name="Atributo_x000d__x000a_Incluye herrajes de montaje" dataDxfId="5"/>
    <tableColumn id="60" xr3:uid="{6003663E-0EE5-4EA9-AFB8-1AAF3DC769E4}" name="Atributo_x000d__x000a_Cantidad de agujeros de montaje" dataDxfId="4"/>
    <tableColumn id="61" xr3:uid="{C94BBFDE-2D22-4FD9-B198-4299734F8A16}" name="Atributo_x000d__x000a_Material" dataDxfId="3"/>
    <tableColumn id="62" xr3:uid="{8CB1E75D-17F7-4D3B-87E7-93E5C31EE4B5}" name="Atributo_x000d__x000a_Diámetro interior" dataDxfId="2"/>
    <tableColumn id="63" xr3:uid="{059FEC74-F32D-42E7-B27C-E67B315105C9}" name="Atributo_x000d__x000a_Diámetro externo" dataDxfId="1"/>
    <tableColumn id="64" xr3:uid="{5F2838F4-BC86-4693-84B3-EE36CEF8CE6D}" name="Atributo_x000d__x000a_Espesor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81B8-50C1-40C5-84D7-96516FDD05B1}">
  <dimension ref="A1:BL35"/>
  <sheetViews>
    <sheetView tabSelected="1" workbookViewId="0">
      <pane ySplit="1" topLeftCell="A2" activePane="bottomLeft" state="frozenSplit"/>
      <selection pane="bottomLeft" activeCell="F35" sqref="F35"/>
    </sheetView>
  </sheetViews>
  <sheetFormatPr baseColWidth="10" defaultRowHeight="15" x14ac:dyDescent="0.25"/>
  <cols>
    <col min="1" max="1" width="15.7109375" customWidth="1"/>
    <col min="2" max="2" width="12" customWidth="1"/>
    <col min="3" max="3" width="15.28515625" customWidth="1"/>
    <col min="4" max="4" width="50.7109375" customWidth="1"/>
    <col min="5" max="5" width="7.140625" customWidth="1"/>
    <col min="6" max="6" width="69.7109375" customWidth="1"/>
    <col min="7" max="7" width="7.7109375" customWidth="1"/>
    <col min="8" max="8" width="80.7109375" customWidth="1"/>
    <col min="9" max="9" width="20.7109375" customWidth="1"/>
    <col min="12" max="12" width="20.7109375" customWidth="1"/>
    <col min="14" max="14" width="20.28515625" customWidth="1"/>
    <col min="15" max="15" width="12" customWidth="1"/>
    <col min="16" max="16" width="13.7109375" customWidth="1"/>
    <col min="17" max="17" width="20.7109375" customWidth="1"/>
    <col min="18" max="20" width="30.7109375" customWidth="1"/>
    <col min="21" max="21" width="12.42578125" customWidth="1"/>
    <col min="22" max="22" width="30.7109375" customWidth="1"/>
    <col min="23" max="23" width="16.42578125" customWidth="1"/>
    <col min="24" max="24" width="21.28515625" customWidth="1"/>
    <col min="25" max="25" width="12" customWidth="1"/>
    <col min="26" max="26" width="60.7109375" style="1" customWidth="1"/>
    <col min="27" max="36" width="67.7109375" customWidth="1"/>
    <col min="38" max="38" width="18.7109375" customWidth="1"/>
    <col min="39" max="39" width="20.42578125" customWidth="1"/>
    <col min="40" max="64" width="30.7109375" customWidth="1"/>
  </cols>
  <sheetData>
    <row r="1" spans="1:64" ht="30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2" t="s">
        <v>36</v>
      </c>
      <c r="AL1" s="2" t="s">
        <v>37</v>
      </c>
      <c r="AM1" s="2" t="s">
        <v>38</v>
      </c>
      <c r="AN1" s="14" t="s">
        <v>39</v>
      </c>
      <c r="AO1" s="14" t="s">
        <v>40</v>
      </c>
      <c r="AP1" s="14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</row>
    <row r="2" spans="1:64" ht="80.099999999999994" customHeight="1" thickBot="1" x14ac:dyDescent="0.3">
      <c r="A2" s="2" t="s">
        <v>64</v>
      </c>
      <c r="B2" s="2" t="s">
        <v>98</v>
      </c>
      <c r="C2" s="2" t="s">
        <v>99</v>
      </c>
      <c r="D2" s="15" t="s">
        <v>100</v>
      </c>
      <c r="E2" s="22"/>
      <c r="F2" s="19" t="s">
        <v>103</v>
      </c>
      <c r="G2" s="18">
        <f>LEN(TablaPublicaciones[[#This Row],[Título]])</f>
        <v>56</v>
      </c>
      <c r="H2" s="15" t="s">
        <v>137</v>
      </c>
      <c r="I2" s="17">
        <v>15</v>
      </c>
      <c r="J2" s="2" t="s">
        <v>168</v>
      </c>
      <c r="K2" s="2" t="s">
        <v>169</v>
      </c>
      <c r="L2" s="2" t="s">
        <v>198</v>
      </c>
      <c r="M2" s="2">
        <v>0</v>
      </c>
      <c r="N2" s="2" t="s">
        <v>201</v>
      </c>
      <c r="O2" s="2" t="s">
        <v>202</v>
      </c>
      <c r="P2" s="2" t="s">
        <v>203</v>
      </c>
      <c r="Q2" s="17"/>
      <c r="R2" s="2" t="s">
        <v>204</v>
      </c>
      <c r="S2" s="2"/>
      <c r="T2" s="2" t="s">
        <v>203</v>
      </c>
      <c r="U2" s="2" t="s">
        <v>205</v>
      </c>
      <c r="V2" s="2" t="s">
        <v>206</v>
      </c>
      <c r="W2" s="20">
        <v>45611.821261574078</v>
      </c>
      <c r="X2" s="20">
        <v>46134.96162037037</v>
      </c>
      <c r="Y2" s="21"/>
      <c r="Z2" s="15"/>
      <c r="AA2" s="2" t="s">
        <v>209</v>
      </c>
      <c r="AB2" s="2"/>
      <c r="AC2" s="2"/>
      <c r="AD2" s="2"/>
      <c r="AE2" s="2"/>
      <c r="AF2" s="2"/>
      <c r="AG2" s="2"/>
      <c r="AH2" s="2"/>
      <c r="AI2" s="2"/>
      <c r="AJ2" s="2"/>
      <c r="AK2" s="2">
        <v>0</v>
      </c>
      <c r="AL2" s="2">
        <v>0</v>
      </c>
      <c r="AM2" s="20"/>
      <c r="AN2" s="2"/>
      <c r="AO2" s="24"/>
      <c r="AP2" s="2"/>
      <c r="AQ2" s="4" t="s">
        <v>255</v>
      </c>
      <c r="AR2" s="4" t="s">
        <v>169</v>
      </c>
      <c r="AS2" s="5" t="s">
        <v>265</v>
      </c>
      <c r="AT2" s="6" t="s">
        <v>291</v>
      </c>
      <c r="AU2" s="6" t="s">
        <v>292</v>
      </c>
      <c r="AV2" s="6" t="s">
        <v>293</v>
      </c>
      <c r="AW2" s="6" t="s">
        <v>316</v>
      </c>
      <c r="AX2" s="6" t="s">
        <v>334</v>
      </c>
      <c r="AY2" s="6" t="s">
        <v>341</v>
      </c>
      <c r="AZ2" s="5" t="s">
        <v>344</v>
      </c>
      <c r="BA2" s="23"/>
      <c r="BB2" s="6" t="s">
        <v>342</v>
      </c>
      <c r="BC2" s="7" t="s">
        <v>347</v>
      </c>
      <c r="BD2" s="2"/>
      <c r="BE2" s="2"/>
      <c r="BF2" s="2"/>
      <c r="BG2" s="2"/>
      <c r="BH2" s="2"/>
      <c r="BI2" s="2"/>
      <c r="BJ2" s="2"/>
      <c r="BK2" s="2"/>
      <c r="BL2" s="2"/>
    </row>
    <row r="3" spans="1:64" ht="80.099999999999994" customHeight="1" thickBot="1" x14ac:dyDescent="0.3">
      <c r="A3" s="2" t="s">
        <v>65</v>
      </c>
      <c r="B3" s="2" t="s">
        <v>98</v>
      </c>
      <c r="C3" s="2" t="s">
        <v>99</v>
      </c>
      <c r="D3" s="15" t="s">
        <v>100</v>
      </c>
      <c r="E3" s="22"/>
      <c r="F3" s="19" t="s">
        <v>104</v>
      </c>
      <c r="G3" s="18">
        <f>LEN(TablaPublicaciones[[#This Row],[Título]])</f>
        <v>45</v>
      </c>
      <c r="H3" s="15" t="s">
        <v>138</v>
      </c>
      <c r="I3" s="17">
        <v>15</v>
      </c>
      <c r="J3" s="2" t="s">
        <v>168</v>
      </c>
      <c r="K3" s="2" t="s">
        <v>170</v>
      </c>
      <c r="L3" s="2" t="s">
        <v>198</v>
      </c>
      <c r="M3" s="2">
        <v>0</v>
      </c>
      <c r="N3" s="2" t="s">
        <v>201</v>
      </c>
      <c r="O3" s="2" t="s">
        <v>202</v>
      </c>
      <c r="P3" s="2" t="s">
        <v>203</v>
      </c>
      <c r="Q3" s="17"/>
      <c r="R3" s="2" t="s">
        <v>204</v>
      </c>
      <c r="S3" s="2"/>
      <c r="T3" s="2" t="s">
        <v>203</v>
      </c>
      <c r="U3" s="2" t="s">
        <v>205</v>
      </c>
      <c r="V3" s="2" t="s">
        <v>206</v>
      </c>
      <c r="W3" s="20">
        <v>45611.821388888886</v>
      </c>
      <c r="X3" s="20">
        <v>46134.96162037037</v>
      </c>
      <c r="Y3" s="21"/>
      <c r="Z3" s="15"/>
      <c r="AA3" s="2" t="s">
        <v>210</v>
      </c>
      <c r="AB3" s="2"/>
      <c r="AC3" s="2"/>
      <c r="AD3" s="2"/>
      <c r="AE3" s="2"/>
      <c r="AF3" s="2"/>
      <c r="AG3" s="2"/>
      <c r="AH3" s="2"/>
      <c r="AI3" s="2"/>
      <c r="AJ3" s="2"/>
      <c r="AK3" s="2">
        <v>2</v>
      </c>
      <c r="AL3" s="2">
        <v>0</v>
      </c>
      <c r="AM3" s="20"/>
      <c r="AN3" s="2"/>
      <c r="AO3" s="24"/>
      <c r="AP3" s="2"/>
      <c r="AQ3" s="4" t="s">
        <v>255</v>
      </c>
      <c r="AR3" s="4" t="s">
        <v>170</v>
      </c>
      <c r="AS3" s="5" t="s">
        <v>266</v>
      </c>
      <c r="AT3" s="6"/>
      <c r="AU3" s="6"/>
      <c r="AV3" s="6" t="s">
        <v>294</v>
      </c>
      <c r="AW3" s="6" t="s">
        <v>317</v>
      </c>
      <c r="AX3" s="6" t="s">
        <v>334</v>
      </c>
      <c r="AY3" s="6" t="s">
        <v>341</v>
      </c>
      <c r="AZ3" s="5" t="s">
        <v>344</v>
      </c>
      <c r="BA3" s="23"/>
      <c r="BB3" s="6" t="s">
        <v>342</v>
      </c>
      <c r="BC3" s="7" t="s">
        <v>347</v>
      </c>
      <c r="BD3" s="2"/>
      <c r="BE3" s="2"/>
      <c r="BF3" s="2"/>
      <c r="BG3" s="2"/>
      <c r="BH3" s="2"/>
      <c r="BI3" s="2"/>
      <c r="BJ3" s="2"/>
      <c r="BK3" s="2"/>
      <c r="BL3" s="2"/>
    </row>
    <row r="4" spans="1:64" ht="80.099999999999994" customHeight="1" thickBot="1" x14ac:dyDescent="0.3">
      <c r="A4" s="2" t="s">
        <v>66</v>
      </c>
      <c r="B4" s="2" t="s">
        <v>98</v>
      </c>
      <c r="C4" s="2" t="s">
        <v>99</v>
      </c>
      <c r="D4" s="15" t="s">
        <v>100</v>
      </c>
      <c r="E4" s="22"/>
      <c r="F4" s="19" t="s">
        <v>105</v>
      </c>
      <c r="G4" s="18">
        <f>LEN(TablaPublicaciones[[#This Row],[Título]])</f>
        <v>58</v>
      </c>
      <c r="H4" s="15" t="s">
        <v>139</v>
      </c>
      <c r="I4" s="17">
        <v>20</v>
      </c>
      <c r="J4" s="2" t="s">
        <v>168</v>
      </c>
      <c r="K4" s="2" t="s">
        <v>171</v>
      </c>
      <c r="L4" s="2" t="s">
        <v>198</v>
      </c>
      <c r="M4" s="2">
        <v>0</v>
      </c>
      <c r="N4" s="2" t="s">
        <v>201</v>
      </c>
      <c r="O4" s="2" t="s">
        <v>202</v>
      </c>
      <c r="P4" s="2" t="s">
        <v>203</v>
      </c>
      <c r="Q4" s="17"/>
      <c r="R4" s="2" t="s">
        <v>204</v>
      </c>
      <c r="S4" s="2"/>
      <c r="T4" s="2" t="s">
        <v>203</v>
      </c>
      <c r="U4" s="2" t="s">
        <v>205</v>
      </c>
      <c r="V4" s="2" t="s">
        <v>206</v>
      </c>
      <c r="W4" s="20">
        <v>45611.821331018517</v>
      </c>
      <c r="X4" s="20">
        <v>46134.96162037037</v>
      </c>
      <c r="Y4" s="21"/>
      <c r="Z4" s="15"/>
      <c r="AA4" s="2" t="s">
        <v>211</v>
      </c>
      <c r="AB4" s="2"/>
      <c r="AC4" s="2"/>
      <c r="AD4" s="2"/>
      <c r="AE4" s="2"/>
      <c r="AF4" s="2"/>
      <c r="AG4" s="2"/>
      <c r="AH4" s="2"/>
      <c r="AI4" s="2"/>
      <c r="AJ4" s="2"/>
      <c r="AK4" s="2">
        <v>0</v>
      </c>
      <c r="AL4" s="2">
        <v>0</v>
      </c>
      <c r="AM4" s="20"/>
      <c r="AN4" s="2"/>
      <c r="AO4" s="24"/>
      <c r="AP4" s="2"/>
      <c r="AQ4" s="4" t="s">
        <v>255</v>
      </c>
      <c r="AR4" s="4" t="s">
        <v>171</v>
      </c>
      <c r="AS4" s="5" t="s">
        <v>267</v>
      </c>
      <c r="AT4" s="6" t="s">
        <v>291</v>
      </c>
      <c r="AU4" s="6" t="s">
        <v>292</v>
      </c>
      <c r="AV4" s="6" t="s">
        <v>295</v>
      </c>
      <c r="AW4" s="6" t="s">
        <v>318</v>
      </c>
      <c r="AX4" s="6" t="s">
        <v>335</v>
      </c>
      <c r="AY4" s="6" t="s">
        <v>341</v>
      </c>
      <c r="AZ4" s="5" t="s">
        <v>344</v>
      </c>
      <c r="BA4" s="23"/>
      <c r="BB4" s="6" t="s">
        <v>342</v>
      </c>
      <c r="BC4" s="7" t="s">
        <v>347</v>
      </c>
      <c r="BD4" s="2"/>
      <c r="BE4" s="2"/>
      <c r="BF4" s="2"/>
      <c r="BG4" s="2"/>
      <c r="BH4" s="2"/>
      <c r="BI4" s="2"/>
      <c r="BJ4" s="2"/>
      <c r="BK4" s="2"/>
      <c r="BL4" s="2"/>
    </row>
    <row r="5" spans="1:64" ht="80.099999999999994" customHeight="1" thickBot="1" x14ac:dyDescent="0.3">
      <c r="A5" s="2" t="s">
        <v>67</v>
      </c>
      <c r="B5" s="2" t="s">
        <v>98</v>
      </c>
      <c r="C5" s="2" t="s">
        <v>99</v>
      </c>
      <c r="D5" s="15" t="s">
        <v>100</v>
      </c>
      <c r="E5" s="22"/>
      <c r="F5" s="19" t="s">
        <v>106</v>
      </c>
      <c r="G5" s="18">
        <f>LEN(TablaPublicaciones[[#This Row],[Título]])</f>
        <v>43</v>
      </c>
      <c r="H5" s="15" t="s">
        <v>349</v>
      </c>
      <c r="I5" s="17">
        <v>12</v>
      </c>
      <c r="J5" s="2" t="s">
        <v>168</v>
      </c>
      <c r="K5" s="2" t="s">
        <v>172</v>
      </c>
      <c r="L5" s="2" t="s">
        <v>199</v>
      </c>
      <c r="M5" s="2">
        <v>1</v>
      </c>
      <c r="N5" s="2" t="s">
        <v>201</v>
      </c>
      <c r="O5" s="2" t="s">
        <v>202</v>
      </c>
      <c r="P5" s="2" t="s">
        <v>203</v>
      </c>
      <c r="Q5" s="17"/>
      <c r="R5" s="2" t="s">
        <v>204</v>
      </c>
      <c r="S5" s="2"/>
      <c r="T5" s="2" t="s">
        <v>203</v>
      </c>
      <c r="U5" s="2" t="s">
        <v>205</v>
      </c>
      <c r="V5" s="2" t="s">
        <v>206</v>
      </c>
      <c r="W5" s="20">
        <v>45611.820868055554</v>
      </c>
      <c r="X5" s="20">
        <v>46134.710833333331</v>
      </c>
      <c r="Y5" s="21"/>
      <c r="Z5" s="15"/>
      <c r="AA5" s="2" t="s">
        <v>212</v>
      </c>
      <c r="AB5" s="2"/>
      <c r="AC5" s="2"/>
      <c r="AD5" s="2"/>
      <c r="AE5" s="2"/>
      <c r="AF5" s="2"/>
      <c r="AG5" s="2"/>
      <c r="AH5" s="2"/>
      <c r="AI5" s="2"/>
      <c r="AJ5" s="2"/>
      <c r="AK5" s="2">
        <v>1</v>
      </c>
      <c r="AL5" s="2">
        <v>0</v>
      </c>
      <c r="AM5" s="20"/>
      <c r="AN5" s="2"/>
      <c r="AO5" s="24"/>
      <c r="AP5" s="2"/>
      <c r="AQ5" s="4" t="s">
        <v>255</v>
      </c>
      <c r="AR5" s="4" t="s">
        <v>172</v>
      </c>
      <c r="AS5" s="5" t="s">
        <v>268</v>
      </c>
      <c r="AT5" s="6" t="s">
        <v>291</v>
      </c>
      <c r="AU5" s="6" t="s">
        <v>292</v>
      </c>
      <c r="AV5" s="6" t="s">
        <v>296</v>
      </c>
      <c r="AW5" s="6" t="s">
        <v>319</v>
      </c>
      <c r="AX5" s="6" t="s">
        <v>334</v>
      </c>
      <c r="AY5" s="6" t="s">
        <v>341</v>
      </c>
      <c r="AZ5" s="5" t="s">
        <v>344</v>
      </c>
      <c r="BA5" s="23"/>
      <c r="BB5" s="6" t="s">
        <v>342</v>
      </c>
      <c r="BC5" s="7" t="s">
        <v>347</v>
      </c>
      <c r="BD5" s="2"/>
      <c r="BE5" s="2"/>
      <c r="BF5" s="2"/>
      <c r="BG5" s="2"/>
      <c r="BH5" s="2"/>
      <c r="BI5" s="2"/>
      <c r="BJ5" s="2"/>
      <c r="BK5" s="2"/>
      <c r="BL5" s="2"/>
    </row>
    <row r="6" spans="1:64" ht="80.099999999999994" customHeight="1" thickBot="1" x14ac:dyDescent="0.3">
      <c r="A6" s="2" t="s">
        <v>68</v>
      </c>
      <c r="B6" s="2" t="s">
        <v>98</v>
      </c>
      <c r="C6" s="2" t="s">
        <v>99</v>
      </c>
      <c r="D6" s="15" t="s">
        <v>100</v>
      </c>
      <c r="E6" s="22"/>
      <c r="F6" s="19" t="s">
        <v>107</v>
      </c>
      <c r="G6" s="18">
        <f>LEN(TablaPublicaciones[[#This Row],[Título]])</f>
        <v>46</v>
      </c>
      <c r="H6" s="15" t="s">
        <v>140</v>
      </c>
      <c r="I6" s="17">
        <v>12</v>
      </c>
      <c r="J6" s="2" t="s">
        <v>168</v>
      </c>
      <c r="K6" s="2" t="s">
        <v>173</v>
      </c>
      <c r="L6" s="2" t="s">
        <v>198</v>
      </c>
      <c r="M6" s="2">
        <v>0</v>
      </c>
      <c r="N6" s="2" t="s">
        <v>201</v>
      </c>
      <c r="O6" s="2" t="s">
        <v>202</v>
      </c>
      <c r="P6" s="2" t="s">
        <v>203</v>
      </c>
      <c r="Q6" s="17"/>
      <c r="R6" s="2" t="s">
        <v>204</v>
      </c>
      <c r="S6" s="2"/>
      <c r="T6" s="2" t="s">
        <v>203</v>
      </c>
      <c r="U6" s="2" t="s">
        <v>205</v>
      </c>
      <c r="V6" s="2" t="s">
        <v>206</v>
      </c>
      <c r="W6" s="20">
        <v>45611.820937500001</v>
      </c>
      <c r="X6" s="20">
        <v>46134.961655092593</v>
      </c>
      <c r="Y6" s="21"/>
      <c r="Z6" s="15"/>
      <c r="AA6" s="2" t="s">
        <v>213</v>
      </c>
      <c r="AB6" s="2"/>
      <c r="AC6" s="2"/>
      <c r="AD6" s="2"/>
      <c r="AE6" s="2"/>
      <c r="AF6" s="2"/>
      <c r="AG6" s="2"/>
      <c r="AH6" s="2"/>
      <c r="AI6" s="2"/>
      <c r="AJ6" s="2"/>
      <c r="AK6" s="2">
        <v>0</v>
      </c>
      <c r="AL6" s="2">
        <v>0</v>
      </c>
      <c r="AM6" s="20"/>
      <c r="AN6" s="2"/>
      <c r="AO6" s="24"/>
      <c r="AP6" s="2"/>
      <c r="AQ6" s="4" t="s">
        <v>255</v>
      </c>
      <c r="AR6" s="4" t="s">
        <v>173</v>
      </c>
      <c r="AS6" s="5" t="s">
        <v>269</v>
      </c>
      <c r="AT6" s="6" t="s">
        <v>291</v>
      </c>
      <c r="AU6" s="6" t="s">
        <v>292</v>
      </c>
      <c r="AV6" s="6" t="s">
        <v>297</v>
      </c>
      <c r="AW6" s="6" t="s">
        <v>320</v>
      </c>
      <c r="AX6" s="6" t="s">
        <v>336</v>
      </c>
      <c r="AY6" s="6" t="s">
        <v>341</v>
      </c>
      <c r="AZ6" s="5" t="s">
        <v>344</v>
      </c>
      <c r="BA6" s="23"/>
      <c r="BB6" s="6" t="s">
        <v>342</v>
      </c>
      <c r="BC6" s="7" t="s">
        <v>347</v>
      </c>
      <c r="BD6" s="2"/>
      <c r="BE6" s="2"/>
      <c r="BF6" s="2"/>
      <c r="BG6" s="2"/>
      <c r="BH6" s="2"/>
      <c r="BI6" s="2"/>
      <c r="BJ6" s="2"/>
      <c r="BK6" s="2"/>
      <c r="BL6" s="2"/>
    </row>
    <row r="7" spans="1:64" ht="80.099999999999994" customHeight="1" thickBot="1" x14ac:dyDescent="0.3">
      <c r="A7" s="2" t="s">
        <v>69</v>
      </c>
      <c r="B7" s="2" t="s">
        <v>98</v>
      </c>
      <c r="C7" s="2" t="s">
        <v>99</v>
      </c>
      <c r="D7" s="15" t="s">
        <v>100</v>
      </c>
      <c r="E7" s="22"/>
      <c r="F7" s="19" t="s">
        <v>108</v>
      </c>
      <c r="G7" s="18">
        <f>LEN(TablaPublicaciones[[#This Row],[Título]])</f>
        <v>55</v>
      </c>
      <c r="H7" s="15" t="s">
        <v>141</v>
      </c>
      <c r="I7" s="17">
        <v>20</v>
      </c>
      <c r="J7" s="2" t="s">
        <v>168</v>
      </c>
      <c r="K7" s="2" t="s">
        <v>174</v>
      </c>
      <c r="L7" s="2" t="s">
        <v>199</v>
      </c>
      <c r="M7" s="2">
        <v>1</v>
      </c>
      <c r="N7" s="2" t="s">
        <v>201</v>
      </c>
      <c r="O7" s="2" t="s">
        <v>202</v>
      </c>
      <c r="P7" s="2" t="s">
        <v>203</v>
      </c>
      <c r="Q7" s="17"/>
      <c r="R7" s="2" t="s">
        <v>204</v>
      </c>
      <c r="S7" s="2"/>
      <c r="T7" s="2" t="s">
        <v>203</v>
      </c>
      <c r="U7" s="2" t="s">
        <v>205</v>
      </c>
      <c r="V7" s="2" t="s">
        <v>206</v>
      </c>
      <c r="W7" s="20">
        <v>45611.821643518517</v>
      </c>
      <c r="X7" s="20">
        <v>46134.710833333331</v>
      </c>
      <c r="Y7" s="21"/>
      <c r="Z7" s="15"/>
      <c r="AA7" s="2" t="s">
        <v>214</v>
      </c>
      <c r="AB7" s="2"/>
      <c r="AC7" s="2"/>
      <c r="AD7" s="2"/>
      <c r="AE7" s="2"/>
      <c r="AF7" s="2"/>
      <c r="AG7" s="2"/>
      <c r="AH7" s="2"/>
      <c r="AI7" s="2"/>
      <c r="AJ7" s="2"/>
      <c r="AK7" s="2">
        <v>2</v>
      </c>
      <c r="AL7" s="2">
        <v>0</v>
      </c>
      <c r="AM7" s="20"/>
      <c r="AN7" s="2"/>
      <c r="AO7" s="24"/>
      <c r="AP7" s="2"/>
      <c r="AQ7" s="4" t="s">
        <v>255</v>
      </c>
      <c r="AR7" s="4" t="s">
        <v>174</v>
      </c>
      <c r="AS7" s="5" t="s">
        <v>270</v>
      </c>
      <c r="AT7" s="6" t="s">
        <v>291</v>
      </c>
      <c r="AU7" s="6" t="s">
        <v>292</v>
      </c>
      <c r="AV7" s="6" t="s">
        <v>298</v>
      </c>
      <c r="AW7" s="6" t="s">
        <v>321</v>
      </c>
      <c r="AX7" s="6" t="s">
        <v>336</v>
      </c>
      <c r="AY7" s="6" t="s">
        <v>341</v>
      </c>
      <c r="AZ7" s="5" t="s">
        <v>344</v>
      </c>
      <c r="BA7" s="23"/>
      <c r="BB7" s="6" t="s">
        <v>342</v>
      </c>
      <c r="BC7" s="7" t="s">
        <v>347</v>
      </c>
      <c r="BD7" s="2"/>
      <c r="BE7" s="2"/>
      <c r="BF7" s="2"/>
      <c r="BG7" s="2"/>
      <c r="BH7" s="2"/>
      <c r="BI7" s="2"/>
      <c r="BJ7" s="2"/>
      <c r="BK7" s="2"/>
      <c r="BL7" s="2"/>
    </row>
    <row r="8" spans="1:64" ht="80.099999999999994" customHeight="1" thickBot="1" x14ac:dyDescent="0.3">
      <c r="A8" s="2" t="s">
        <v>70</v>
      </c>
      <c r="B8" s="2" t="s">
        <v>98</v>
      </c>
      <c r="C8" s="2" t="s">
        <v>99</v>
      </c>
      <c r="D8" s="15" t="s">
        <v>100</v>
      </c>
      <c r="E8" s="22"/>
      <c r="F8" s="19" t="s">
        <v>109</v>
      </c>
      <c r="G8" s="18">
        <f>LEN(TablaPublicaciones[[#This Row],[Título]])</f>
        <v>38</v>
      </c>
      <c r="H8" s="15" t="s">
        <v>142</v>
      </c>
      <c r="I8" s="17">
        <v>13</v>
      </c>
      <c r="J8" s="2" t="s">
        <v>168</v>
      </c>
      <c r="K8" s="2" t="s">
        <v>175</v>
      </c>
      <c r="L8" s="2" t="s">
        <v>198</v>
      </c>
      <c r="M8" s="2">
        <v>0</v>
      </c>
      <c r="N8" s="2" t="s">
        <v>201</v>
      </c>
      <c r="O8" s="2" t="s">
        <v>202</v>
      </c>
      <c r="P8" s="2" t="s">
        <v>203</v>
      </c>
      <c r="Q8" s="17"/>
      <c r="R8" s="2" t="s">
        <v>204</v>
      </c>
      <c r="S8" s="2"/>
      <c r="T8" s="2" t="s">
        <v>203</v>
      </c>
      <c r="U8" s="2" t="s">
        <v>205</v>
      </c>
      <c r="V8" s="2" t="s">
        <v>206</v>
      </c>
      <c r="W8" s="20">
        <v>45611.820856481485</v>
      </c>
      <c r="X8" s="20">
        <v>46134.96166666667</v>
      </c>
      <c r="Y8" s="21"/>
      <c r="Z8" s="15"/>
      <c r="AA8" s="2" t="s">
        <v>215</v>
      </c>
      <c r="AB8" s="2"/>
      <c r="AC8" s="2"/>
      <c r="AD8" s="2"/>
      <c r="AE8" s="2"/>
      <c r="AF8" s="2"/>
      <c r="AG8" s="2"/>
      <c r="AH8" s="2"/>
      <c r="AI8" s="2"/>
      <c r="AJ8" s="2"/>
      <c r="AK8" s="2">
        <v>0</v>
      </c>
      <c r="AL8" s="2">
        <v>0</v>
      </c>
      <c r="AM8" s="20"/>
      <c r="AN8" s="2"/>
      <c r="AO8" s="24"/>
      <c r="AP8" s="2"/>
      <c r="AQ8" s="4" t="s">
        <v>255</v>
      </c>
      <c r="AR8" s="4" t="s">
        <v>175</v>
      </c>
      <c r="AS8" s="5" t="s">
        <v>271</v>
      </c>
      <c r="AT8" s="6" t="s">
        <v>291</v>
      </c>
      <c r="AU8" s="6" t="s">
        <v>292</v>
      </c>
      <c r="AV8" s="6" t="s">
        <v>299</v>
      </c>
      <c r="AW8" s="6" t="s">
        <v>322</v>
      </c>
      <c r="AX8" s="6" t="s">
        <v>337</v>
      </c>
      <c r="AY8" s="6" t="s">
        <v>341</v>
      </c>
      <c r="AZ8" s="5" t="s">
        <v>344</v>
      </c>
      <c r="BA8" s="23"/>
      <c r="BB8" s="6" t="s">
        <v>342</v>
      </c>
      <c r="BC8" s="7" t="s">
        <v>347</v>
      </c>
      <c r="BD8" s="2"/>
      <c r="BE8" s="2"/>
      <c r="BF8" s="2"/>
      <c r="BG8" s="2"/>
      <c r="BH8" s="2"/>
      <c r="BI8" s="2"/>
      <c r="BJ8" s="2"/>
      <c r="BK8" s="2"/>
      <c r="BL8" s="2"/>
    </row>
    <row r="9" spans="1:64" ht="80.099999999999994" customHeight="1" thickBot="1" x14ac:dyDescent="0.3">
      <c r="A9" s="2" t="s">
        <v>71</v>
      </c>
      <c r="B9" s="2" t="s">
        <v>98</v>
      </c>
      <c r="C9" s="2" t="s">
        <v>99</v>
      </c>
      <c r="D9" s="15" t="s">
        <v>100</v>
      </c>
      <c r="E9" s="22"/>
      <c r="F9" s="19" t="s">
        <v>110</v>
      </c>
      <c r="G9" s="18">
        <f>LEN(TablaPublicaciones[[#This Row],[Título]])</f>
        <v>49</v>
      </c>
      <c r="H9" s="15" t="s">
        <v>143</v>
      </c>
      <c r="I9" s="17">
        <v>15</v>
      </c>
      <c r="J9" s="2" t="s">
        <v>168</v>
      </c>
      <c r="K9" s="2" t="s">
        <v>176</v>
      </c>
      <c r="L9" s="2" t="s">
        <v>198</v>
      </c>
      <c r="M9" s="2">
        <v>0</v>
      </c>
      <c r="N9" s="2" t="s">
        <v>201</v>
      </c>
      <c r="O9" s="2" t="s">
        <v>202</v>
      </c>
      <c r="P9" s="2" t="s">
        <v>203</v>
      </c>
      <c r="Q9" s="17"/>
      <c r="R9" s="2" t="s">
        <v>204</v>
      </c>
      <c r="S9" s="2"/>
      <c r="T9" s="2" t="s">
        <v>203</v>
      </c>
      <c r="U9" s="2" t="s">
        <v>205</v>
      </c>
      <c r="V9" s="2" t="s">
        <v>206</v>
      </c>
      <c r="W9" s="20">
        <v>45611.821319444447</v>
      </c>
      <c r="X9" s="20">
        <v>46134.96166666667</v>
      </c>
      <c r="Y9" s="21"/>
      <c r="Z9" s="15"/>
      <c r="AA9" s="2" t="s">
        <v>216</v>
      </c>
      <c r="AB9" s="2"/>
      <c r="AC9" s="2"/>
      <c r="AD9" s="2"/>
      <c r="AE9" s="2"/>
      <c r="AF9" s="2"/>
      <c r="AG9" s="2"/>
      <c r="AH9" s="2"/>
      <c r="AI9" s="2"/>
      <c r="AJ9" s="2"/>
      <c r="AK9" s="2">
        <v>0</v>
      </c>
      <c r="AL9" s="2">
        <v>0</v>
      </c>
      <c r="AM9" s="20"/>
      <c r="AN9" s="2"/>
      <c r="AO9" s="24"/>
      <c r="AP9" s="2"/>
      <c r="AQ9" s="4" t="s">
        <v>255</v>
      </c>
      <c r="AR9" s="4" t="s">
        <v>176</v>
      </c>
      <c r="AS9" s="5" t="s">
        <v>272</v>
      </c>
      <c r="AT9" s="6" t="s">
        <v>291</v>
      </c>
      <c r="AU9" s="6" t="s">
        <v>292</v>
      </c>
      <c r="AV9" s="6" t="s">
        <v>294</v>
      </c>
      <c r="AW9" s="6" t="s">
        <v>317</v>
      </c>
      <c r="AX9" s="6" t="s">
        <v>334</v>
      </c>
      <c r="AY9" s="6" t="s">
        <v>341</v>
      </c>
      <c r="AZ9" s="5" t="s">
        <v>344</v>
      </c>
      <c r="BA9" s="23"/>
      <c r="BB9" s="6" t="s">
        <v>342</v>
      </c>
      <c r="BC9" s="7" t="s">
        <v>347</v>
      </c>
      <c r="BD9" s="2"/>
      <c r="BE9" s="2"/>
      <c r="BF9" s="2"/>
      <c r="BG9" s="2"/>
      <c r="BH9" s="2"/>
      <c r="BI9" s="2"/>
      <c r="BJ9" s="2"/>
      <c r="BK9" s="2"/>
      <c r="BL9" s="2"/>
    </row>
    <row r="10" spans="1:64" ht="80.099999999999994" customHeight="1" thickBot="1" x14ac:dyDescent="0.3">
      <c r="A10" s="2" t="s">
        <v>72</v>
      </c>
      <c r="B10" s="2" t="s">
        <v>98</v>
      </c>
      <c r="C10" s="2" t="s">
        <v>99</v>
      </c>
      <c r="D10" s="15" t="s">
        <v>100</v>
      </c>
      <c r="E10" s="22"/>
      <c r="F10" s="19" t="s">
        <v>111</v>
      </c>
      <c r="G10" s="18">
        <f>LEN(TablaPublicaciones[[#This Row],[Título]])</f>
        <v>36</v>
      </c>
      <c r="H10" s="15" t="s">
        <v>144</v>
      </c>
      <c r="I10" s="17">
        <v>17.5</v>
      </c>
      <c r="J10" s="2" t="s">
        <v>168</v>
      </c>
      <c r="K10" s="2" t="s">
        <v>177</v>
      </c>
      <c r="L10" s="2" t="s">
        <v>198</v>
      </c>
      <c r="M10" s="2">
        <v>0</v>
      </c>
      <c r="N10" s="2" t="s">
        <v>201</v>
      </c>
      <c r="O10" s="2" t="s">
        <v>202</v>
      </c>
      <c r="P10" s="2" t="s">
        <v>203</v>
      </c>
      <c r="Q10" s="17"/>
      <c r="R10" s="2" t="s">
        <v>204</v>
      </c>
      <c r="S10" s="2"/>
      <c r="T10" s="2" t="s">
        <v>203</v>
      </c>
      <c r="U10" s="2" t="s">
        <v>205</v>
      </c>
      <c r="V10" s="2" t="s">
        <v>206</v>
      </c>
      <c r="W10" s="20">
        <v>45611.821111111109</v>
      </c>
      <c r="X10" s="20">
        <v>46134.961678240739</v>
      </c>
      <c r="Y10" s="21"/>
      <c r="Z10" s="15"/>
      <c r="AA10" s="2" t="s">
        <v>217</v>
      </c>
      <c r="AB10" s="2"/>
      <c r="AC10" s="2"/>
      <c r="AD10" s="2"/>
      <c r="AE10" s="2"/>
      <c r="AF10" s="2"/>
      <c r="AG10" s="2"/>
      <c r="AH10" s="2"/>
      <c r="AI10" s="2"/>
      <c r="AJ10" s="2"/>
      <c r="AK10" s="2">
        <v>0</v>
      </c>
      <c r="AL10" s="2">
        <v>0</v>
      </c>
      <c r="AM10" s="20"/>
      <c r="AN10" s="2"/>
      <c r="AO10" s="24"/>
      <c r="AP10" s="2"/>
      <c r="AQ10" s="4" t="s">
        <v>255</v>
      </c>
      <c r="AR10" s="4" t="s">
        <v>177</v>
      </c>
      <c r="AS10" s="5" t="s">
        <v>273</v>
      </c>
      <c r="AT10" s="6"/>
      <c r="AU10" s="6"/>
      <c r="AV10" s="6" t="s">
        <v>300</v>
      </c>
      <c r="AW10" s="6" t="s">
        <v>322</v>
      </c>
      <c r="AX10" s="6" t="s">
        <v>336</v>
      </c>
      <c r="AY10" s="6" t="s">
        <v>341</v>
      </c>
      <c r="AZ10" s="5" t="s">
        <v>344</v>
      </c>
      <c r="BA10" s="23"/>
      <c r="BB10" s="6" t="s">
        <v>342</v>
      </c>
      <c r="BC10" s="7" t="s">
        <v>347</v>
      </c>
      <c r="BD10" s="2"/>
      <c r="BE10" s="2"/>
      <c r="BF10" s="2"/>
      <c r="BG10" s="2"/>
      <c r="BH10" s="2"/>
      <c r="BI10" s="2"/>
      <c r="BJ10" s="2"/>
      <c r="BK10" s="2"/>
      <c r="BL10" s="2"/>
    </row>
    <row r="11" spans="1:64" ht="80.099999999999994" customHeight="1" thickBot="1" x14ac:dyDescent="0.3">
      <c r="A11" s="2" t="s">
        <v>73</v>
      </c>
      <c r="B11" s="2" t="s">
        <v>98</v>
      </c>
      <c r="C11" s="2" t="s">
        <v>99</v>
      </c>
      <c r="D11" s="15" t="s">
        <v>100</v>
      </c>
      <c r="E11" s="22"/>
      <c r="F11" s="19" t="s">
        <v>112</v>
      </c>
      <c r="G11" s="18">
        <f>LEN(TablaPublicaciones[[#This Row],[Título]])</f>
        <v>41</v>
      </c>
      <c r="H11" s="15" t="s">
        <v>145</v>
      </c>
      <c r="I11" s="17">
        <v>20</v>
      </c>
      <c r="J11" s="2" t="s">
        <v>168</v>
      </c>
      <c r="K11" s="2" t="s">
        <v>178</v>
      </c>
      <c r="L11" s="2" t="s">
        <v>198</v>
      </c>
      <c r="M11" s="2">
        <v>0</v>
      </c>
      <c r="N11" s="2" t="s">
        <v>201</v>
      </c>
      <c r="O11" s="2" t="s">
        <v>202</v>
      </c>
      <c r="P11" s="2" t="s">
        <v>203</v>
      </c>
      <c r="Q11" s="17"/>
      <c r="R11" s="2" t="s">
        <v>204</v>
      </c>
      <c r="S11" s="2"/>
      <c r="T11" s="2" t="s">
        <v>203</v>
      </c>
      <c r="U11" s="2" t="s">
        <v>205</v>
      </c>
      <c r="V11" s="2" t="s">
        <v>206</v>
      </c>
      <c r="W11" s="20">
        <v>45611.821145833332</v>
      </c>
      <c r="X11" s="20">
        <v>46134.961689814816</v>
      </c>
      <c r="Y11" s="21"/>
      <c r="Z11" s="15"/>
      <c r="AA11" s="2" t="s">
        <v>218</v>
      </c>
      <c r="AB11" s="2"/>
      <c r="AC11" s="2"/>
      <c r="AD11" s="2"/>
      <c r="AE11" s="2"/>
      <c r="AF11" s="2"/>
      <c r="AG11" s="2"/>
      <c r="AH11" s="2"/>
      <c r="AI11" s="2"/>
      <c r="AJ11" s="2"/>
      <c r="AK11" s="2">
        <v>0</v>
      </c>
      <c r="AL11" s="2">
        <v>0</v>
      </c>
      <c r="AM11" s="20"/>
      <c r="AN11" s="2"/>
      <c r="AO11" s="24"/>
      <c r="AP11" s="2"/>
      <c r="AQ11" s="4" t="s">
        <v>255</v>
      </c>
      <c r="AR11" s="4" t="s">
        <v>178</v>
      </c>
      <c r="AS11" s="5" t="s">
        <v>274</v>
      </c>
      <c r="AT11" s="6" t="s">
        <v>291</v>
      </c>
      <c r="AU11" s="6" t="s">
        <v>292</v>
      </c>
      <c r="AV11" s="6" t="s">
        <v>301</v>
      </c>
      <c r="AW11" s="6" t="s">
        <v>323</v>
      </c>
      <c r="AX11" s="6" t="s">
        <v>336</v>
      </c>
      <c r="AY11" s="6" t="s">
        <v>341</v>
      </c>
      <c r="AZ11" s="5" t="s">
        <v>344</v>
      </c>
      <c r="BA11" s="23"/>
      <c r="BB11" s="6" t="s">
        <v>342</v>
      </c>
      <c r="BC11" s="7" t="s">
        <v>347</v>
      </c>
      <c r="BD11" s="2"/>
      <c r="BE11" s="2"/>
      <c r="BF11" s="2"/>
      <c r="BG11" s="2"/>
      <c r="BH11" s="2"/>
      <c r="BI11" s="2"/>
      <c r="BJ11" s="2"/>
      <c r="BK11" s="2"/>
      <c r="BL11" s="2"/>
    </row>
    <row r="12" spans="1:64" ht="80.099999999999994" customHeight="1" thickBot="1" x14ac:dyDescent="0.3">
      <c r="A12" s="2" t="s">
        <v>74</v>
      </c>
      <c r="B12" s="2" t="s">
        <v>98</v>
      </c>
      <c r="C12" s="2" t="s">
        <v>99</v>
      </c>
      <c r="D12" s="15" t="s">
        <v>100</v>
      </c>
      <c r="E12" s="22"/>
      <c r="F12" s="19" t="s">
        <v>113</v>
      </c>
      <c r="G12" s="18">
        <f>LEN(TablaPublicaciones[[#This Row],[Título]])</f>
        <v>52</v>
      </c>
      <c r="H12" s="15" t="s">
        <v>146</v>
      </c>
      <c r="I12" s="17">
        <v>14</v>
      </c>
      <c r="J12" s="2" t="s">
        <v>168</v>
      </c>
      <c r="K12" s="2" t="s">
        <v>179</v>
      </c>
      <c r="L12" s="2" t="s">
        <v>198</v>
      </c>
      <c r="M12" s="2">
        <v>0</v>
      </c>
      <c r="N12" s="2" t="s">
        <v>201</v>
      </c>
      <c r="O12" s="2" t="s">
        <v>202</v>
      </c>
      <c r="P12" s="2" t="s">
        <v>203</v>
      </c>
      <c r="Q12" s="17"/>
      <c r="R12" s="2" t="s">
        <v>204</v>
      </c>
      <c r="S12" s="2"/>
      <c r="T12" s="2" t="s">
        <v>203</v>
      </c>
      <c r="U12" s="2" t="s">
        <v>205</v>
      </c>
      <c r="V12" s="2" t="s">
        <v>206</v>
      </c>
      <c r="W12" s="20">
        <v>45611.821435185186</v>
      </c>
      <c r="X12" s="20">
        <v>46134.961689814816</v>
      </c>
      <c r="Y12" s="21"/>
      <c r="Z12" s="15"/>
      <c r="AA12" s="2" t="s">
        <v>219</v>
      </c>
      <c r="AB12" s="2"/>
      <c r="AC12" s="2"/>
      <c r="AD12" s="2"/>
      <c r="AE12" s="2"/>
      <c r="AF12" s="2"/>
      <c r="AG12" s="2"/>
      <c r="AH12" s="2"/>
      <c r="AI12" s="2"/>
      <c r="AJ12" s="2"/>
      <c r="AK12" s="2">
        <v>1</v>
      </c>
      <c r="AL12" s="2">
        <v>0</v>
      </c>
      <c r="AM12" s="20"/>
      <c r="AN12" s="2"/>
      <c r="AO12" s="24"/>
      <c r="AP12" s="2"/>
      <c r="AQ12" s="4" t="s">
        <v>255</v>
      </c>
      <c r="AR12" s="4" t="s">
        <v>259</v>
      </c>
      <c r="AS12" s="5" t="s">
        <v>275</v>
      </c>
      <c r="AT12" s="6"/>
      <c r="AU12" s="6"/>
      <c r="AV12" s="6" t="s">
        <v>302</v>
      </c>
      <c r="AW12" s="6" t="s">
        <v>324</v>
      </c>
      <c r="AX12" s="6" t="s">
        <v>338</v>
      </c>
      <c r="AY12" s="6" t="s">
        <v>341</v>
      </c>
      <c r="AZ12" s="5" t="s">
        <v>344</v>
      </c>
      <c r="BA12" s="23"/>
      <c r="BB12" s="6" t="s">
        <v>342</v>
      </c>
      <c r="BC12" s="7" t="s">
        <v>347</v>
      </c>
      <c r="BD12" s="2"/>
      <c r="BE12" s="2"/>
      <c r="BF12" s="2"/>
      <c r="BG12" s="2"/>
      <c r="BH12" s="2"/>
      <c r="BI12" s="2"/>
      <c r="BJ12" s="2"/>
      <c r="BK12" s="2"/>
      <c r="BL12" s="2"/>
    </row>
    <row r="13" spans="1:64" ht="80.099999999999994" customHeight="1" thickBot="1" x14ac:dyDescent="0.3">
      <c r="A13" s="2" t="s">
        <v>75</v>
      </c>
      <c r="B13" s="2" t="s">
        <v>98</v>
      </c>
      <c r="C13" s="2" t="s">
        <v>99</v>
      </c>
      <c r="D13" s="15" t="s">
        <v>100</v>
      </c>
      <c r="E13" s="22"/>
      <c r="F13" s="19" t="s">
        <v>114</v>
      </c>
      <c r="G13" s="18">
        <f>LEN(TablaPublicaciones[[#This Row],[Título]])</f>
        <v>54</v>
      </c>
      <c r="H13" s="15" t="s">
        <v>147</v>
      </c>
      <c r="I13" s="17">
        <v>22</v>
      </c>
      <c r="J13" s="2" t="s">
        <v>168</v>
      </c>
      <c r="K13" s="2" t="s">
        <v>180</v>
      </c>
      <c r="L13" s="2" t="s">
        <v>198</v>
      </c>
      <c r="M13" s="2">
        <v>0</v>
      </c>
      <c r="N13" s="2" t="s">
        <v>201</v>
      </c>
      <c r="O13" s="2" t="s">
        <v>202</v>
      </c>
      <c r="P13" s="2" t="s">
        <v>203</v>
      </c>
      <c r="Q13" s="17"/>
      <c r="R13" s="2" t="s">
        <v>204</v>
      </c>
      <c r="S13" s="2"/>
      <c r="T13" s="2" t="s">
        <v>203</v>
      </c>
      <c r="U13" s="2" t="s">
        <v>205</v>
      </c>
      <c r="V13" s="2" t="s">
        <v>206</v>
      </c>
      <c r="W13" s="20">
        <v>45611.821608796294</v>
      </c>
      <c r="X13" s="20">
        <v>46134.961689814816</v>
      </c>
      <c r="Y13" s="21"/>
      <c r="Z13" s="15"/>
      <c r="AA13" s="2" t="s">
        <v>220</v>
      </c>
      <c r="AB13" s="2"/>
      <c r="AC13" s="2"/>
      <c r="AD13" s="2"/>
      <c r="AE13" s="2"/>
      <c r="AF13" s="2"/>
      <c r="AG13" s="2"/>
      <c r="AH13" s="2"/>
      <c r="AI13" s="2"/>
      <c r="AJ13" s="2"/>
      <c r="AK13" s="2">
        <v>0</v>
      </c>
      <c r="AL13" s="2">
        <v>0</v>
      </c>
      <c r="AM13" s="20"/>
      <c r="AN13" s="2"/>
      <c r="AO13" s="24"/>
      <c r="AP13" s="2"/>
      <c r="AQ13" s="4" t="s">
        <v>255</v>
      </c>
      <c r="AR13" s="4" t="s">
        <v>180</v>
      </c>
      <c r="AS13" s="5" t="s">
        <v>276</v>
      </c>
      <c r="AT13" s="6" t="s">
        <v>291</v>
      </c>
      <c r="AU13" s="6" t="s">
        <v>292</v>
      </c>
      <c r="AV13" s="6" t="s">
        <v>303</v>
      </c>
      <c r="AW13" s="6" t="s">
        <v>325</v>
      </c>
      <c r="AX13" s="6" t="s">
        <v>336</v>
      </c>
      <c r="AY13" s="6" t="s">
        <v>341</v>
      </c>
      <c r="AZ13" s="5" t="s">
        <v>344</v>
      </c>
      <c r="BA13" s="23"/>
      <c r="BB13" s="6" t="s">
        <v>342</v>
      </c>
      <c r="BC13" s="7" t="s">
        <v>347</v>
      </c>
      <c r="BD13" s="2"/>
      <c r="BE13" s="2"/>
      <c r="BF13" s="2"/>
      <c r="BG13" s="2"/>
      <c r="BH13" s="2"/>
      <c r="BI13" s="2"/>
      <c r="BJ13" s="2"/>
      <c r="BK13" s="2"/>
      <c r="BL13" s="2"/>
    </row>
    <row r="14" spans="1:64" ht="80.099999999999994" customHeight="1" thickBot="1" x14ac:dyDescent="0.3">
      <c r="A14" s="2" t="s">
        <v>76</v>
      </c>
      <c r="B14" s="2" t="s">
        <v>98</v>
      </c>
      <c r="C14" s="2" t="s">
        <v>99</v>
      </c>
      <c r="D14" s="15" t="s">
        <v>100</v>
      </c>
      <c r="E14" s="22"/>
      <c r="F14" s="19" t="s">
        <v>115</v>
      </c>
      <c r="G14" s="18">
        <f>LEN(TablaPublicaciones[[#This Row],[Título]])</f>
        <v>59</v>
      </c>
      <c r="H14" s="15" t="s">
        <v>148</v>
      </c>
      <c r="I14" s="17">
        <v>15</v>
      </c>
      <c r="J14" s="2" t="s">
        <v>168</v>
      </c>
      <c r="K14" s="2" t="s">
        <v>181</v>
      </c>
      <c r="L14" s="2" t="s">
        <v>198</v>
      </c>
      <c r="M14" s="2">
        <v>0</v>
      </c>
      <c r="N14" s="2" t="s">
        <v>201</v>
      </c>
      <c r="O14" s="2" t="s">
        <v>202</v>
      </c>
      <c r="P14" s="2" t="s">
        <v>203</v>
      </c>
      <c r="Q14" s="17"/>
      <c r="R14" s="2" t="s">
        <v>204</v>
      </c>
      <c r="S14" s="2"/>
      <c r="T14" s="2" t="s">
        <v>203</v>
      </c>
      <c r="U14" s="2" t="s">
        <v>205</v>
      </c>
      <c r="V14" s="2" t="s">
        <v>206</v>
      </c>
      <c r="W14" s="20">
        <v>45611.820798611108</v>
      </c>
      <c r="X14" s="20">
        <v>46134.961724537039</v>
      </c>
      <c r="Y14" s="21"/>
      <c r="Z14" s="15"/>
      <c r="AA14" s="2" t="s">
        <v>221</v>
      </c>
      <c r="AB14" s="2" t="s">
        <v>241</v>
      </c>
      <c r="AC14" s="2"/>
      <c r="AD14" s="2"/>
      <c r="AE14" s="2"/>
      <c r="AF14" s="2"/>
      <c r="AG14" s="2"/>
      <c r="AH14" s="2"/>
      <c r="AI14" s="2"/>
      <c r="AJ14" s="2"/>
      <c r="AK14" s="2">
        <v>0</v>
      </c>
      <c r="AL14" s="2">
        <v>0</v>
      </c>
      <c r="AM14" s="20"/>
      <c r="AN14" s="2"/>
      <c r="AO14" s="24"/>
      <c r="AP14" s="2"/>
      <c r="AQ14" s="4" t="s">
        <v>255</v>
      </c>
      <c r="AR14" s="4" t="s">
        <v>181</v>
      </c>
      <c r="AS14" s="5" t="s">
        <v>277</v>
      </c>
      <c r="AT14" s="6" t="s">
        <v>291</v>
      </c>
      <c r="AU14" s="6" t="s">
        <v>292</v>
      </c>
      <c r="AV14" s="6" t="s">
        <v>304</v>
      </c>
      <c r="AW14" s="6" t="s">
        <v>317</v>
      </c>
      <c r="AX14" s="6" t="s">
        <v>336</v>
      </c>
      <c r="AY14" s="6" t="s">
        <v>341</v>
      </c>
      <c r="AZ14" s="5" t="s">
        <v>344</v>
      </c>
      <c r="BA14" s="23"/>
      <c r="BB14" s="6"/>
      <c r="BC14" s="7" t="s">
        <v>347</v>
      </c>
      <c r="BD14" s="2"/>
      <c r="BE14" s="2"/>
      <c r="BF14" s="2"/>
      <c r="BG14" s="2"/>
      <c r="BH14" s="2"/>
      <c r="BI14" s="2"/>
      <c r="BJ14" s="2"/>
      <c r="BK14" s="2"/>
      <c r="BL14" s="2"/>
    </row>
    <row r="15" spans="1:64" ht="80.099999999999994" customHeight="1" thickBot="1" x14ac:dyDescent="0.3">
      <c r="A15" s="2" t="s">
        <v>77</v>
      </c>
      <c r="B15" s="2" t="s">
        <v>98</v>
      </c>
      <c r="C15" s="2" t="s">
        <v>99</v>
      </c>
      <c r="D15" s="15" t="s">
        <v>100</v>
      </c>
      <c r="E15" s="22"/>
      <c r="F15" s="19" t="s">
        <v>116</v>
      </c>
      <c r="G15" s="18">
        <f>LEN(TablaPublicaciones[[#This Row],[Título]])</f>
        <v>49</v>
      </c>
      <c r="H15" s="15" t="s">
        <v>149</v>
      </c>
      <c r="I15" s="17">
        <v>16</v>
      </c>
      <c r="J15" s="2" t="s">
        <v>168</v>
      </c>
      <c r="K15" s="2" t="s">
        <v>182</v>
      </c>
      <c r="L15" s="2" t="s">
        <v>198</v>
      </c>
      <c r="M15" s="2">
        <v>0</v>
      </c>
      <c r="N15" s="2" t="s">
        <v>201</v>
      </c>
      <c r="O15" s="2" t="s">
        <v>202</v>
      </c>
      <c r="P15" s="2" t="s">
        <v>203</v>
      </c>
      <c r="Q15" s="17"/>
      <c r="R15" s="2" t="s">
        <v>204</v>
      </c>
      <c r="S15" s="2"/>
      <c r="T15" s="2" t="s">
        <v>203</v>
      </c>
      <c r="U15" s="2" t="s">
        <v>205</v>
      </c>
      <c r="V15" s="2" t="s">
        <v>206</v>
      </c>
      <c r="W15" s="20">
        <v>45611.821435185186</v>
      </c>
      <c r="X15" s="20">
        <v>46134.961712962962</v>
      </c>
      <c r="Y15" s="21"/>
      <c r="Z15" s="15"/>
      <c r="AA15" s="2" t="s">
        <v>222</v>
      </c>
      <c r="AB15" s="2"/>
      <c r="AC15" s="2"/>
      <c r="AD15" s="2"/>
      <c r="AE15" s="2"/>
      <c r="AF15" s="2"/>
      <c r="AG15" s="2"/>
      <c r="AH15" s="2"/>
      <c r="AI15" s="2"/>
      <c r="AJ15" s="2"/>
      <c r="AK15" s="2">
        <v>8</v>
      </c>
      <c r="AL15" s="2">
        <v>0</v>
      </c>
      <c r="AM15" s="20"/>
      <c r="AN15" s="2"/>
      <c r="AO15" s="24"/>
      <c r="AP15" s="2"/>
      <c r="AQ15" s="4" t="s">
        <v>255</v>
      </c>
      <c r="AR15" s="4" t="s">
        <v>182</v>
      </c>
      <c r="AS15" s="5" t="s">
        <v>278</v>
      </c>
      <c r="AT15" s="6" t="s">
        <v>291</v>
      </c>
      <c r="AU15" s="6" t="s">
        <v>292</v>
      </c>
      <c r="AV15" s="6" t="s">
        <v>305</v>
      </c>
      <c r="AW15" s="6" t="s">
        <v>326</v>
      </c>
      <c r="AX15" s="6" t="s">
        <v>334</v>
      </c>
      <c r="AY15" s="6" t="s">
        <v>341</v>
      </c>
      <c r="AZ15" s="5" t="s">
        <v>344</v>
      </c>
      <c r="BA15" s="23"/>
      <c r="BB15" s="6" t="s">
        <v>342</v>
      </c>
      <c r="BC15" s="7" t="s">
        <v>347</v>
      </c>
      <c r="BD15" s="2"/>
      <c r="BE15" s="2"/>
      <c r="BF15" s="2"/>
      <c r="BG15" s="2"/>
      <c r="BH15" s="2"/>
      <c r="BI15" s="2"/>
      <c r="BJ15" s="2"/>
      <c r="BK15" s="2"/>
      <c r="BL15" s="2"/>
    </row>
    <row r="16" spans="1:64" ht="80.099999999999994" customHeight="1" thickBot="1" x14ac:dyDescent="0.3">
      <c r="A16" s="2" t="s">
        <v>78</v>
      </c>
      <c r="B16" s="2" t="s">
        <v>98</v>
      </c>
      <c r="C16" s="2" t="s">
        <v>99</v>
      </c>
      <c r="D16" s="15" t="s">
        <v>100</v>
      </c>
      <c r="E16" s="22"/>
      <c r="F16" s="19" t="s">
        <v>117</v>
      </c>
      <c r="G16" s="18">
        <f>LEN(TablaPublicaciones[[#This Row],[Título]])</f>
        <v>55</v>
      </c>
      <c r="H16" s="15" t="s">
        <v>150</v>
      </c>
      <c r="I16" s="17">
        <v>15</v>
      </c>
      <c r="J16" s="2" t="s">
        <v>168</v>
      </c>
      <c r="K16" s="2" t="s">
        <v>183</v>
      </c>
      <c r="L16" s="2" t="s">
        <v>198</v>
      </c>
      <c r="M16" s="2">
        <v>0</v>
      </c>
      <c r="N16" s="2" t="s">
        <v>201</v>
      </c>
      <c r="O16" s="2" t="s">
        <v>202</v>
      </c>
      <c r="P16" s="2" t="s">
        <v>203</v>
      </c>
      <c r="Q16" s="17"/>
      <c r="R16" s="2" t="s">
        <v>204</v>
      </c>
      <c r="S16" s="2"/>
      <c r="T16" s="2" t="s">
        <v>203</v>
      </c>
      <c r="U16" s="2" t="s">
        <v>205</v>
      </c>
      <c r="V16" s="2" t="s">
        <v>206</v>
      </c>
      <c r="W16" s="20">
        <v>45611.820416666669</v>
      </c>
      <c r="X16" s="20">
        <v>46134.961712962962</v>
      </c>
      <c r="Y16" s="21"/>
      <c r="Z16" s="15"/>
      <c r="AA16" s="2" t="s">
        <v>223</v>
      </c>
      <c r="AB16" s="2"/>
      <c r="AC16" s="2"/>
      <c r="AD16" s="2"/>
      <c r="AE16" s="2"/>
      <c r="AF16" s="2"/>
      <c r="AG16" s="2"/>
      <c r="AH16" s="2"/>
      <c r="AI16" s="2"/>
      <c r="AJ16" s="2"/>
      <c r="AK16" s="2">
        <v>0</v>
      </c>
      <c r="AL16" s="2">
        <v>0</v>
      </c>
      <c r="AM16" s="20"/>
      <c r="AN16" s="2"/>
      <c r="AO16" s="24"/>
      <c r="AP16" s="2"/>
      <c r="AQ16" s="4" t="s">
        <v>255</v>
      </c>
      <c r="AR16" s="4" t="s">
        <v>183</v>
      </c>
      <c r="AS16" s="5" t="s">
        <v>279</v>
      </c>
      <c r="AT16" s="6" t="s">
        <v>291</v>
      </c>
      <c r="AU16" s="6" t="s">
        <v>292</v>
      </c>
      <c r="AV16" s="6" t="s">
        <v>306</v>
      </c>
      <c r="AW16" s="6" t="s">
        <v>302</v>
      </c>
      <c r="AX16" s="6" t="s">
        <v>336</v>
      </c>
      <c r="AY16" s="6" t="s">
        <v>341</v>
      </c>
      <c r="AZ16" s="5" t="s">
        <v>344</v>
      </c>
      <c r="BA16" s="23"/>
      <c r="BB16" s="6"/>
      <c r="BC16" s="7" t="s">
        <v>347</v>
      </c>
      <c r="BD16" s="2"/>
      <c r="BE16" s="2"/>
      <c r="BF16" s="2"/>
      <c r="BG16" s="2"/>
      <c r="BH16" s="2"/>
      <c r="BI16" s="2"/>
      <c r="BJ16" s="2"/>
      <c r="BK16" s="2"/>
      <c r="BL16" s="2"/>
    </row>
    <row r="17" spans="1:64" ht="80.099999999999994" customHeight="1" thickBot="1" x14ac:dyDescent="0.3">
      <c r="A17" s="2" t="s">
        <v>79</v>
      </c>
      <c r="B17" s="2" t="s">
        <v>98</v>
      </c>
      <c r="C17" s="2" t="s">
        <v>99</v>
      </c>
      <c r="D17" s="15" t="s">
        <v>100</v>
      </c>
      <c r="E17" s="22"/>
      <c r="F17" s="19" t="s">
        <v>118</v>
      </c>
      <c r="G17" s="18">
        <f>LEN(TablaPublicaciones[[#This Row],[Título]])</f>
        <v>58</v>
      </c>
      <c r="H17" s="15" t="s">
        <v>151</v>
      </c>
      <c r="I17" s="17">
        <v>8</v>
      </c>
      <c r="J17" s="2" t="s">
        <v>168</v>
      </c>
      <c r="K17" s="2" t="s">
        <v>184</v>
      </c>
      <c r="L17" s="2" t="s">
        <v>198</v>
      </c>
      <c r="M17" s="2">
        <v>0</v>
      </c>
      <c r="N17" s="2" t="s">
        <v>201</v>
      </c>
      <c r="O17" s="2" t="s">
        <v>202</v>
      </c>
      <c r="P17" s="2" t="s">
        <v>203</v>
      </c>
      <c r="Q17" s="17"/>
      <c r="R17" s="2" t="s">
        <v>204</v>
      </c>
      <c r="S17" s="2"/>
      <c r="T17" s="2" t="s">
        <v>203</v>
      </c>
      <c r="U17" s="2" t="s">
        <v>205</v>
      </c>
      <c r="V17" s="2" t="s">
        <v>206</v>
      </c>
      <c r="W17" s="20">
        <v>45611.824097222219</v>
      </c>
      <c r="X17" s="20">
        <v>46134.961736111109</v>
      </c>
      <c r="Y17" s="21"/>
      <c r="Z17" s="15"/>
      <c r="AA17" s="2" t="s">
        <v>224</v>
      </c>
      <c r="AB17" s="2"/>
      <c r="AC17" s="2"/>
      <c r="AD17" s="2"/>
      <c r="AE17" s="2"/>
      <c r="AF17" s="2"/>
      <c r="AG17" s="2"/>
      <c r="AH17" s="2"/>
      <c r="AI17" s="2"/>
      <c r="AJ17" s="2"/>
      <c r="AK17" s="2">
        <v>0</v>
      </c>
      <c r="AL17" s="2">
        <v>0</v>
      </c>
      <c r="AM17" s="20"/>
      <c r="AN17" s="2"/>
      <c r="AO17" s="24"/>
      <c r="AP17" s="2"/>
      <c r="AQ17" s="4" t="s">
        <v>256</v>
      </c>
      <c r="AR17" s="4" t="s">
        <v>184</v>
      </c>
      <c r="AS17" s="5" t="s">
        <v>280</v>
      </c>
      <c r="AT17" s="6"/>
      <c r="AU17" s="6"/>
      <c r="AV17" s="6"/>
      <c r="AW17" s="6"/>
      <c r="AX17" s="6"/>
      <c r="AY17" s="6"/>
      <c r="AZ17" s="5" t="s">
        <v>344</v>
      </c>
      <c r="BA17" s="23"/>
      <c r="BB17" s="6"/>
      <c r="BC17" s="7" t="s">
        <v>348</v>
      </c>
      <c r="BD17" s="2"/>
      <c r="BE17" s="2"/>
      <c r="BF17" s="2"/>
      <c r="BG17" s="2"/>
      <c r="BH17" s="2"/>
      <c r="BI17" s="2"/>
      <c r="BJ17" s="2"/>
      <c r="BK17" s="2"/>
      <c r="BL17" s="2"/>
    </row>
    <row r="18" spans="1:64" ht="80.099999999999994" customHeight="1" thickBot="1" x14ac:dyDescent="0.3">
      <c r="A18" s="2" t="s">
        <v>80</v>
      </c>
      <c r="B18" s="2" t="s">
        <v>98</v>
      </c>
      <c r="C18" s="2" t="s">
        <v>99</v>
      </c>
      <c r="D18" s="15" t="s">
        <v>100</v>
      </c>
      <c r="E18" s="22"/>
      <c r="F18" s="19" t="s">
        <v>119</v>
      </c>
      <c r="G18" s="18">
        <f>LEN(TablaPublicaciones[[#This Row],[Título]])</f>
        <v>56</v>
      </c>
      <c r="H18" s="15" t="s">
        <v>152</v>
      </c>
      <c r="I18" s="17">
        <v>20</v>
      </c>
      <c r="J18" s="2" t="s">
        <v>168</v>
      </c>
      <c r="K18" s="2" t="s">
        <v>185</v>
      </c>
      <c r="L18" s="2" t="s">
        <v>199</v>
      </c>
      <c r="M18" s="2">
        <v>1</v>
      </c>
      <c r="N18" s="2" t="s">
        <v>201</v>
      </c>
      <c r="O18" s="2" t="s">
        <v>202</v>
      </c>
      <c r="P18" s="2" t="s">
        <v>203</v>
      </c>
      <c r="Q18" s="17"/>
      <c r="R18" s="2" t="s">
        <v>204</v>
      </c>
      <c r="S18" s="2"/>
      <c r="T18" s="2" t="s">
        <v>203</v>
      </c>
      <c r="U18" s="2" t="s">
        <v>205</v>
      </c>
      <c r="V18" s="2" t="s">
        <v>206</v>
      </c>
      <c r="W18" s="20">
        <v>45611.820474537039</v>
      </c>
      <c r="X18" s="20">
        <v>46134.717581018522</v>
      </c>
      <c r="Y18" s="21"/>
      <c r="Z18" s="15"/>
      <c r="AA18" s="2" t="s">
        <v>225</v>
      </c>
      <c r="AB18" s="2"/>
      <c r="AC18" s="2"/>
      <c r="AD18" s="2"/>
      <c r="AE18" s="2"/>
      <c r="AF18" s="2"/>
      <c r="AG18" s="2"/>
      <c r="AH18" s="2"/>
      <c r="AI18" s="2"/>
      <c r="AJ18" s="2"/>
      <c r="AK18" s="2">
        <v>3</v>
      </c>
      <c r="AL18" s="2">
        <v>0</v>
      </c>
      <c r="AM18" s="20"/>
      <c r="AN18" s="2"/>
      <c r="AO18" s="24"/>
      <c r="AP18" s="2"/>
      <c r="AQ18" s="4" t="s">
        <v>255</v>
      </c>
      <c r="AR18" s="4" t="s">
        <v>260</v>
      </c>
      <c r="AS18" s="5" t="s">
        <v>281</v>
      </c>
      <c r="AT18" s="6" t="s">
        <v>291</v>
      </c>
      <c r="AU18" s="6" t="s">
        <v>292</v>
      </c>
      <c r="AV18" s="6" t="s">
        <v>295</v>
      </c>
      <c r="AW18" s="6" t="s">
        <v>327</v>
      </c>
      <c r="AX18" s="6" t="s">
        <v>339</v>
      </c>
      <c r="AY18" s="6" t="s">
        <v>341</v>
      </c>
      <c r="AZ18" s="5" t="s">
        <v>344</v>
      </c>
      <c r="BA18" s="23"/>
      <c r="BB18" s="6"/>
      <c r="BC18" s="7" t="s">
        <v>347</v>
      </c>
      <c r="BD18" s="2"/>
      <c r="BE18" s="2"/>
      <c r="BF18" s="2"/>
      <c r="BG18" s="2"/>
      <c r="BH18" s="2"/>
      <c r="BI18" s="2"/>
      <c r="BJ18" s="2"/>
      <c r="BK18" s="2"/>
      <c r="BL18" s="2"/>
    </row>
    <row r="19" spans="1:64" ht="80.099999999999994" customHeight="1" thickBot="1" x14ac:dyDescent="0.3">
      <c r="A19" s="2" t="s">
        <v>81</v>
      </c>
      <c r="B19" s="2" t="s">
        <v>98</v>
      </c>
      <c r="C19" s="2" t="s">
        <v>99</v>
      </c>
      <c r="D19" s="15" t="s">
        <v>100</v>
      </c>
      <c r="E19" s="22"/>
      <c r="F19" s="19" t="s">
        <v>120</v>
      </c>
      <c r="G19" s="18">
        <f>LEN(TablaPublicaciones[[#This Row],[Título]])</f>
        <v>33</v>
      </c>
      <c r="H19" s="15" t="s">
        <v>153</v>
      </c>
      <c r="I19" s="17">
        <v>12</v>
      </c>
      <c r="J19" s="2" t="s">
        <v>168</v>
      </c>
      <c r="K19" s="2" t="s">
        <v>186</v>
      </c>
      <c r="L19" s="2" t="s">
        <v>198</v>
      </c>
      <c r="M19" s="2">
        <v>0</v>
      </c>
      <c r="N19" s="2" t="s">
        <v>201</v>
      </c>
      <c r="O19" s="2" t="s">
        <v>202</v>
      </c>
      <c r="P19" s="2" t="s">
        <v>203</v>
      </c>
      <c r="Q19" s="17"/>
      <c r="R19" s="2" t="s">
        <v>204</v>
      </c>
      <c r="S19" s="2"/>
      <c r="T19" s="2" t="s">
        <v>203</v>
      </c>
      <c r="U19" s="2" t="s">
        <v>205</v>
      </c>
      <c r="V19" s="2" t="s">
        <v>206</v>
      </c>
      <c r="W19" s="20">
        <v>45611.820925925924</v>
      </c>
      <c r="X19" s="20">
        <v>46134.961747685185</v>
      </c>
      <c r="Y19" s="21"/>
      <c r="Z19" s="15"/>
      <c r="AA19" s="2" t="s">
        <v>226</v>
      </c>
      <c r="AB19" s="2"/>
      <c r="AC19" s="2"/>
      <c r="AD19" s="2"/>
      <c r="AE19" s="2"/>
      <c r="AF19" s="2"/>
      <c r="AG19" s="2"/>
      <c r="AH19" s="2"/>
      <c r="AI19" s="2"/>
      <c r="AJ19" s="2"/>
      <c r="AK19" s="2">
        <v>0</v>
      </c>
      <c r="AL19" s="2">
        <v>0</v>
      </c>
      <c r="AM19" s="20"/>
      <c r="AN19" s="2"/>
      <c r="AO19" s="24"/>
      <c r="AP19" s="2"/>
      <c r="AQ19" s="4" t="s">
        <v>255</v>
      </c>
      <c r="AR19" s="4" t="s">
        <v>186</v>
      </c>
      <c r="AS19" s="5" t="s">
        <v>282</v>
      </c>
      <c r="AT19" s="6" t="s">
        <v>291</v>
      </c>
      <c r="AU19" s="6" t="s">
        <v>292</v>
      </c>
      <c r="AV19" s="6" t="s">
        <v>307</v>
      </c>
      <c r="AW19" s="6" t="s">
        <v>320</v>
      </c>
      <c r="AX19" s="6" t="s">
        <v>337</v>
      </c>
      <c r="AY19" s="6" t="s">
        <v>341</v>
      </c>
      <c r="AZ19" s="5" t="s">
        <v>344</v>
      </c>
      <c r="BA19" s="23"/>
      <c r="BB19" s="6" t="s">
        <v>342</v>
      </c>
      <c r="BC19" s="7" t="s">
        <v>347</v>
      </c>
      <c r="BD19" s="2"/>
      <c r="BE19" s="2"/>
      <c r="BF19" s="2"/>
      <c r="BG19" s="2"/>
      <c r="BH19" s="2"/>
      <c r="BI19" s="2"/>
      <c r="BJ19" s="2"/>
      <c r="BK19" s="2"/>
      <c r="BL19" s="2"/>
    </row>
    <row r="20" spans="1:64" ht="80.099999999999994" customHeight="1" thickBot="1" x14ac:dyDescent="0.3">
      <c r="A20" s="2" t="s">
        <v>82</v>
      </c>
      <c r="B20" s="2" t="s">
        <v>98</v>
      </c>
      <c r="C20" s="2" t="s">
        <v>99</v>
      </c>
      <c r="D20" s="15" t="s">
        <v>100</v>
      </c>
      <c r="E20" s="22"/>
      <c r="F20" s="19" t="s">
        <v>121</v>
      </c>
      <c r="G20" s="18">
        <f>LEN(TablaPublicaciones[[#This Row],[Título]])</f>
        <v>49</v>
      </c>
      <c r="H20" s="15" t="s">
        <v>154</v>
      </c>
      <c r="I20" s="17">
        <v>20</v>
      </c>
      <c r="J20" s="2" t="s">
        <v>168</v>
      </c>
      <c r="K20" s="2" t="s">
        <v>187</v>
      </c>
      <c r="L20" s="2" t="s">
        <v>198</v>
      </c>
      <c r="M20" s="2">
        <v>0</v>
      </c>
      <c r="N20" s="2" t="s">
        <v>201</v>
      </c>
      <c r="O20" s="2" t="s">
        <v>202</v>
      </c>
      <c r="P20" s="2" t="s">
        <v>203</v>
      </c>
      <c r="Q20" s="17"/>
      <c r="R20" s="2" t="s">
        <v>204</v>
      </c>
      <c r="S20" s="2"/>
      <c r="T20" s="2" t="s">
        <v>203</v>
      </c>
      <c r="U20" s="2" t="s">
        <v>205</v>
      </c>
      <c r="V20" s="2" t="s">
        <v>206</v>
      </c>
      <c r="W20" s="20">
        <v>45611.821192129632</v>
      </c>
      <c r="X20" s="20">
        <v>46134.961759259262</v>
      </c>
      <c r="Y20" s="21"/>
      <c r="Z20" s="15"/>
      <c r="AA20" s="2" t="s">
        <v>227</v>
      </c>
      <c r="AB20" s="2"/>
      <c r="AC20" s="2"/>
      <c r="AD20" s="2"/>
      <c r="AE20" s="2"/>
      <c r="AF20" s="2"/>
      <c r="AG20" s="2"/>
      <c r="AH20" s="2"/>
      <c r="AI20" s="2"/>
      <c r="AJ20" s="2"/>
      <c r="AK20" s="2">
        <v>0</v>
      </c>
      <c r="AL20" s="2">
        <v>0</v>
      </c>
      <c r="AM20" s="20"/>
      <c r="AN20" s="2"/>
      <c r="AO20" s="24"/>
      <c r="AP20" s="2"/>
      <c r="AQ20" s="4" t="s">
        <v>255</v>
      </c>
      <c r="AR20" s="4" t="s">
        <v>261</v>
      </c>
      <c r="AS20" s="5" t="s">
        <v>283</v>
      </c>
      <c r="AT20" s="6" t="s">
        <v>291</v>
      </c>
      <c r="AU20" s="6" t="s">
        <v>292</v>
      </c>
      <c r="AV20" s="6" t="s">
        <v>308</v>
      </c>
      <c r="AW20" s="6" t="s">
        <v>322</v>
      </c>
      <c r="AX20" s="6" t="s">
        <v>340</v>
      </c>
      <c r="AY20" s="6" t="s">
        <v>341</v>
      </c>
      <c r="AZ20" s="5" t="s">
        <v>344</v>
      </c>
      <c r="BA20" s="23"/>
      <c r="BB20" s="6" t="s">
        <v>342</v>
      </c>
      <c r="BC20" s="7" t="s">
        <v>347</v>
      </c>
      <c r="BD20" s="2"/>
      <c r="BE20" s="2"/>
      <c r="BF20" s="2"/>
      <c r="BG20" s="2"/>
      <c r="BH20" s="2"/>
      <c r="BI20" s="2"/>
      <c r="BJ20" s="2"/>
      <c r="BK20" s="2"/>
      <c r="BL20" s="2"/>
    </row>
    <row r="21" spans="1:64" ht="80.099999999999994" customHeight="1" thickBot="1" x14ac:dyDescent="0.3">
      <c r="A21" s="2" t="s">
        <v>83</v>
      </c>
      <c r="B21" s="2" t="s">
        <v>98</v>
      </c>
      <c r="C21" s="2" t="s">
        <v>99</v>
      </c>
      <c r="D21" s="15" t="s">
        <v>100</v>
      </c>
      <c r="E21" s="22"/>
      <c r="F21" s="19" t="s">
        <v>122</v>
      </c>
      <c r="G21" s="18">
        <f>LEN(TablaPublicaciones[[#This Row],[Título]])</f>
        <v>49</v>
      </c>
      <c r="H21" s="15" t="s">
        <v>155</v>
      </c>
      <c r="I21" s="17">
        <v>20</v>
      </c>
      <c r="J21" s="2" t="s">
        <v>168</v>
      </c>
      <c r="K21" s="2" t="s">
        <v>188</v>
      </c>
      <c r="L21" s="2" t="s">
        <v>198</v>
      </c>
      <c r="M21" s="2">
        <v>0</v>
      </c>
      <c r="N21" s="2" t="s">
        <v>201</v>
      </c>
      <c r="O21" s="2" t="s">
        <v>202</v>
      </c>
      <c r="P21" s="2" t="s">
        <v>203</v>
      </c>
      <c r="Q21" s="17"/>
      <c r="R21" s="2" t="s">
        <v>204</v>
      </c>
      <c r="S21" s="2"/>
      <c r="T21" s="2" t="s">
        <v>203</v>
      </c>
      <c r="U21" s="2" t="s">
        <v>205</v>
      </c>
      <c r="V21" s="2" t="s">
        <v>206</v>
      </c>
      <c r="W21" s="20">
        <v>45611.821215277778</v>
      </c>
      <c r="X21" s="20">
        <v>46134.961759259262</v>
      </c>
      <c r="Y21" s="21"/>
      <c r="Z21" s="15"/>
      <c r="AA21" s="2" t="s">
        <v>228</v>
      </c>
      <c r="AB21" s="2"/>
      <c r="AC21" s="2"/>
      <c r="AD21" s="2"/>
      <c r="AE21" s="2"/>
      <c r="AF21" s="2"/>
      <c r="AG21" s="2"/>
      <c r="AH21" s="2"/>
      <c r="AI21" s="2"/>
      <c r="AJ21" s="2"/>
      <c r="AK21" s="2">
        <v>1</v>
      </c>
      <c r="AL21" s="2">
        <v>0</v>
      </c>
      <c r="AM21" s="20"/>
      <c r="AN21" s="2"/>
      <c r="AO21" s="24"/>
      <c r="AP21" s="2"/>
      <c r="AQ21" s="4" t="s">
        <v>255</v>
      </c>
      <c r="AR21" s="4" t="s">
        <v>188</v>
      </c>
      <c r="AS21" s="5" t="s">
        <v>284</v>
      </c>
      <c r="AT21" s="6" t="s">
        <v>291</v>
      </c>
      <c r="AU21" s="6" t="s">
        <v>292</v>
      </c>
      <c r="AV21" s="6" t="s">
        <v>309</v>
      </c>
      <c r="AW21" s="6" t="s">
        <v>328</v>
      </c>
      <c r="AX21" s="6" t="s">
        <v>334</v>
      </c>
      <c r="AY21" s="6" t="s">
        <v>341</v>
      </c>
      <c r="AZ21" s="5" t="s">
        <v>344</v>
      </c>
      <c r="BA21" s="23"/>
      <c r="BB21" s="6" t="s">
        <v>342</v>
      </c>
      <c r="BC21" s="7" t="s">
        <v>347</v>
      </c>
      <c r="BD21" s="2"/>
      <c r="BE21" s="2"/>
      <c r="BF21" s="2"/>
      <c r="BG21" s="2"/>
      <c r="BH21" s="2"/>
      <c r="BI21" s="2"/>
      <c r="BJ21" s="2"/>
      <c r="BK21" s="2"/>
      <c r="BL21" s="2"/>
    </row>
    <row r="22" spans="1:64" ht="80.099999999999994" customHeight="1" thickBot="1" x14ac:dyDescent="0.3">
      <c r="A22" s="2" t="s">
        <v>84</v>
      </c>
      <c r="B22" s="2" t="s">
        <v>98</v>
      </c>
      <c r="C22" s="2" t="s">
        <v>99</v>
      </c>
      <c r="D22" s="15" t="s">
        <v>100</v>
      </c>
      <c r="E22" s="22"/>
      <c r="F22" s="19" t="s">
        <v>123</v>
      </c>
      <c r="G22" s="18">
        <f>LEN(TablaPublicaciones[[#This Row],[Título]])</f>
        <v>45</v>
      </c>
      <c r="H22" s="15" t="s">
        <v>156</v>
      </c>
      <c r="I22" s="17">
        <v>18</v>
      </c>
      <c r="J22" s="2" t="s">
        <v>168</v>
      </c>
      <c r="K22" s="2" t="s">
        <v>189</v>
      </c>
      <c r="L22" s="2" t="s">
        <v>198</v>
      </c>
      <c r="M22" s="2">
        <v>0</v>
      </c>
      <c r="N22" s="2" t="s">
        <v>201</v>
      </c>
      <c r="O22" s="2" t="s">
        <v>202</v>
      </c>
      <c r="P22" s="2" t="s">
        <v>203</v>
      </c>
      <c r="Q22" s="17"/>
      <c r="R22" s="2" t="s">
        <v>204</v>
      </c>
      <c r="S22" s="2"/>
      <c r="T22" s="2" t="s">
        <v>203</v>
      </c>
      <c r="U22" s="2" t="s">
        <v>205</v>
      </c>
      <c r="V22" s="2" t="s">
        <v>206</v>
      </c>
      <c r="W22" s="20">
        <v>45611.821296296293</v>
      </c>
      <c r="X22" s="20">
        <v>46134.961770833332</v>
      </c>
      <c r="Y22" s="21"/>
      <c r="Z22" s="15"/>
      <c r="AA22" s="2" t="s">
        <v>229</v>
      </c>
      <c r="AB22" s="2"/>
      <c r="AC22" s="2"/>
      <c r="AD22" s="2"/>
      <c r="AE22" s="2"/>
      <c r="AF22" s="2"/>
      <c r="AG22" s="2"/>
      <c r="AH22" s="2"/>
      <c r="AI22" s="2"/>
      <c r="AJ22" s="2"/>
      <c r="AK22" s="2">
        <v>1</v>
      </c>
      <c r="AL22" s="2">
        <v>0</v>
      </c>
      <c r="AM22" s="20"/>
      <c r="AN22" s="2"/>
      <c r="AO22" s="24"/>
      <c r="AP22" s="2"/>
      <c r="AQ22" s="4" t="s">
        <v>255</v>
      </c>
      <c r="AR22" s="4" t="s">
        <v>189</v>
      </c>
      <c r="AS22" s="5" t="s">
        <v>285</v>
      </c>
      <c r="AT22" s="6" t="s">
        <v>291</v>
      </c>
      <c r="AU22" s="6" t="s">
        <v>292</v>
      </c>
      <c r="AV22" s="6" t="s">
        <v>310</v>
      </c>
      <c r="AW22" s="6" t="s">
        <v>329</v>
      </c>
      <c r="AX22" s="6" t="s">
        <v>338</v>
      </c>
      <c r="AY22" s="6" t="s">
        <v>341</v>
      </c>
      <c r="AZ22" s="5" t="s">
        <v>344</v>
      </c>
      <c r="BA22" s="23"/>
      <c r="BB22" s="6" t="s">
        <v>342</v>
      </c>
      <c r="BC22" s="7" t="s">
        <v>347</v>
      </c>
      <c r="BD22" s="2"/>
      <c r="BE22" s="2"/>
      <c r="BF22" s="2"/>
      <c r="BG22" s="2"/>
      <c r="BH22" s="2"/>
      <c r="BI22" s="2"/>
      <c r="BJ22" s="2"/>
      <c r="BK22" s="2"/>
      <c r="BL22" s="2"/>
    </row>
    <row r="23" spans="1:64" ht="80.099999999999994" customHeight="1" thickBot="1" x14ac:dyDescent="0.3">
      <c r="A23" s="2" t="s">
        <v>85</v>
      </c>
      <c r="B23" s="2" t="s">
        <v>98</v>
      </c>
      <c r="C23" s="2" t="s">
        <v>99</v>
      </c>
      <c r="D23" s="15" t="s">
        <v>100</v>
      </c>
      <c r="E23" s="22"/>
      <c r="F23" s="19" t="s">
        <v>124</v>
      </c>
      <c r="G23" s="18">
        <f>LEN(TablaPublicaciones[[#This Row],[Título]])</f>
        <v>36</v>
      </c>
      <c r="H23" s="16"/>
      <c r="I23" s="17">
        <v>15</v>
      </c>
      <c r="J23" s="2" t="s">
        <v>168</v>
      </c>
      <c r="K23" s="2" t="s">
        <v>190</v>
      </c>
      <c r="L23" s="2" t="s">
        <v>198</v>
      </c>
      <c r="M23" s="2">
        <v>0</v>
      </c>
      <c r="N23" s="2" t="s">
        <v>201</v>
      </c>
      <c r="O23" s="2" t="s">
        <v>202</v>
      </c>
      <c r="P23" s="2" t="s">
        <v>203</v>
      </c>
      <c r="Q23" s="17"/>
      <c r="R23" s="2" t="s">
        <v>204</v>
      </c>
      <c r="S23" s="2"/>
      <c r="T23" s="2" t="s">
        <v>203</v>
      </c>
      <c r="U23" s="2" t="s">
        <v>205</v>
      </c>
      <c r="V23" s="2" t="s">
        <v>206</v>
      </c>
      <c r="W23" s="20">
        <v>45611.824074074073</v>
      </c>
      <c r="X23" s="20">
        <v>46134.961782407408</v>
      </c>
      <c r="Y23" s="21"/>
      <c r="Z23" s="15"/>
      <c r="AA23" s="2" t="s">
        <v>230</v>
      </c>
      <c r="AB23" s="2"/>
      <c r="AC23" s="2"/>
      <c r="AD23" s="2"/>
      <c r="AE23" s="2"/>
      <c r="AF23" s="2"/>
      <c r="AG23" s="2"/>
      <c r="AH23" s="2"/>
      <c r="AI23" s="2"/>
      <c r="AJ23" s="2"/>
      <c r="AK23" s="2">
        <v>0</v>
      </c>
      <c r="AL23" s="2">
        <v>0</v>
      </c>
      <c r="AM23" s="20"/>
      <c r="AN23" s="2"/>
      <c r="AO23" s="24"/>
      <c r="AP23" s="2"/>
      <c r="AQ23" s="4" t="s">
        <v>255</v>
      </c>
      <c r="AR23" s="4" t="s">
        <v>190</v>
      </c>
      <c r="AS23" s="5" t="s">
        <v>286</v>
      </c>
      <c r="AT23" s="6" t="s">
        <v>291</v>
      </c>
      <c r="AU23" s="6" t="s">
        <v>292</v>
      </c>
      <c r="AV23" s="6" t="s">
        <v>311</v>
      </c>
      <c r="AW23" s="6" t="s">
        <v>322</v>
      </c>
      <c r="AX23" s="6" t="s">
        <v>334</v>
      </c>
      <c r="AY23" s="6" t="s">
        <v>341</v>
      </c>
      <c r="AZ23" s="5" t="s">
        <v>344</v>
      </c>
      <c r="BA23" s="23"/>
      <c r="BB23" s="6" t="s">
        <v>342</v>
      </c>
      <c r="BC23" s="7" t="s">
        <v>347</v>
      </c>
      <c r="BD23" s="2"/>
      <c r="BE23" s="2"/>
      <c r="BF23" s="2"/>
      <c r="BG23" s="2"/>
      <c r="BH23" s="2"/>
      <c r="BI23" s="2"/>
      <c r="BJ23" s="2"/>
      <c r="BK23" s="2"/>
      <c r="BL23" s="2"/>
    </row>
    <row r="24" spans="1:64" ht="80.099999999999994" customHeight="1" thickBot="1" x14ac:dyDescent="0.3">
      <c r="A24" s="2" t="s">
        <v>86</v>
      </c>
      <c r="B24" s="2" t="s">
        <v>98</v>
      </c>
      <c r="C24" s="2" t="s">
        <v>99</v>
      </c>
      <c r="D24" s="15" t="s">
        <v>100</v>
      </c>
      <c r="E24" s="22"/>
      <c r="F24" s="19" t="s">
        <v>125</v>
      </c>
      <c r="G24" s="18">
        <f>LEN(TablaPublicaciones[[#This Row],[Título]])</f>
        <v>59</v>
      </c>
      <c r="H24" s="15" t="s">
        <v>157</v>
      </c>
      <c r="I24" s="17">
        <v>20</v>
      </c>
      <c r="J24" s="2" t="s">
        <v>168</v>
      </c>
      <c r="K24" s="2" t="s">
        <v>191</v>
      </c>
      <c r="L24" s="2" t="s">
        <v>198</v>
      </c>
      <c r="M24" s="2">
        <v>0</v>
      </c>
      <c r="N24" s="2" t="s">
        <v>201</v>
      </c>
      <c r="O24" s="2" t="s">
        <v>202</v>
      </c>
      <c r="P24" s="2" t="s">
        <v>203</v>
      </c>
      <c r="Q24" s="17"/>
      <c r="R24" s="2" t="s">
        <v>204</v>
      </c>
      <c r="S24" s="2"/>
      <c r="T24" s="2" t="s">
        <v>203</v>
      </c>
      <c r="U24" s="2" t="s">
        <v>205</v>
      </c>
      <c r="V24" s="2" t="s">
        <v>206</v>
      </c>
      <c r="W24" s="20">
        <v>45611.820462962962</v>
      </c>
      <c r="X24" s="20">
        <v>46134.961782407408</v>
      </c>
      <c r="Y24" s="21"/>
      <c r="Z24" s="15"/>
      <c r="AA24" s="2" t="s">
        <v>231</v>
      </c>
      <c r="AB24" s="2"/>
      <c r="AC24" s="2"/>
      <c r="AD24" s="2"/>
      <c r="AE24" s="2"/>
      <c r="AF24" s="2"/>
      <c r="AG24" s="2"/>
      <c r="AH24" s="2"/>
      <c r="AI24" s="2"/>
      <c r="AJ24" s="2"/>
      <c r="AK24" s="2">
        <v>3</v>
      </c>
      <c r="AL24" s="2">
        <v>0</v>
      </c>
      <c r="AM24" s="20"/>
      <c r="AN24" s="2"/>
      <c r="AO24" s="24"/>
      <c r="AP24" s="2"/>
      <c r="AQ24" s="4" t="s">
        <v>255</v>
      </c>
      <c r="AR24" s="4" t="s">
        <v>262</v>
      </c>
      <c r="AS24" s="5" t="s">
        <v>287</v>
      </c>
      <c r="AT24" s="6"/>
      <c r="AU24" s="6"/>
      <c r="AV24" s="6" t="s">
        <v>312</v>
      </c>
      <c r="AW24" s="6" t="s">
        <v>330</v>
      </c>
      <c r="AX24" s="6" t="s">
        <v>336</v>
      </c>
      <c r="AY24" s="6" t="s">
        <v>341</v>
      </c>
      <c r="AZ24" s="5" t="s">
        <v>344</v>
      </c>
      <c r="BA24" s="23"/>
      <c r="BB24" s="6" t="s">
        <v>342</v>
      </c>
      <c r="BC24" s="7" t="s">
        <v>347</v>
      </c>
      <c r="BD24" s="2"/>
      <c r="BE24" s="2"/>
      <c r="BF24" s="2"/>
      <c r="BG24" s="2"/>
      <c r="BH24" s="2"/>
      <c r="BI24" s="2"/>
      <c r="BJ24" s="2"/>
      <c r="BK24" s="2"/>
      <c r="BL24" s="2"/>
    </row>
    <row r="25" spans="1:64" ht="80.099999999999994" customHeight="1" thickBot="1" x14ac:dyDescent="0.3">
      <c r="A25" s="2" t="s">
        <v>87</v>
      </c>
      <c r="B25" s="2" t="s">
        <v>98</v>
      </c>
      <c r="C25" s="2" t="s">
        <v>99</v>
      </c>
      <c r="D25" s="15" t="s">
        <v>100</v>
      </c>
      <c r="E25" s="22"/>
      <c r="F25" s="19" t="s">
        <v>126</v>
      </c>
      <c r="G25" s="18">
        <f>LEN(TablaPublicaciones[[#This Row],[Título]])</f>
        <v>52</v>
      </c>
      <c r="H25" s="15" t="s">
        <v>158</v>
      </c>
      <c r="I25" s="17">
        <v>16</v>
      </c>
      <c r="J25" s="2" t="s">
        <v>168</v>
      </c>
      <c r="K25" s="2" t="s">
        <v>192</v>
      </c>
      <c r="L25" s="2" t="s">
        <v>198</v>
      </c>
      <c r="M25" s="2">
        <v>0</v>
      </c>
      <c r="N25" s="2" t="s">
        <v>201</v>
      </c>
      <c r="O25" s="2" t="s">
        <v>202</v>
      </c>
      <c r="P25" s="2" t="s">
        <v>203</v>
      </c>
      <c r="Q25" s="17"/>
      <c r="R25" s="2" t="s">
        <v>204</v>
      </c>
      <c r="S25" s="2"/>
      <c r="T25" s="2" t="s">
        <v>203</v>
      </c>
      <c r="U25" s="2" t="s">
        <v>205</v>
      </c>
      <c r="V25" s="2" t="s">
        <v>206</v>
      </c>
      <c r="W25" s="20">
        <v>45611.820497685185</v>
      </c>
      <c r="X25" s="20">
        <v>46134.961793981478</v>
      </c>
      <c r="Y25" s="21"/>
      <c r="Z25" s="15"/>
      <c r="AA25" s="2" t="s">
        <v>232</v>
      </c>
      <c r="AB25" s="2"/>
      <c r="AC25" s="2"/>
      <c r="AD25" s="2"/>
      <c r="AE25" s="2"/>
      <c r="AF25" s="2"/>
      <c r="AG25" s="2"/>
      <c r="AH25" s="2"/>
      <c r="AI25" s="2"/>
      <c r="AJ25" s="2"/>
      <c r="AK25" s="2">
        <v>0</v>
      </c>
      <c r="AL25" s="2">
        <v>0</v>
      </c>
      <c r="AM25" s="20"/>
      <c r="AN25" s="2"/>
      <c r="AO25" s="24"/>
      <c r="AP25" s="2"/>
      <c r="AQ25" s="4" t="s">
        <v>255</v>
      </c>
      <c r="AR25" s="4" t="s">
        <v>192</v>
      </c>
      <c r="AS25" s="5" t="s">
        <v>288</v>
      </c>
      <c r="AT25" s="6" t="s">
        <v>291</v>
      </c>
      <c r="AU25" s="6" t="s">
        <v>292</v>
      </c>
      <c r="AV25" s="6" t="s">
        <v>313</v>
      </c>
      <c r="AW25" s="6" t="s">
        <v>331</v>
      </c>
      <c r="AX25" s="6" t="s">
        <v>336</v>
      </c>
      <c r="AY25" s="6" t="s">
        <v>341</v>
      </c>
      <c r="AZ25" s="5" t="s">
        <v>344</v>
      </c>
      <c r="BA25" s="23"/>
      <c r="BB25" s="6" t="s">
        <v>342</v>
      </c>
      <c r="BC25" s="7" t="s">
        <v>347</v>
      </c>
      <c r="BD25" s="2"/>
      <c r="BE25" s="2"/>
      <c r="BF25" s="2"/>
      <c r="BG25" s="2"/>
      <c r="BH25" s="2"/>
      <c r="BI25" s="2"/>
      <c r="BJ25" s="2"/>
      <c r="BK25" s="2"/>
      <c r="BL25" s="2"/>
    </row>
    <row r="26" spans="1:64" ht="80.099999999999994" customHeight="1" thickBot="1" x14ac:dyDescent="0.3">
      <c r="A26" s="2" t="s">
        <v>88</v>
      </c>
      <c r="B26" s="2" t="s">
        <v>98</v>
      </c>
      <c r="C26" s="2" t="s">
        <v>99</v>
      </c>
      <c r="D26" s="15" t="s">
        <v>100</v>
      </c>
      <c r="E26" s="22"/>
      <c r="F26" s="19" t="s">
        <v>127</v>
      </c>
      <c r="G26" s="18">
        <f>LEN(TablaPublicaciones[[#This Row],[Título]])</f>
        <v>51</v>
      </c>
      <c r="H26" s="15" t="s">
        <v>159</v>
      </c>
      <c r="I26" s="17">
        <v>14</v>
      </c>
      <c r="J26" s="2" t="s">
        <v>168</v>
      </c>
      <c r="K26" s="2" t="s">
        <v>193</v>
      </c>
      <c r="L26" s="2" t="s">
        <v>198</v>
      </c>
      <c r="M26" s="2">
        <v>0</v>
      </c>
      <c r="N26" s="2" t="s">
        <v>201</v>
      </c>
      <c r="O26" s="2" t="s">
        <v>202</v>
      </c>
      <c r="P26" s="2" t="s">
        <v>203</v>
      </c>
      <c r="Q26" s="17"/>
      <c r="R26" s="2" t="s">
        <v>204</v>
      </c>
      <c r="S26" s="2"/>
      <c r="T26" s="2" t="s">
        <v>203</v>
      </c>
      <c r="U26" s="2" t="s">
        <v>205</v>
      </c>
      <c r="V26" s="2" t="s">
        <v>206</v>
      </c>
      <c r="W26" s="20">
        <v>45611.821122685185</v>
      </c>
      <c r="X26" s="20">
        <v>46134.961805555555</v>
      </c>
      <c r="Y26" s="21"/>
      <c r="Z26" s="15"/>
      <c r="AA26" s="2" t="s">
        <v>233</v>
      </c>
      <c r="AB26" s="2"/>
      <c r="AC26" s="2"/>
      <c r="AD26" s="2"/>
      <c r="AE26" s="2"/>
      <c r="AF26" s="2"/>
      <c r="AG26" s="2"/>
      <c r="AH26" s="2"/>
      <c r="AI26" s="2"/>
      <c r="AJ26" s="2"/>
      <c r="AK26" s="2">
        <v>1</v>
      </c>
      <c r="AL26" s="2">
        <v>0</v>
      </c>
      <c r="AM26" s="20"/>
      <c r="AN26" s="2"/>
      <c r="AO26" s="24"/>
      <c r="AP26" s="2"/>
      <c r="AQ26" s="4" t="s">
        <v>255</v>
      </c>
      <c r="AR26" s="4" t="s">
        <v>193</v>
      </c>
      <c r="AS26" s="5" t="s">
        <v>289</v>
      </c>
      <c r="AT26" s="6" t="s">
        <v>291</v>
      </c>
      <c r="AU26" s="6" t="s">
        <v>292</v>
      </c>
      <c r="AV26" s="6" t="s">
        <v>314</v>
      </c>
      <c r="AW26" s="6" t="s">
        <v>332</v>
      </c>
      <c r="AX26" s="6" t="s">
        <v>334</v>
      </c>
      <c r="AY26" s="6" t="s">
        <v>342</v>
      </c>
      <c r="AZ26" s="5" t="s">
        <v>344</v>
      </c>
      <c r="BA26" s="23"/>
      <c r="BB26" s="6" t="s">
        <v>342</v>
      </c>
      <c r="BC26" s="7" t="s">
        <v>347</v>
      </c>
      <c r="BD26" s="2"/>
      <c r="BE26" s="2"/>
      <c r="BF26" s="2"/>
      <c r="BG26" s="2"/>
      <c r="BH26" s="2"/>
      <c r="BI26" s="2"/>
      <c r="BJ26" s="2"/>
      <c r="BK26" s="2"/>
      <c r="BL26" s="2"/>
    </row>
    <row r="27" spans="1:64" ht="80.099999999999994" customHeight="1" thickBot="1" x14ac:dyDescent="0.3">
      <c r="A27" s="2" t="s">
        <v>89</v>
      </c>
      <c r="B27" s="2" t="s">
        <v>98</v>
      </c>
      <c r="C27" s="2" t="s">
        <v>99</v>
      </c>
      <c r="D27" s="15" t="s">
        <v>100</v>
      </c>
      <c r="E27" s="22"/>
      <c r="F27" s="19" t="s">
        <v>128</v>
      </c>
      <c r="G27" s="18">
        <f>LEN(TablaPublicaciones[[#This Row],[Título]])</f>
        <v>56</v>
      </c>
      <c r="H27" s="15" t="s">
        <v>160</v>
      </c>
      <c r="I27" s="17">
        <v>15</v>
      </c>
      <c r="J27" s="2" t="s">
        <v>168</v>
      </c>
      <c r="K27" s="2" t="s">
        <v>194</v>
      </c>
      <c r="L27" s="2" t="s">
        <v>198</v>
      </c>
      <c r="M27" s="2">
        <v>0</v>
      </c>
      <c r="N27" s="2" t="s">
        <v>201</v>
      </c>
      <c r="O27" s="2" t="s">
        <v>202</v>
      </c>
      <c r="P27" s="2" t="s">
        <v>203</v>
      </c>
      <c r="Q27" s="17"/>
      <c r="R27" s="2" t="s">
        <v>204</v>
      </c>
      <c r="S27" s="2"/>
      <c r="T27" s="2" t="s">
        <v>203</v>
      </c>
      <c r="U27" s="2" t="s">
        <v>205</v>
      </c>
      <c r="V27" s="2" t="s">
        <v>206</v>
      </c>
      <c r="W27" s="20">
        <v>45611.821284722224</v>
      </c>
      <c r="X27" s="20">
        <v>46134.961805555555</v>
      </c>
      <c r="Y27" s="21"/>
      <c r="Z27" s="15"/>
      <c r="AA27" s="2" t="s">
        <v>234</v>
      </c>
      <c r="AB27" s="2"/>
      <c r="AC27" s="2"/>
      <c r="AD27" s="2"/>
      <c r="AE27" s="2"/>
      <c r="AF27" s="2"/>
      <c r="AG27" s="2"/>
      <c r="AH27" s="2"/>
      <c r="AI27" s="2"/>
      <c r="AJ27" s="2"/>
      <c r="AK27" s="2">
        <v>1</v>
      </c>
      <c r="AL27" s="2">
        <v>0</v>
      </c>
      <c r="AM27" s="20"/>
      <c r="AN27" s="2"/>
      <c r="AO27" s="24"/>
      <c r="AP27" s="2"/>
      <c r="AQ27" s="4" t="s">
        <v>255</v>
      </c>
      <c r="AR27" s="4" t="s">
        <v>263</v>
      </c>
      <c r="AS27" s="8" t="s">
        <v>290</v>
      </c>
      <c r="AT27" s="6" t="s">
        <v>291</v>
      </c>
      <c r="AU27" s="6" t="s">
        <v>292</v>
      </c>
      <c r="AV27" s="6" t="s">
        <v>315</v>
      </c>
      <c r="AW27" s="6" t="s">
        <v>333</v>
      </c>
      <c r="AX27" s="6" t="s">
        <v>334</v>
      </c>
      <c r="AY27" s="6" t="s">
        <v>341</v>
      </c>
      <c r="AZ27" s="8" t="s">
        <v>344</v>
      </c>
      <c r="BA27" s="23"/>
      <c r="BB27" s="6" t="s">
        <v>342</v>
      </c>
      <c r="BC27" s="7" t="s">
        <v>347</v>
      </c>
      <c r="BD27" s="2"/>
      <c r="BE27" s="2"/>
      <c r="BF27" s="2"/>
      <c r="BG27" s="2"/>
      <c r="BH27" s="2"/>
      <c r="BI27" s="2"/>
      <c r="BJ27" s="2"/>
      <c r="BK27" s="2"/>
      <c r="BL27" s="2"/>
    </row>
    <row r="28" spans="1:64" ht="80.099999999999994" customHeight="1" thickBot="1" x14ac:dyDescent="0.3">
      <c r="A28" s="2" t="s">
        <v>90</v>
      </c>
      <c r="B28" s="2" t="s">
        <v>98</v>
      </c>
      <c r="C28" s="2" t="s">
        <v>99</v>
      </c>
      <c r="D28" s="15" t="s">
        <v>101</v>
      </c>
      <c r="E28" s="22"/>
      <c r="F28" s="19" t="s">
        <v>129</v>
      </c>
      <c r="G28" s="18">
        <f>LEN(TablaPublicaciones[[#This Row],[Título]])</f>
        <v>55</v>
      </c>
      <c r="H28" s="15" t="s">
        <v>161</v>
      </c>
      <c r="I28" s="17">
        <v>9.86</v>
      </c>
      <c r="J28" s="2" t="s">
        <v>168</v>
      </c>
      <c r="K28" s="2" t="s">
        <v>195</v>
      </c>
      <c r="L28" s="2" t="s">
        <v>198</v>
      </c>
      <c r="M28" s="2">
        <v>0</v>
      </c>
      <c r="N28" s="2" t="s">
        <v>201</v>
      </c>
      <c r="O28" s="2" t="s">
        <v>202</v>
      </c>
      <c r="P28" s="2" t="s">
        <v>203</v>
      </c>
      <c r="Q28" s="17"/>
      <c r="R28" s="2" t="s">
        <v>204</v>
      </c>
      <c r="S28" s="2"/>
      <c r="T28" s="2" t="s">
        <v>203</v>
      </c>
      <c r="U28" s="2" t="s">
        <v>205</v>
      </c>
      <c r="V28" s="2" t="s">
        <v>207</v>
      </c>
      <c r="W28" s="20">
        <v>45665.490914351853</v>
      </c>
      <c r="X28" s="20">
        <v>46134.961851851855</v>
      </c>
      <c r="Y28" s="21"/>
      <c r="Z28" s="15"/>
      <c r="AA28" s="2" t="s">
        <v>235</v>
      </c>
      <c r="AB28" s="2" t="s">
        <v>242</v>
      </c>
      <c r="AC28" s="2" t="s">
        <v>247</v>
      </c>
      <c r="AD28" s="2"/>
      <c r="AE28" s="2"/>
      <c r="AF28" s="2"/>
      <c r="AG28" s="2"/>
      <c r="AH28" s="2"/>
      <c r="AI28" s="2"/>
      <c r="AJ28" s="2"/>
      <c r="AK28" s="2">
        <v>1</v>
      </c>
      <c r="AL28" s="2">
        <v>0</v>
      </c>
      <c r="AM28" s="20"/>
      <c r="AN28" s="9"/>
      <c r="AO28" s="25"/>
      <c r="AP28" s="9"/>
      <c r="AQ28" s="4" t="s">
        <v>257</v>
      </c>
      <c r="AR28" s="5" t="s">
        <v>195</v>
      </c>
      <c r="AS28" s="2"/>
      <c r="AT28" s="2"/>
      <c r="AU28" s="2"/>
      <c r="AV28" s="2"/>
      <c r="AW28" s="2"/>
      <c r="AX28" s="2"/>
      <c r="AY28" s="6" t="s">
        <v>343</v>
      </c>
      <c r="AZ28" s="6" t="s">
        <v>344</v>
      </c>
      <c r="BA28" s="24"/>
      <c r="BB28" s="10" t="s">
        <v>345</v>
      </c>
      <c r="BC28" s="7"/>
      <c r="BD28" s="6"/>
      <c r="BE28" s="6"/>
      <c r="BF28" s="6"/>
      <c r="BG28" s="6"/>
      <c r="BH28" s="6"/>
      <c r="BI28" s="6"/>
      <c r="BJ28" s="2"/>
      <c r="BK28" s="2"/>
      <c r="BL28" s="2"/>
    </row>
    <row r="29" spans="1:64" ht="80.099999999999994" customHeight="1" thickBot="1" x14ac:dyDescent="0.3">
      <c r="A29" s="2" t="s">
        <v>91</v>
      </c>
      <c r="B29" s="2" t="s">
        <v>98</v>
      </c>
      <c r="C29" s="2" t="s">
        <v>99</v>
      </c>
      <c r="D29" s="15" t="s">
        <v>101</v>
      </c>
      <c r="E29" s="22"/>
      <c r="F29" s="19" t="s">
        <v>130</v>
      </c>
      <c r="G29" s="18">
        <f>LEN(TablaPublicaciones[[#This Row],[Título]])</f>
        <v>49</v>
      </c>
      <c r="H29" s="15" t="s">
        <v>162</v>
      </c>
      <c r="I29" s="17">
        <v>9.86</v>
      </c>
      <c r="J29" s="2" t="s">
        <v>168</v>
      </c>
      <c r="K29" s="2" t="s">
        <v>195</v>
      </c>
      <c r="L29" s="2" t="s">
        <v>198</v>
      </c>
      <c r="M29" s="2">
        <v>0</v>
      </c>
      <c r="N29" s="2" t="s">
        <v>201</v>
      </c>
      <c r="O29" s="2" t="s">
        <v>202</v>
      </c>
      <c r="P29" s="2" t="s">
        <v>203</v>
      </c>
      <c r="Q29" s="17"/>
      <c r="R29" s="2" t="s">
        <v>204</v>
      </c>
      <c r="S29" s="2"/>
      <c r="T29" s="2" t="s">
        <v>203</v>
      </c>
      <c r="U29" s="2" t="s">
        <v>205</v>
      </c>
      <c r="V29" s="2" t="s">
        <v>207</v>
      </c>
      <c r="W29" s="20">
        <v>45665.490937499999</v>
      </c>
      <c r="X29" s="20">
        <v>46134.961851851855</v>
      </c>
      <c r="Y29" s="21"/>
      <c r="Z29" s="15"/>
      <c r="AA29" s="2" t="s">
        <v>236</v>
      </c>
      <c r="AB29" s="2" t="s">
        <v>243</v>
      </c>
      <c r="AC29" s="2" t="s">
        <v>248</v>
      </c>
      <c r="AD29" s="2" t="s">
        <v>252</v>
      </c>
      <c r="AE29" s="2"/>
      <c r="AF29" s="2"/>
      <c r="AG29" s="2"/>
      <c r="AH29" s="2"/>
      <c r="AI29" s="2"/>
      <c r="AJ29" s="2"/>
      <c r="AK29" s="2">
        <v>3</v>
      </c>
      <c r="AL29" s="2">
        <v>0</v>
      </c>
      <c r="AM29" s="20"/>
      <c r="AN29" s="9"/>
      <c r="AO29" s="25"/>
      <c r="AP29" s="9"/>
      <c r="AQ29" s="4" t="s">
        <v>257</v>
      </c>
      <c r="AR29" s="5" t="s">
        <v>195</v>
      </c>
      <c r="AS29" s="2"/>
      <c r="AT29" s="2"/>
      <c r="AU29" s="2"/>
      <c r="AV29" s="2"/>
      <c r="AW29" s="2"/>
      <c r="AX29" s="2"/>
      <c r="AY29" s="6" t="s">
        <v>343</v>
      </c>
      <c r="AZ29" s="6" t="s">
        <v>344</v>
      </c>
      <c r="BA29" s="24"/>
      <c r="BB29" s="10" t="s">
        <v>345</v>
      </c>
      <c r="BC29" s="7"/>
      <c r="BD29" s="6"/>
      <c r="BE29" s="6"/>
      <c r="BF29" s="6"/>
      <c r="BG29" s="6"/>
      <c r="BH29" s="6"/>
      <c r="BI29" s="6"/>
      <c r="BJ29" s="2"/>
      <c r="BK29" s="2"/>
      <c r="BL29" s="2"/>
    </row>
    <row r="30" spans="1:64" ht="80.099999999999994" customHeight="1" thickBot="1" x14ac:dyDescent="0.3">
      <c r="A30" s="2" t="s">
        <v>92</v>
      </c>
      <c r="B30" s="2" t="s">
        <v>98</v>
      </c>
      <c r="C30" s="2" t="s">
        <v>99</v>
      </c>
      <c r="D30" s="15" t="s">
        <v>101</v>
      </c>
      <c r="E30" s="22"/>
      <c r="F30" s="19" t="s">
        <v>131</v>
      </c>
      <c r="G30" s="18">
        <f>LEN(TablaPublicaciones[[#This Row],[Título]])</f>
        <v>54</v>
      </c>
      <c r="H30" s="15" t="s">
        <v>161</v>
      </c>
      <c r="I30" s="17">
        <v>9.86</v>
      </c>
      <c r="J30" s="2" t="s">
        <v>168</v>
      </c>
      <c r="K30" s="2" t="s">
        <v>195</v>
      </c>
      <c r="L30" s="2" t="s">
        <v>198</v>
      </c>
      <c r="M30" s="2">
        <v>0</v>
      </c>
      <c r="N30" s="2" t="s">
        <v>201</v>
      </c>
      <c r="O30" s="2" t="s">
        <v>202</v>
      </c>
      <c r="P30" s="2" t="s">
        <v>203</v>
      </c>
      <c r="Q30" s="17"/>
      <c r="R30" s="2" t="s">
        <v>204</v>
      </c>
      <c r="S30" s="2"/>
      <c r="T30" s="2" t="s">
        <v>203</v>
      </c>
      <c r="U30" s="2" t="s">
        <v>205</v>
      </c>
      <c r="V30" s="2" t="s">
        <v>207</v>
      </c>
      <c r="W30" s="20">
        <v>45665.490914351853</v>
      </c>
      <c r="X30" s="20">
        <v>46134.961851851855</v>
      </c>
      <c r="Y30" s="21"/>
      <c r="Z30" s="15"/>
      <c r="AA30" s="2" t="s">
        <v>237</v>
      </c>
      <c r="AB30" s="2" t="s">
        <v>244</v>
      </c>
      <c r="AC30" s="2" t="s">
        <v>249</v>
      </c>
      <c r="AD30" s="2" t="s">
        <v>253</v>
      </c>
      <c r="AE30" s="2"/>
      <c r="AF30" s="2"/>
      <c r="AG30" s="2"/>
      <c r="AH30" s="2"/>
      <c r="AI30" s="2"/>
      <c r="AJ30" s="2"/>
      <c r="AK30" s="2">
        <v>1</v>
      </c>
      <c r="AL30" s="2">
        <v>0</v>
      </c>
      <c r="AM30" s="20"/>
      <c r="AN30" s="9"/>
      <c r="AO30" s="25"/>
      <c r="AP30" s="9"/>
      <c r="AQ30" s="4" t="s">
        <v>257</v>
      </c>
      <c r="AR30" s="5" t="s">
        <v>195</v>
      </c>
      <c r="AS30" s="2"/>
      <c r="AT30" s="2"/>
      <c r="AU30" s="2"/>
      <c r="AV30" s="2"/>
      <c r="AW30" s="2"/>
      <c r="AX30" s="2"/>
      <c r="AY30" s="6" t="s">
        <v>343</v>
      </c>
      <c r="AZ30" s="6" t="s">
        <v>344</v>
      </c>
      <c r="BA30" s="24"/>
      <c r="BB30" s="10" t="s">
        <v>345</v>
      </c>
      <c r="BC30" s="7"/>
      <c r="BD30" s="6"/>
      <c r="BE30" s="6"/>
      <c r="BF30" s="6"/>
      <c r="BG30" s="6"/>
      <c r="BH30" s="6"/>
      <c r="BI30" s="6"/>
      <c r="BJ30" s="2"/>
      <c r="BK30" s="2"/>
      <c r="BL30" s="2"/>
    </row>
    <row r="31" spans="1:64" ht="80.099999999999994" customHeight="1" thickBot="1" x14ac:dyDescent="0.3">
      <c r="A31" s="2" t="s">
        <v>93</v>
      </c>
      <c r="B31" s="2" t="s">
        <v>98</v>
      </c>
      <c r="C31" s="2" t="s">
        <v>99</v>
      </c>
      <c r="D31" s="15" t="s">
        <v>101</v>
      </c>
      <c r="E31" s="22"/>
      <c r="F31" s="19" t="s">
        <v>132</v>
      </c>
      <c r="G31" s="18">
        <f>LEN(TablaPublicaciones[[#This Row],[Título]])</f>
        <v>42</v>
      </c>
      <c r="H31" s="15" t="s">
        <v>163</v>
      </c>
      <c r="I31" s="17">
        <v>9.86</v>
      </c>
      <c r="J31" s="2" t="s">
        <v>168</v>
      </c>
      <c r="K31" s="2" t="s">
        <v>196</v>
      </c>
      <c r="L31" s="2" t="s">
        <v>198</v>
      </c>
      <c r="M31" s="2">
        <v>0</v>
      </c>
      <c r="N31" s="2" t="s">
        <v>201</v>
      </c>
      <c r="O31" s="2" t="s">
        <v>202</v>
      </c>
      <c r="P31" s="2" t="s">
        <v>203</v>
      </c>
      <c r="Q31" s="17"/>
      <c r="R31" s="2" t="s">
        <v>204</v>
      </c>
      <c r="S31" s="2"/>
      <c r="T31" s="2" t="s">
        <v>203</v>
      </c>
      <c r="U31" s="2" t="s">
        <v>205</v>
      </c>
      <c r="V31" s="2" t="s">
        <v>207</v>
      </c>
      <c r="W31" s="20">
        <v>45665.490613425929</v>
      </c>
      <c r="X31" s="20">
        <v>46134.961886574078</v>
      </c>
      <c r="Y31" s="21"/>
      <c r="Z31" s="15"/>
      <c r="AA31" s="2" t="s">
        <v>238</v>
      </c>
      <c r="AB31" s="2" t="s">
        <v>245</v>
      </c>
      <c r="AC31" s="2" t="s">
        <v>250</v>
      </c>
      <c r="AD31" s="2"/>
      <c r="AE31" s="2"/>
      <c r="AF31" s="2"/>
      <c r="AG31" s="2"/>
      <c r="AH31" s="2"/>
      <c r="AI31" s="2"/>
      <c r="AJ31" s="2"/>
      <c r="AK31" s="2">
        <v>1</v>
      </c>
      <c r="AL31" s="2">
        <v>0</v>
      </c>
      <c r="AM31" s="20"/>
      <c r="AN31" s="9"/>
      <c r="AO31" s="25"/>
      <c r="AP31" s="9"/>
      <c r="AQ31" s="4" t="s">
        <v>257</v>
      </c>
      <c r="AR31" s="5" t="s">
        <v>196</v>
      </c>
      <c r="AS31" s="2"/>
      <c r="AT31" s="2"/>
      <c r="AU31" s="2"/>
      <c r="AV31" s="2"/>
      <c r="AW31" s="2"/>
      <c r="AX31" s="2"/>
      <c r="AY31" s="6" t="s">
        <v>343</v>
      </c>
      <c r="AZ31" s="6" t="s">
        <v>344</v>
      </c>
      <c r="BA31" s="24"/>
      <c r="BB31" s="10" t="s">
        <v>346</v>
      </c>
      <c r="BC31" s="7"/>
      <c r="BD31" s="6"/>
      <c r="BE31" s="6"/>
      <c r="BF31" s="6"/>
      <c r="BG31" s="6"/>
      <c r="BH31" s="6"/>
      <c r="BI31" s="6"/>
      <c r="BJ31" s="2"/>
      <c r="BK31" s="2"/>
      <c r="BL31" s="2"/>
    </row>
    <row r="32" spans="1:64" ht="80.099999999999994" customHeight="1" thickBot="1" x14ac:dyDescent="0.3">
      <c r="A32" s="2" t="s">
        <v>94</v>
      </c>
      <c r="B32" s="2" t="s">
        <v>98</v>
      </c>
      <c r="C32" s="2" t="s">
        <v>99</v>
      </c>
      <c r="D32" s="15" t="s">
        <v>101</v>
      </c>
      <c r="E32" s="22"/>
      <c r="F32" s="19" t="s">
        <v>133</v>
      </c>
      <c r="G32" s="18">
        <f>LEN(TablaPublicaciones[[#This Row],[Título]])</f>
        <v>56</v>
      </c>
      <c r="H32" s="15" t="s">
        <v>164</v>
      </c>
      <c r="I32" s="17">
        <v>9.86</v>
      </c>
      <c r="J32" s="2" t="s">
        <v>168</v>
      </c>
      <c r="K32" s="2" t="s">
        <v>195</v>
      </c>
      <c r="L32" s="2" t="s">
        <v>198</v>
      </c>
      <c r="M32" s="2">
        <v>0</v>
      </c>
      <c r="N32" s="2" t="s">
        <v>201</v>
      </c>
      <c r="O32" s="2" t="s">
        <v>202</v>
      </c>
      <c r="P32" s="2" t="s">
        <v>203</v>
      </c>
      <c r="Q32" s="17"/>
      <c r="R32" s="2" t="s">
        <v>204</v>
      </c>
      <c r="S32" s="2"/>
      <c r="T32" s="2" t="s">
        <v>203</v>
      </c>
      <c r="U32" s="2" t="s">
        <v>205</v>
      </c>
      <c r="V32" s="2" t="s">
        <v>207</v>
      </c>
      <c r="W32" s="20">
        <v>45665.490914351853</v>
      </c>
      <c r="X32" s="20">
        <v>46134.961909722224</v>
      </c>
      <c r="Y32" s="21"/>
      <c r="Z32" s="15"/>
      <c r="AA32" s="2" t="s">
        <v>239</v>
      </c>
      <c r="AB32" s="2" t="s">
        <v>246</v>
      </c>
      <c r="AC32" s="2" t="s">
        <v>251</v>
      </c>
      <c r="AD32" s="2" t="s">
        <v>254</v>
      </c>
      <c r="AE32" s="2"/>
      <c r="AF32" s="2"/>
      <c r="AG32" s="2"/>
      <c r="AH32" s="2"/>
      <c r="AI32" s="2"/>
      <c r="AJ32" s="2"/>
      <c r="AK32" s="2">
        <v>0</v>
      </c>
      <c r="AL32" s="2">
        <v>0</v>
      </c>
      <c r="AM32" s="20"/>
      <c r="AN32" s="9"/>
      <c r="AO32" s="25"/>
      <c r="AP32" s="9"/>
      <c r="AQ32" s="4" t="s">
        <v>257</v>
      </c>
      <c r="AR32" s="5" t="s">
        <v>195</v>
      </c>
      <c r="AS32" s="2"/>
      <c r="AT32" s="2"/>
      <c r="AU32" s="2"/>
      <c r="AV32" s="2"/>
      <c r="AW32" s="2"/>
      <c r="AX32" s="2"/>
      <c r="AY32" s="6" t="s">
        <v>343</v>
      </c>
      <c r="AZ32" s="6" t="s">
        <v>344</v>
      </c>
      <c r="BA32" s="24"/>
      <c r="BB32" s="10" t="s">
        <v>345</v>
      </c>
      <c r="BC32" s="7"/>
      <c r="BD32" s="6"/>
      <c r="BE32" s="6"/>
      <c r="BF32" s="6"/>
      <c r="BG32" s="6"/>
      <c r="BH32" s="6"/>
      <c r="BI32" s="6"/>
      <c r="BJ32" s="2"/>
      <c r="BK32" s="2"/>
      <c r="BL32" s="2"/>
    </row>
    <row r="33" spans="1:64" ht="80.099999999999994" customHeight="1" thickBot="1" x14ac:dyDescent="0.3">
      <c r="A33" s="2" t="s">
        <v>95</v>
      </c>
      <c r="B33" s="2" t="s">
        <v>98</v>
      </c>
      <c r="C33" s="2" t="s">
        <v>99</v>
      </c>
      <c r="D33" s="15" t="s">
        <v>101</v>
      </c>
      <c r="E33" s="22"/>
      <c r="F33" s="19" t="s">
        <v>134</v>
      </c>
      <c r="G33" s="18">
        <f>LEN(TablaPublicaciones[[#This Row],[Título]])</f>
        <v>52</v>
      </c>
      <c r="H33" s="15" t="s">
        <v>165</v>
      </c>
      <c r="I33" s="17">
        <v>9.86</v>
      </c>
      <c r="J33" s="2" t="s">
        <v>168</v>
      </c>
      <c r="K33" s="2" t="s">
        <v>195</v>
      </c>
      <c r="L33" s="2" t="s">
        <v>198</v>
      </c>
      <c r="M33" s="2">
        <v>0</v>
      </c>
      <c r="N33" s="2" t="s">
        <v>201</v>
      </c>
      <c r="O33" s="2" t="s">
        <v>202</v>
      </c>
      <c r="P33" s="2" t="s">
        <v>203</v>
      </c>
      <c r="Q33" s="17"/>
      <c r="R33" s="2" t="s">
        <v>204</v>
      </c>
      <c r="S33" s="2"/>
      <c r="T33" s="2" t="s">
        <v>203</v>
      </c>
      <c r="U33" s="2" t="s">
        <v>205</v>
      </c>
      <c r="V33" s="2" t="s">
        <v>207</v>
      </c>
      <c r="W33" s="20">
        <v>45665.490937499999</v>
      </c>
      <c r="X33" s="20">
        <v>46134.961863425924</v>
      </c>
      <c r="Y33" s="21"/>
      <c r="Z33" s="15"/>
      <c r="AA33" s="2" t="s">
        <v>237</v>
      </c>
      <c r="AB33" s="2" t="s">
        <v>244</v>
      </c>
      <c r="AC33" s="2" t="s">
        <v>248</v>
      </c>
      <c r="AD33" s="2" t="s">
        <v>252</v>
      </c>
      <c r="AE33" s="2"/>
      <c r="AF33" s="2"/>
      <c r="AG33" s="2"/>
      <c r="AH33" s="2"/>
      <c r="AI33" s="2"/>
      <c r="AJ33" s="2"/>
      <c r="AK33" s="2">
        <v>2</v>
      </c>
      <c r="AL33" s="2">
        <v>0</v>
      </c>
      <c r="AM33" s="20"/>
      <c r="AN33" s="9"/>
      <c r="AO33" s="25"/>
      <c r="AP33" s="9"/>
      <c r="AQ33" s="4" t="s">
        <v>257</v>
      </c>
      <c r="AR33" s="5" t="s">
        <v>195</v>
      </c>
      <c r="AS33" s="2"/>
      <c r="AT33" s="2"/>
      <c r="AU33" s="2"/>
      <c r="AV33" s="2"/>
      <c r="AW33" s="2"/>
      <c r="AX33" s="2"/>
      <c r="AY33" s="6" t="s">
        <v>343</v>
      </c>
      <c r="AZ33" s="6" t="s">
        <v>344</v>
      </c>
      <c r="BA33" s="24"/>
      <c r="BB33" s="10" t="s">
        <v>345</v>
      </c>
      <c r="BC33" s="7"/>
      <c r="BD33" s="6"/>
      <c r="BE33" s="6"/>
      <c r="BF33" s="6"/>
      <c r="BG33" s="6"/>
      <c r="BH33" s="6"/>
      <c r="BI33" s="6"/>
      <c r="BJ33" s="2"/>
      <c r="BK33" s="2"/>
      <c r="BL33" s="2"/>
    </row>
    <row r="34" spans="1:64" ht="80.099999999999994" customHeight="1" thickBot="1" x14ac:dyDescent="0.3">
      <c r="A34" s="2" t="s">
        <v>96</v>
      </c>
      <c r="B34" s="2" t="s">
        <v>98</v>
      </c>
      <c r="C34" s="2" t="s">
        <v>99</v>
      </c>
      <c r="D34" s="15" t="s">
        <v>101</v>
      </c>
      <c r="E34" s="22"/>
      <c r="F34" s="19" t="s">
        <v>135</v>
      </c>
      <c r="G34" s="18">
        <f>LEN(TablaPublicaciones[[#This Row],[Título]])</f>
        <v>54</v>
      </c>
      <c r="H34" s="15" t="s">
        <v>166</v>
      </c>
      <c r="I34" s="17">
        <v>9.86</v>
      </c>
      <c r="J34" s="2" t="s">
        <v>168</v>
      </c>
      <c r="K34" s="2" t="s">
        <v>195</v>
      </c>
      <c r="L34" s="2" t="s">
        <v>198</v>
      </c>
      <c r="M34" s="2">
        <v>0</v>
      </c>
      <c r="N34" s="2" t="s">
        <v>201</v>
      </c>
      <c r="O34" s="2" t="s">
        <v>202</v>
      </c>
      <c r="P34" s="2" t="s">
        <v>203</v>
      </c>
      <c r="Q34" s="17"/>
      <c r="R34" s="2" t="s">
        <v>204</v>
      </c>
      <c r="S34" s="2"/>
      <c r="T34" s="2" t="s">
        <v>203</v>
      </c>
      <c r="U34" s="2" t="s">
        <v>205</v>
      </c>
      <c r="V34" s="2" t="s">
        <v>207</v>
      </c>
      <c r="W34" s="20">
        <v>45665.490949074076</v>
      </c>
      <c r="X34" s="20">
        <v>46134.961886574078</v>
      </c>
      <c r="Y34" s="21"/>
      <c r="Z34" s="15"/>
      <c r="AA34" s="2" t="s">
        <v>237</v>
      </c>
      <c r="AB34" s="2" t="s">
        <v>244</v>
      </c>
      <c r="AC34" s="2" t="s">
        <v>248</v>
      </c>
      <c r="AD34" s="2" t="s">
        <v>252</v>
      </c>
      <c r="AE34" s="2"/>
      <c r="AF34" s="2"/>
      <c r="AG34" s="2"/>
      <c r="AH34" s="2"/>
      <c r="AI34" s="2"/>
      <c r="AJ34" s="2"/>
      <c r="AK34" s="2">
        <v>0</v>
      </c>
      <c r="AL34" s="2">
        <v>0</v>
      </c>
      <c r="AM34" s="20"/>
      <c r="AN34" s="9"/>
      <c r="AO34" s="25"/>
      <c r="AP34" s="9"/>
      <c r="AQ34" s="4" t="s">
        <v>257</v>
      </c>
      <c r="AR34" s="5" t="s">
        <v>195</v>
      </c>
      <c r="AS34" s="2"/>
      <c r="AT34" s="2"/>
      <c r="AU34" s="2"/>
      <c r="AV34" s="2"/>
      <c r="AW34" s="2"/>
      <c r="AX34" s="2"/>
      <c r="AY34" s="6" t="s">
        <v>343</v>
      </c>
      <c r="AZ34" s="6" t="s">
        <v>344</v>
      </c>
      <c r="BA34" s="24"/>
      <c r="BB34" s="10" t="s">
        <v>345</v>
      </c>
      <c r="BC34" s="7"/>
      <c r="BD34" s="6"/>
      <c r="BE34" s="6"/>
      <c r="BF34" s="6"/>
      <c r="BG34" s="6"/>
      <c r="BH34" s="6"/>
      <c r="BI34" s="6"/>
      <c r="BJ34" s="2"/>
      <c r="BK34" s="2"/>
      <c r="BL34" s="2"/>
    </row>
    <row r="35" spans="1:64" ht="80.099999999999994" customHeight="1" thickBot="1" x14ac:dyDescent="0.3">
      <c r="A35" s="2" t="s">
        <v>97</v>
      </c>
      <c r="B35" s="2" t="s">
        <v>98</v>
      </c>
      <c r="C35" s="2" t="s">
        <v>99</v>
      </c>
      <c r="D35" s="15" t="s">
        <v>102</v>
      </c>
      <c r="E35" s="22"/>
      <c r="F35" s="19" t="s">
        <v>136</v>
      </c>
      <c r="G35" s="18">
        <f>LEN(TablaPublicaciones[[#This Row],[Título]])</f>
        <v>45</v>
      </c>
      <c r="H35" s="15" t="s">
        <v>167</v>
      </c>
      <c r="I35" s="17">
        <v>73.08</v>
      </c>
      <c r="J35" s="2" t="s">
        <v>168</v>
      </c>
      <c r="K35" s="2" t="s">
        <v>197</v>
      </c>
      <c r="L35" s="2" t="s">
        <v>200</v>
      </c>
      <c r="M35" s="2">
        <v>2</v>
      </c>
      <c r="N35" s="2" t="s">
        <v>201</v>
      </c>
      <c r="O35" s="2" t="s">
        <v>202</v>
      </c>
      <c r="P35" s="2" t="s">
        <v>203</v>
      </c>
      <c r="Q35" s="17"/>
      <c r="R35" s="2" t="s">
        <v>204</v>
      </c>
      <c r="S35" s="2"/>
      <c r="T35" s="2" t="s">
        <v>203</v>
      </c>
      <c r="U35" s="2" t="s">
        <v>205</v>
      </c>
      <c r="V35" s="2" t="s">
        <v>208</v>
      </c>
      <c r="W35" s="20">
        <v>46120.28502314815</v>
      </c>
      <c r="X35" s="20">
        <v>46134.963622685187</v>
      </c>
      <c r="Y35" s="21"/>
      <c r="Z35" s="15"/>
      <c r="AA35" s="2" t="s">
        <v>240</v>
      </c>
      <c r="AB35" s="2"/>
      <c r="AC35" s="2"/>
      <c r="AD35" s="2"/>
      <c r="AE35" s="2"/>
      <c r="AF35" s="2"/>
      <c r="AG35" s="2"/>
      <c r="AH35" s="2"/>
      <c r="AI35" s="2"/>
      <c r="AJ35" s="2"/>
      <c r="AK35" s="2">
        <v>0</v>
      </c>
      <c r="AL35" s="2">
        <v>0</v>
      </c>
      <c r="AM35" s="20"/>
      <c r="AN35" s="2"/>
      <c r="AO35" s="24"/>
      <c r="AP35" s="2"/>
      <c r="AQ35" s="11" t="s">
        <v>258</v>
      </c>
      <c r="AR35" s="8" t="s">
        <v>264</v>
      </c>
      <c r="AS35" s="2"/>
      <c r="AT35" s="2"/>
      <c r="AU35" s="2"/>
      <c r="AV35" s="2"/>
      <c r="AW35" s="2"/>
      <c r="AX35" s="2"/>
      <c r="AY35" s="6"/>
      <c r="AZ35" s="8" t="s">
        <v>344</v>
      </c>
      <c r="BA35" s="24"/>
      <c r="BB35" s="10" t="s">
        <v>264</v>
      </c>
      <c r="BC35" s="2"/>
      <c r="BD35" s="2"/>
      <c r="BE35" s="2"/>
      <c r="BF35" s="2"/>
      <c r="BG35" s="2"/>
      <c r="BH35" s="2"/>
      <c r="BI35" s="6"/>
      <c r="BJ35" s="6"/>
      <c r="BK35" s="6"/>
      <c r="BL35" s="6"/>
    </row>
  </sheetData>
  <conditionalFormatting sqref="G2:G35">
    <cfRule type="expression" dxfId="69" priority="1" stopIfTrue="1">
      <formula>G2&gt;60</formula>
    </cfRule>
    <cfRule type="expression" dxfId="68" priority="2" stopIfTrue="1">
      <formula>G2&gt;57</formula>
    </cfRule>
  </conditionalFormatting>
  <conditionalFormatting sqref="AM2:AM35">
    <cfRule type="expression" dxfId="67" priority="3" stopIfTrue="1">
      <formula>AND(AM2&lt;TODAY()-180,AM2&gt;1)</formula>
    </cfRule>
    <cfRule type="expression" dxfId="66" priority="4" stopIfTrue="1">
      <formula>AND(W2&lt;TODAY()-180,AM2="")</formula>
    </cfRule>
  </conditionalFormatting>
  <dataValidations count="22">
    <dataValidation type="list" errorStyle="information" operator="equal" allowBlank="1" showInputMessage="1" sqref="AN28:AN34" xr:uid="{432B6907-B03F-4D6E-8F5F-82FEECD81838}">
      <formula1>"Verde oscuro,Turquesa,Agua,Índigo,Lavanda,Rosa chicle,Bordó,Nude,Blanco,Azul marino,Crema,Rosa pálido,Suela,Naranja claro,Azul,Rosa claro,Coral claro,Coral,Celeste,Azul acero,Caqui,Beige,Rojo,Terracota,Gris,Violeta,Marrón claro,Negro,Marrón oscuro,Rosa"</formula1>
    </dataValidation>
    <dataValidation type="list" errorStyle="information" operator="equal" allowBlank="1" showInputMessage="1" sqref="AT2:AT27" xr:uid="{C1BE4AB2-8FFE-4E96-A990-CAD1649723DA}">
      <formula1>"Unidad,Pack"</formula1>
    </dataValidation>
    <dataValidation type="list" errorStyle="information" operator="equal" allowBlank="1" showInputMessage="1" sqref="AX2:AX27" xr:uid="{E1135E0D-F5F7-4E02-AA0E-216A6AD847D6}">
      <formula1>"Baúl,Capot,Luneta"</formula1>
    </dataValidation>
    <dataValidation type="list" errorStyle="information" operator="equal" allowBlank="1" showInputMessage="1" sqref="AY28:AY35" xr:uid="{12FB3A00-4AA5-41DD-ACB1-34A7CF5CA72C}">
      <formula1>"Alemania,Argentina,Brasil,China,Estados Unidos,Francia,Japón,México"</formula1>
    </dataValidation>
    <dataValidation type="list" errorStyle="information" operator="equal" allowBlank="1" showInputMessage="1" sqref="AZ35 AZ2:AZ27" xr:uid="{CA3B71E8-7ECC-4A24-B1AC-EAF1CBDCD03D}">
      <formula1>"Carro/Camioneta"</formula1>
    </dataValidation>
    <dataValidation type="list" errorStyle="information" operator="equal" allowBlank="1" showInputMessage="1" sqref="AZ28:AZ34" xr:uid="{BB41CBA2-4BB0-477B-8863-AB9231DF41D1}">
      <formula1>"Carro/Camioneta,Moto/Cuatriciclo,Línea Pesada,Agrícola"</formula1>
    </dataValidation>
    <dataValidation type="list" errorStyle="information" operator="equal" allowBlank="1" showInputMessage="1" sqref="BC2:BC34" xr:uid="{0C9B15B8-DE57-429A-9496-C1E40FCEDD4B}">
      <formula1>"El producto es una pieza artesanal,El producto es un kit o un pack,El producto no tiene código registrado,Otra razón"</formula1>
    </dataValidation>
    <dataValidation type="list" errorStyle="information" operator="equal" allowBlank="1" showInputMessage="1" sqref="BD28:BD34" xr:uid="{F844E4A0-7962-4D68-9528-01A4CD74BD65}">
      <formula1>"Carbón,Cobre"</formula1>
    </dataValidation>
    <dataValidation type="list" errorStyle="information" operator="equal" allowBlank="1" showInputMessage="1" sqref="BG28:BG34" xr:uid="{2138E39F-207B-4D82-BD89-F74225E5DD66}">
      <formula1>"No,Sí"</formula1>
    </dataValidation>
    <dataValidation type="list" errorStyle="information" operator="equal" allowBlank="1" showInputMessage="1" sqref="BI28:BI34" xr:uid="{B86F5289-14D6-42CB-BABB-DF86B36ABBD8}">
      <formula1>"Acero inoxidable,Aluminio"</formula1>
    </dataValidation>
    <dataValidation type="list" errorStyle="information" operator="equal" allowBlank="1" showInputMessage="1" sqref="BI35" xr:uid="{DF8C1E27-CE49-40E9-AFBD-65F9AF571191}">
      <formula1>"Bajos metales,Cerámica,Metal,Orgánico,Semimetálica"</formula1>
    </dataValidation>
    <dataValidation type="decimal" allowBlank="1" showInputMessage="1" showErrorMessage="1" error="Debe ingresar un precio mayor que cero" sqref="I2:I35" xr:uid="{3554669C-49B2-4449-8842-57FBCD4B406C}">
      <formula1>0</formula1>
      <formula2>2147483647</formula2>
    </dataValidation>
    <dataValidation type="list" operator="equal" allowBlank="1" showInputMessage="1" showErrorMessage="1" sqref="J2:J35" xr:uid="{E4CE8012-1E0A-409C-A588-1901071845F8}">
      <formula1>"USD,VES"</formula1>
    </dataValidation>
    <dataValidation type="whole" allowBlank="1" showInputMessage="1" showErrorMessage="1" error="Debe ingresar un valor númerico" sqref="M2:M35" xr:uid="{975A01CE-0FA6-4FFA-8447-DA1A8E8F29FC}">
      <formula1>0</formula1>
      <formula2>2147483647</formula2>
    </dataValidation>
    <dataValidation type="list" operator="equal" allowBlank="1" showInputMessage="1" showErrorMessage="1" sqref="L2:L35" xr:uid="{2EEE6BB6-ED94-46F3-BE38-D73A98F41356}">
      <formula1>"Activa,Pausada,Finalizada,ELIMINAR"</formula1>
    </dataValidation>
    <dataValidation type="list" operator="equal" allowBlank="1" showInputMessage="1" showErrorMessage="1" sqref="N2:N35" xr:uid="{F51D5CB0-88C3-4772-90A3-ECB0A2D86246}">
      <formula1>"Oro Premium,Oro Premium (gold_premium),Premium,Oro,Plata,Clásico,Gratuita"</formula1>
    </dataValidation>
    <dataValidation type="list" operator="equal" allowBlank="1" showInputMessage="1" showErrorMessage="1" sqref="O2:O35" xr:uid="{5284F251-2287-49E3-985A-554B7C826689}">
      <formula1>"Nuevo,Usado,Reacondicionado"</formula1>
    </dataValidation>
    <dataValidation type="list" operator="equal" allowBlank="1" showInputMessage="1" showErrorMessage="1" sqref="P2:P35 U2:U35 T2:T35" xr:uid="{8B922C65-7CF2-4C0B-8EF9-702F58110812}">
      <formula1>"Sí,No"</formula1>
    </dataValidation>
    <dataValidation type="list" operator="equal" allowBlank="1" showInputMessage="1" showErrorMessage="1" sqref="R2:R35" xr:uid="{3DCA2F6B-DCFC-4295-B5E1-ADED4304F5DF}">
      <formula1>"Personalizado,No Especificado"</formula1>
    </dataValidation>
    <dataValidation type="list" errorStyle="warning" operator="equal" allowBlank="1" showInputMessage="1" showErrorMessage="1" sqref="S2:S35" xr:uid="{4FFE8E6F-9302-4D48-95BC-176C9C7D8D98}">
      <formula1>"Default"</formula1>
    </dataValidation>
    <dataValidation type="list" operator="equal" allowBlank="1" showInputMessage="1" showErrorMessage="1" sqref="C2:C35" xr:uid="{17C28DE8-B87E-4979-959A-59BB3F8E6D3B}">
      <formula1>"World Cars"</formula1>
    </dataValidation>
    <dataValidation type="list" errorStyle="information" operator="equal" allowBlank="1" showInputMessage="1" sqref="V2:V35" xr:uid="{045250B5-0F9A-4897-AEBD-EF22AA691858}">
      <formula1>"Sin Garantía,Garantía de fábrica: 30 días,Garantía de fábrica: 1 meses,Garantía de fábrica: 6 meses,Garantía de fábrica: 1 años,Garantía del vendedor: 30 días,Garantía del vendedor: 1 meses,Garantía del vendedor: 6 meses,Garantía del vendedor: 1 años"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2026-04-23T03:10:09Z</dcterms:created>
  <dcterms:modified xsi:type="dcterms:W3CDTF">2026-04-27T04:00:30Z</dcterms:modified>
</cp:coreProperties>
</file>